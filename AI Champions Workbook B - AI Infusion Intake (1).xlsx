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updateLinks="always"/>
  <mc:AlternateContent xmlns:mc="http://schemas.openxmlformats.org/markup-compatibility/2006">
    <mc:Choice Requires="x15">
      <x15ac:absPath xmlns:x15ac="http://schemas.microsoft.com/office/spreadsheetml/2010/11/ac" url="https://capcoinc-my.sharepoint.com/personal/mahdi_chowdhury_capco_com/Documents/"/>
    </mc:Choice>
  </mc:AlternateContent>
  <xr:revisionPtr revIDLastSave="0" documentId="8_{7BA57DB4-6624-4007-B053-74357157488C}" xr6:coauthVersionLast="47" xr6:coauthVersionMax="47" xr10:uidLastSave="{00000000-0000-0000-0000-000000000000}"/>
  <bookViews>
    <workbookView xWindow="-120" yWindow="760" windowWidth="28960" windowHeight="17400" firstSheet="1" activeTab="1" xr2:uid="{00000000-000D-0000-FFFF-FFFF00000000}"/>
  </bookViews>
  <sheets>
    <sheet name="Instructions" sheetId="1" r:id="rId1"/>
    <sheet name="Action - Inflight FF Projects" sheetId="5" r:id="rId2"/>
    <sheet name="Action - ID Repetitive Work" sheetId="3" r:id="rId3"/>
  </sheets>
  <externalReferences>
    <externalReference r:id="rId4"/>
  </externalReferences>
  <definedNames>
    <definedName name="Slicer_FY27">#N/A</definedName>
    <definedName name="Slicer_TCV">#N/A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U21" i="5" l="1"/>
  <c r="BU20" i="5"/>
  <c r="BU19" i="5"/>
  <c r="BU18" i="5"/>
  <c r="BS64" i="5"/>
  <c r="AR64" i="5"/>
  <c r="K64" i="5"/>
  <c r="I64" i="5"/>
  <c r="BS63" i="5"/>
  <c r="AR63" i="5"/>
  <c r="K63" i="5"/>
  <c r="I63" i="5"/>
  <c r="BS62" i="5"/>
  <c r="AR62" i="5"/>
  <c r="K62" i="5"/>
  <c r="I62" i="5"/>
  <c r="BS61" i="5"/>
  <c r="AR61" i="5"/>
  <c r="K61" i="5"/>
  <c r="I61" i="5"/>
  <c r="BS60" i="5"/>
  <c r="AR60" i="5"/>
  <c r="K60" i="5"/>
  <c r="I60" i="5"/>
  <c r="BS57" i="5"/>
  <c r="AR57" i="5"/>
  <c r="K57" i="5"/>
  <c r="I57" i="5"/>
  <c r="BS56" i="5"/>
  <c r="AR56" i="5"/>
  <c r="K56" i="5"/>
  <c r="I56" i="5"/>
  <c r="BS55" i="5"/>
  <c r="AR55" i="5"/>
  <c r="K55" i="5"/>
  <c r="I55" i="5"/>
  <c r="BS54" i="5"/>
  <c r="AR54" i="5"/>
  <c r="K54" i="5"/>
  <c r="I54" i="5"/>
  <c r="BS53" i="5"/>
  <c r="AR53" i="5"/>
  <c r="K53" i="5"/>
  <c r="I53" i="5"/>
  <c r="BS52" i="5"/>
  <c r="AR52" i="5"/>
  <c r="K52" i="5"/>
  <c r="I52" i="5"/>
  <c r="BS51" i="5"/>
  <c r="AR51" i="5"/>
  <c r="K51" i="5"/>
  <c r="I51" i="5"/>
  <c r="BS50" i="5"/>
  <c r="AR50" i="5"/>
  <c r="K50" i="5"/>
  <c r="I50" i="5"/>
  <c r="BS49" i="5"/>
  <c r="AR49" i="5"/>
  <c r="K49" i="5"/>
  <c r="I49" i="5"/>
  <c r="BS48" i="5"/>
  <c r="AR48" i="5"/>
  <c r="K48" i="5"/>
  <c r="I48" i="5"/>
  <c r="BS47" i="5"/>
  <c r="AR47" i="5"/>
  <c r="K47" i="5"/>
  <c r="I47" i="5"/>
  <c r="BS46" i="5"/>
  <c r="AR46" i="5"/>
  <c r="K46" i="5"/>
  <c r="I46" i="5"/>
  <c r="BS45" i="5"/>
  <c r="AR45" i="5"/>
  <c r="K45" i="5"/>
  <c r="I45" i="5"/>
  <c r="BS44" i="5"/>
  <c r="AR44" i="5"/>
  <c r="K44" i="5"/>
  <c r="I44" i="5"/>
  <c r="BS43" i="5"/>
  <c r="AR43" i="5"/>
  <c r="K43" i="5"/>
  <c r="I43" i="5"/>
  <c r="BS42" i="5"/>
  <c r="AR42" i="5"/>
  <c r="K42" i="5"/>
  <c r="I42" i="5"/>
  <c r="BS41" i="5"/>
  <c r="AR41" i="5"/>
  <c r="K41" i="5"/>
  <c r="I41" i="5"/>
  <c r="BS40" i="5"/>
  <c r="AR40" i="5"/>
  <c r="K40" i="5"/>
  <c r="I40" i="5"/>
  <c r="BS39" i="5"/>
  <c r="AR39" i="5"/>
  <c r="K39" i="5"/>
  <c r="I39" i="5"/>
  <c r="BS38" i="5"/>
  <c r="AR38" i="5"/>
  <c r="K38" i="5"/>
  <c r="I38" i="5"/>
  <c r="BS7" i="5"/>
  <c r="AR7" i="5"/>
  <c r="BS37" i="5"/>
  <c r="AR37" i="5"/>
  <c r="K37" i="5"/>
  <c r="I37" i="5"/>
  <c r="BS36" i="5"/>
  <c r="AR36" i="5"/>
  <c r="K36" i="5"/>
  <c r="I36" i="5"/>
  <c r="BS35" i="5"/>
  <c r="AR35" i="5"/>
  <c r="K35" i="5"/>
  <c r="I35" i="5"/>
  <c r="BS34" i="5"/>
  <c r="AR34" i="5"/>
  <c r="K34" i="5"/>
  <c r="I34" i="5"/>
  <c r="BS33" i="5"/>
  <c r="AR33" i="5"/>
  <c r="K33" i="5"/>
  <c r="I33" i="5"/>
  <c r="BS32" i="5"/>
  <c r="AR32" i="5"/>
  <c r="K32" i="5"/>
  <c r="I32" i="5"/>
  <c r="BS31" i="5"/>
  <c r="AR31" i="5"/>
  <c r="K31" i="5"/>
  <c r="I31" i="5"/>
  <c r="BS30" i="5"/>
  <c r="AR30" i="5"/>
  <c r="K30" i="5"/>
  <c r="I30" i="5"/>
  <c r="BS29" i="5"/>
  <c r="AR29" i="5"/>
  <c r="K29" i="5"/>
  <c r="I29" i="5"/>
  <c r="BS28" i="5"/>
  <c r="AR28" i="5"/>
  <c r="K28" i="5"/>
  <c r="I28" i="5"/>
  <c r="BS27" i="5"/>
  <c r="AR27" i="5"/>
  <c r="K27" i="5"/>
  <c r="I27" i="5"/>
  <c r="BS26" i="5"/>
  <c r="AR26" i="5"/>
  <c r="K26" i="5"/>
  <c r="I26" i="5"/>
  <c r="BS25" i="5"/>
  <c r="AR25" i="5"/>
  <c r="K25" i="5"/>
  <c r="I25" i="5"/>
  <c r="BS24" i="5"/>
  <c r="AR24" i="5"/>
  <c r="K24" i="5"/>
  <c r="I24" i="5"/>
  <c r="BS23" i="5"/>
  <c r="AR23" i="5"/>
  <c r="K23" i="5"/>
  <c r="I23" i="5"/>
  <c r="BS22" i="5"/>
  <c r="AR22" i="5"/>
  <c r="K22" i="5"/>
  <c r="I22" i="5"/>
  <c r="BS21" i="5"/>
  <c r="AR21" i="5"/>
  <c r="K21" i="5"/>
  <c r="I21" i="5"/>
  <c r="BS20" i="5"/>
  <c r="AR20" i="5"/>
  <c r="K20" i="5"/>
  <c r="I20" i="5"/>
  <c r="BS19" i="5"/>
  <c r="AR19" i="5"/>
  <c r="K19" i="5"/>
  <c r="I19" i="5"/>
  <c r="BS18" i="5"/>
  <c r="AR18" i="5"/>
  <c r="K18" i="5"/>
  <c r="I18" i="5"/>
  <c r="BS17" i="5"/>
  <c r="AR17" i="5"/>
  <c r="K17" i="5"/>
  <c r="I17" i="5"/>
  <c r="BS16" i="5"/>
  <c r="AR16" i="5"/>
  <c r="K16" i="5"/>
  <c r="I16" i="5"/>
  <c r="BS15" i="5"/>
  <c r="AR15" i="5"/>
  <c r="K15" i="5"/>
  <c r="I15" i="5"/>
  <c r="BS14" i="5"/>
  <c r="AR14" i="5"/>
  <c r="K14" i="5"/>
  <c r="I14" i="5"/>
  <c r="BS13" i="5"/>
  <c r="AR13" i="5"/>
  <c r="K13" i="5"/>
  <c r="I13" i="5"/>
  <c r="BS12" i="5"/>
  <c r="AR12" i="5"/>
  <c r="K12" i="5"/>
  <c r="I12" i="5"/>
  <c r="BS11" i="5"/>
  <c r="AR11" i="5"/>
  <c r="K11" i="5"/>
  <c r="I11" i="5"/>
  <c r="BS10" i="5"/>
  <c r="AR10" i="5"/>
  <c r="K10" i="5"/>
  <c r="I10" i="5"/>
  <c r="BS9" i="5"/>
  <c r="AR9" i="5"/>
  <c r="K9" i="5"/>
  <c r="I9" i="5"/>
  <c r="BS8" i="5"/>
  <c r="AR8" i="5"/>
  <c r="K8" i="5"/>
  <c r="I8" i="5"/>
  <c r="BS6" i="5"/>
  <c r="AR6" i="5"/>
  <c r="K6" i="5"/>
  <c r="I6" i="5"/>
  <c r="BS5" i="5"/>
  <c r="AR5" i="5"/>
  <c r="K5" i="5"/>
  <c r="I5" i="5"/>
  <c r="BS4" i="5"/>
  <c r="AR4" i="5"/>
  <c r="K4" i="5"/>
  <c r="I4" i="5"/>
  <c r="BS3" i="5"/>
  <c r="AR3" i="5"/>
  <c r="K3" i="5"/>
  <c r="I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tc={00C3D665-B1F1-A843-BB88-9412C70E515C}</author>
  </authors>
  <commentList>
    <comment ref="H2" authorId="0" shapeId="0" xr:uid="{00C3D665-B1F1-A843-BB88-9412C70E515C}">
      <text>
        <t xml:space="preserve">[Threaded comment]
Your version of Excel allows you to read this threaded comment; however, any edits to it will get removed if the file is opened in a newer version of Excel. Learn more: https://go.microsoft.com/fwlink/?linkid=870924
Comment:
    Provide Example and Change Tab Styling to indicate users must complete. </t>
      </text>
    </comment>
  </commentList>
</comments>
</file>

<file path=xl/sharedStrings.xml><?xml version="1.0" encoding="utf-8"?>
<sst xmlns="http://schemas.openxmlformats.org/spreadsheetml/2006/main" count="615" uniqueCount="273">
  <si>
    <t>Workbook B: AI Infusion Intake</t>
  </si>
  <si>
    <t>Purpose</t>
  </si>
  <si>
    <t>Identify active delivery work where AI can improve margin, reduce effort, or make a delivery pattern repeatable.</t>
  </si>
  <si>
    <t>Tab 1</t>
  </si>
  <si>
    <t>List in-flight fixed-fee engagements where AI could improve margin without reducing client outcomes.</t>
  </si>
  <si>
    <t>Tab 2</t>
  </si>
  <si>
    <t>List repetitive or representative work that could be automated or accelerated with AI.</t>
  </si>
  <si>
    <t>When due</t>
  </si>
  <si>
    <t>Populate both tabs before the next AI infusion working session.</t>
  </si>
  <si>
    <t>Revenue</t>
  </si>
  <si>
    <t>Cost</t>
  </si>
  <si>
    <t>Margin</t>
  </si>
  <si>
    <t>Review Check?</t>
  </si>
  <si>
    <t>AI Infusion (Y/N)</t>
  </si>
  <si>
    <t>Commentary on opportunity for Infusion</t>
  </si>
  <si>
    <t>Does client allow use of internal or external AI Tools?</t>
  </si>
  <si>
    <t>If client allows, what tools are available?</t>
  </si>
  <si>
    <t>Project ID</t>
  </si>
  <si>
    <t>Client</t>
  </si>
  <si>
    <t>Column1</t>
  </si>
  <si>
    <t>Account Lead</t>
  </si>
  <si>
    <t>Project Manager</t>
  </si>
  <si>
    <t>Domain</t>
  </si>
  <si>
    <t>Service Group</t>
  </si>
  <si>
    <t>Type</t>
  </si>
  <si>
    <t>TCV</t>
  </si>
  <si>
    <t>ODE PM %</t>
  </si>
  <si>
    <t>Actual PM</t>
  </si>
  <si>
    <t>Apr-25</t>
  </si>
  <si>
    <t>May-25</t>
  </si>
  <si>
    <t>Jun-25</t>
  </si>
  <si>
    <t>Jul-25</t>
  </si>
  <si>
    <t>Aug-25</t>
  </si>
  <si>
    <t>Sep-25</t>
  </si>
  <si>
    <t>Oct-25</t>
  </si>
  <si>
    <t>Nov-25</t>
  </si>
  <si>
    <t>Dec-25</t>
  </si>
  <si>
    <t>Jan-26</t>
  </si>
  <si>
    <t>Feb-26</t>
  </si>
  <si>
    <t>Mar-26</t>
  </si>
  <si>
    <t>FY26</t>
  </si>
  <si>
    <t>Apr-252</t>
  </si>
  <si>
    <t>May-253</t>
  </si>
  <si>
    <t>Jun-254</t>
  </si>
  <si>
    <t>Jul-255</t>
  </si>
  <si>
    <t>Aug-256</t>
  </si>
  <si>
    <t>Sep-257</t>
  </si>
  <si>
    <t>Oct-258</t>
  </si>
  <si>
    <t>Nov-259</t>
  </si>
  <si>
    <t>Dec-2510</t>
  </si>
  <si>
    <t>Jan-2611</t>
  </si>
  <si>
    <t>Feb-2612</t>
  </si>
  <si>
    <t>Mar-2613</t>
  </si>
  <si>
    <t xml:space="preserve">FY26 </t>
  </si>
  <si>
    <t>FY26 Margin</t>
  </si>
  <si>
    <t>Apr-26</t>
  </si>
  <si>
    <t>May-26</t>
  </si>
  <si>
    <t>Jun-26</t>
  </si>
  <si>
    <t>Jul-26</t>
  </si>
  <si>
    <t>Aug-26</t>
  </si>
  <si>
    <t>Sep-26</t>
  </si>
  <si>
    <t>Oct-26</t>
  </si>
  <si>
    <t>Nov-26</t>
  </si>
  <si>
    <t>Dec-26</t>
  </si>
  <si>
    <t>Jan-27</t>
  </si>
  <si>
    <t>Feb-27</t>
  </si>
  <si>
    <t>Mar-27</t>
  </si>
  <si>
    <t>FY27</t>
  </si>
  <si>
    <t>Apr-2615</t>
  </si>
  <si>
    <t>May-2616</t>
  </si>
  <si>
    <t>Jun-2617</t>
  </si>
  <si>
    <t>Jul-2618</t>
  </si>
  <si>
    <t>Aug-2619</t>
  </si>
  <si>
    <t>Sep-2620</t>
  </si>
  <si>
    <t>Oct-2621</t>
  </si>
  <si>
    <t>Nov-2622</t>
  </si>
  <si>
    <t>Dec-2623</t>
  </si>
  <si>
    <t>Jan-2724</t>
  </si>
  <si>
    <t>Feb-2725</t>
  </si>
  <si>
    <t>Mar-2726</t>
  </si>
  <si>
    <t xml:space="preserve">FY27 </t>
  </si>
  <si>
    <t>FY27 Margin</t>
  </si>
  <si>
    <t>BMO</t>
  </si>
  <si>
    <t>James Kane</t>
  </si>
  <si>
    <t>Banking and Payments</t>
  </si>
  <si>
    <t>Product &amp; Experience</t>
  </si>
  <si>
    <t>fixed_price</t>
  </si>
  <si>
    <t>BOK FINANCIAL</t>
  </si>
  <si>
    <t>Sandeep Vishnu</t>
  </si>
  <si>
    <t>Strategy</t>
  </si>
  <si>
    <t>Transformation &amp; Change</t>
  </si>
  <si>
    <t>BREAD FINANCIAL HOLDINGS INC.</t>
  </si>
  <si>
    <t>Daniela Hawkins</t>
  </si>
  <si>
    <t>Data &amp; Analytics</t>
  </si>
  <si>
    <t>Bread California ADMT Regulation Preparation</t>
  </si>
  <si>
    <t>Andy Soodek</t>
  </si>
  <si>
    <t>CITIGROUP</t>
  </si>
  <si>
    <t>Rob Norris</t>
  </si>
  <si>
    <t>Capital Markets</t>
  </si>
  <si>
    <t>CREDIT AGRICOLE</t>
  </si>
  <si>
    <t>Boris Mallet</t>
  </si>
  <si>
    <t>Cyber Security</t>
  </si>
  <si>
    <t>FANNIE MAE</t>
  </si>
  <si>
    <t>Matt Markham</t>
  </si>
  <si>
    <t>Technology &amp; Engineering</t>
  </si>
  <si>
    <t>run_rate</t>
  </si>
  <si>
    <t>FIRST CITIZENS BANK</t>
  </si>
  <si>
    <t>Kaylin Kugler</t>
  </si>
  <si>
    <t>FREDDIE MAC</t>
  </si>
  <si>
    <t>TJ Campbell</t>
  </si>
  <si>
    <t>No</t>
  </si>
  <si>
    <t>Complex project where AI is allowed but it would not be the focus for staff reduction / cost savings</t>
  </si>
  <si>
    <t>Yes</t>
  </si>
  <si>
    <t>Copilot</t>
  </si>
  <si>
    <t>GUARDIAN LIFE</t>
  </si>
  <si>
    <t>Laurie Winters</t>
  </si>
  <si>
    <t>Insurance</t>
  </si>
  <si>
    <t>our team was asked to help develop out testing scenarios so they were able to leverage AI tools for that need.</t>
  </si>
  <si>
    <t>HSBC</t>
  </si>
  <si>
    <t>Chelsea Mattias</t>
  </si>
  <si>
    <t>HUNTINGTON BANK</t>
  </si>
  <si>
    <t>Kyle Chavers</t>
  </si>
  <si>
    <t>Wealth &amp; Asset Management</t>
  </si>
  <si>
    <t>ICBA BANCARD, INC</t>
  </si>
  <si>
    <t>Matt Cohn</t>
  </si>
  <si>
    <t>From Matt Rogers - I spoke with Thanh the other day and noted that none of my engagements below or are in general can utilize AI outside of some of our developers potentially.</t>
  </si>
  <si>
    <t>JefAI, BA Genie, Copilot</t>
  </si>
  <si>
    <t>Jefferies</t>
  </si>
  <si>
    <t>Rich Mlot / Chelsea Mattias</t>
  </si>
  <si>
    <t>Financial Crime, Risk, Reg &amp; Finance</t>
  </si>
  <si>
    <t>Delivery team already using client's Claude for scripting</t>
  </si>
  <si>
    <t>Generative AI</t>
  </si>
  <si>
    <t>BA Genie currently used</t>
  </si>
  <si>
    <t>BA Genie</t>
  </si>
  <si>
    <t>No use case applicable, per Matt</t>
  </si>
  <si>
    <t>Cloud</t>
  </si>
  <si>
    <t>No use case applicable</t>
  </si>
  <si>
    <t>Delivery team is already using JefAI tools</t>
  </si>
  <si>
    <t>LAZARD</t>
  </si>
  <si>
    <t>Jason Noran</t>
  </si>
  <si>
    <t>MORGAN STANLEY</t>
  </si>
  <si>
    <t>Mitali Drews</t>
  </si>
  <si>
    <t>BA Genie initially pitched, but dropped and use MS AI tool (Copilot like)</t>
  </si>
  <si>
    <t>IT Vulnerability id and enrichment use case  via AI x Cyber (workbook A)</t>
  </si>
  <si>
    <t>NATIXIS</t>
  </si>
  <si>
    <t>Ridha Mesli</t>
  </si>
  <si>
    <t xml:space="preserve">IT Predictive Obsolescence and end of support use case via AI x Cyber (workbook A) </t>
  </si>
  <si>
    <t>IT Asset management reconciliation use case via AI x Cyber (workbook A)</t>
  </si>
  <si>
    <t>OPTUM FINANCIAL SERVICES</t>
  </si>
  <si>
    <t>Matthew Cohn</t>
  </si>
  <si>
    <t>Repetative tasks only. No real projects exists that push AI or would look for cost savings at a specific client level</t>
  </si>
  <si>
    <t>Copilot, any current AWS tool</t>
  </si>
  <si>
    <t>PACIFIC LIFE INSURANCE GROUP</t>
  </si>
  <si>
    <t>AI Tools are already in use and baked into the current cost. This is targetting the QA Automation space</t>
  </si>
  <si>
    <t>Claude, Copilot, Rovo</t>
  </si>
  <si>
    <t>PRUDENTIAL</t>
  </si>
  <si>
    <t>DMN - Contract Domain Team Extension</t>
  </si>
  <si>
    <t>Paul Tiede / Lauren Somma</t>
  </si>
  <si>
    <t>Wesley Yu</t>
  </si>
  <si>
    <t xml:space="preserve">Regression testing seems to be an opportunity as the client has expressed interest and is currently seeking a POC. </t>
  </si>
  <si>
    <t>Claude, Copilot</t>
  </si>
  <si>
    <t>ILI - Essential Team Stabilization</t>
  </si>
  <si>
    <t>Deb Nelis</t>
  </si>
  <si>
    <t>RBC</t>
  </si>
  <si>
    <t>Carl Repoli</t>
  </si>
  <si>
    <r>
      <t xml:space="preserve">Nothing remaining for the next 3 months on the current Opp. Client is not currently using AI tools, however, the client does have AWS AzureDevOps and </t>
    </r>
    <r>
      <rPr>
        <b/>
        <i/>
        <sz val="11"/>
        <rFont val="Aptos"/>
        <family val="2"/>
      </rPr>
      <t>potentially if desired</t>
    </r>
    <r>
      <rPr>
        <sz val="11"/>
        <rFont val="Aptos"/>
        <family val="2"/>
      </rPr>
      <t xml:space="preserve"> could utilize automated Sprint ceremonies. Going forward, BA work could use the BA Genie if properly budgeted </t>
    </r>
  </si>
  <si>
    <t>The client does not provide any AI tools inside of their environment, so we are limited to RESPONSIBLY using Capco’s ChatGPT where we can</t>
  </si>
  <si>
    <t>SEIU HEALTHCARE 1199NW MULTI-EMPLOYER TR</t>
  </si>
  <si>
    <t>Paul Tiede</t>
  </si>
  <si>
    <t>Input from team leads suggest no opportunities due to limited ability to integrate a bespoke AI solutions onto Truist environment</t>
  </si>
  <si>
    <t>Claude, Copilot, Palantir (inbuilt custom tools)</t>
  </si>
  <si>
    <t>TRUIST</t>
  </si>
  <si>
    <t>Coding, BA Genie for ADO board setup, Pipeline Automation, Documentation Generation, Synthetic Data Generation</t>
  </si>
  <si>
    <t>CoPilot, but NOT on anything with PII or confidential data</t>
  </si>
  <si>
    <t>TRUSTAGE FINANCIAL GROUP.</t>
  </si>
  <si>
    <t xml:space="preserve">From Glen Gannon - I think in theory yes this is something we can apply AI to. But we are still ironing out exactly what this "audit" will be quarter over quarter for WF. To provide a little more context, there is a review of WF's master servicer's process and applicable documentation. This is to ensure that they are adhering to certain requirements ("eligibility criteria") on the underlying loan economics...which is largely a simple four-eye check type review of the servicer's excel document. Additionally, there is a bit of a trend analysis or reconciliation of the underlying data - mainly focused around when a trust gives an advance to one of it's loan. This is definitely repeatable...but we need to round out this quarter first with the client and agree on the process / output.
At this complexity and scale (meaning one client for 120K a year now and likely less in the future years), I don't think it's worth the investment to develop a bespoke solution. I think out of the box AI tools would probably suffice, but we'd have to be conscious also of putting sensitive client information into any of our AI tools too no?
If we get more clients to perform the similar type of "audit," there could be a better business case. </t>
  </si>
  <si>
    <t>Copilot capabilities available through Teams. Beyond that, to my knowledge, all other AI tools are developed internally</t>
  </si>
  <si>
    <t>WELLS FARGO</t>
  </si>
  <si>
    <t>Owen Priesty</t>
  </si>
  <si>
    <t>Practice</t>
  </si>
  <si>
    <t>Workflow / Task</t>
  </si>
  <si>
    <t>Where it happens today</t>
  </si>
  <si>
    <t>Frequency</t>
  </si>
  <si>
    <t>Current effort</t>
  </si>
  <si>
    <t>Candidate AI assist / agent</t>
  </si>
  <si>
    <t>Human review needed?</t>
  </si>
  <si>
    <t>Repeatable across teams?</t>
  </si>
  <si>
    <t>Expected impact</t>
  </si>
  <si>
    <t>Notes</t>
  </si>
  <si>
    <t>Example</t>
  </si>
  <si>
    <t>Tech &amp; Engineering</t>
  </si>
  <si>
    <t>Generate test cases &amp; coverage mapping; create test data/fixtures; produce/maintain automation scripts; triage CI/test failures; map tests → requirements</t>
  </si>
  <si>
    <t>IDE / PRs / CI (Jenkins/GHA) / Test management (TestRail/Jira) / staging &amp; local dev environments / Confluence</t>
  </si>
  <si>
    <t>Per feature / per PR; continuous CI triage (daily)</t>
  </si>
  <si>
    <t>~2–10 hrs per feature for authoring + ~1–3 hrs/day team triage overhead</t>
  </si>
  <si>
    <t>Agent that: (1) auto-generates test cases from specs/PR diffs, (2) synthesizes/anonymizes test data &amp; fixtures, (3) scaffolds/updates automation scripts, (4) clusters CI failures and proposes root causes, (5) maps tests to requirements</t>
  </si>
  <si>
    <t>~50–80% reduction in manual test authoring time; faster automation ramp; lower MTTR for failures; better test coverage</t>
  </si>
  <si>
    <t>Needs project-specific test templates, access to CI/logs and sample data, and PII/privacy safeguards</t>
  </si>
  <si>
    <t>Elicit &amp; draft requirements/user stories and acceptance criteria; produce process diagrams; infer data mappings &amp; transformation requirements; generate acceptance test scenarios; summarize meetings/actions; produce traceability/compliance artifacts</t>
  </si>
  <si>
    <t>Teams/Meetings / Confluence / Jira / Miro/Visio / SharePoint / data catalogs / spreadsheets</t>
  </si>
  <si>
    <t>Per sprint/feature and per meeting; per integration for data mapping</t>
  </si>
  <si>
    <t>~2–16 hrs per feature/integration for drafting &amp; mapping; 1–3 hrs per meeting for summaries</t>
  </si>
  <si>
    <t>Agent that: (1) converts notes/stakeholder input to stories &amp; ACs with edge cases, (2) generates process/sequence diagrams, (3) infers source→target data mappings and sample SQL/DDL, (4) creates acceptance test matrices and RTMs, (5) summarizes meetings and extracts actions/owners</t>
  </si>
  <si>
    <t>~40–70% faster story &amp; artifact creation; fewer rework cycles; quicker data onboarding and audit prep</t>
  </si>
  <si>
    <t>Works best with consistent templates, sample data/schema access, and governance for final sign-off</t>
  </si>
  <si>
    <t>Project Governance</t>
  </si>
  <si>
    <t>Enage in project management and governance summary tasks, e.g. meeting minutes, status reports, project summaries, etc.</t>
  </si>
  <si>
    <t>Daily/Weekly/Adhoc</t>
  </si>
  <si>
    <t>Agent would request (1) meeting conversations are transcribed, summarized and distribtued to audience (2) project notes are summarized and distributed (3) summary of weekly activities created and distributed in an approved format (4) all notifications are archived onto an agreed upon shared repository</t>
  </si>
  <si>
    <t>yes</t>
  </si>
  <si>
    <t>25% reduction in project staffing and improved quality for shared common repository of known conversations and decisioning</t>
  </si>
  <si>
    <t>Agile Ceremony Automation</t>
  </si>
  <si>
    <t>Teams / Miro / Confluence / JIRA / JIRA Align / Github / Bitbucket/ AWS Code Repos</t>
  </si>
  <si>
    <t>Sprint work - 2 weeks / PI Planning - 3 months</t>
  </si>
  <si>
    <t xml:space="preserve">Multiple weeks to plan for PI Planning with multiple SMEs (depending on org this can be a 2 week effort for PI Planning) </t>
  </si>
  <si>
    <t xml:space="preserve">Agent would (1) conduct the Pre - PI Planning Activities by (a) creating the scope through Feature Backlog identification and scope inclusion (b) distribution and notification of communication and attendance © warehousing and updating of the artificats, decks, etc that would be showcased (d) inclusion of formatting of the flow in accordance with SAFe 6.0 standards (e) storing the final plans and sharing them with the team members (f) configuration within JIRA and JIRA Align for Feature to story break down, team assignment, PI Start and execution (2) Sprint demos would (a) collect the completed work and create the sprint demo (b) exculde the work that was not completed into a status report only (c) formulate the deck that would then present to those in the demo (d) store the materials and communicate with the participants once the demo is concluded </t>
  </si>
  <si>
    <t>Generally PI Planning prep is about 2 weeks with various SMEs and Roles across the Agile Framework, this could potentially cut down efforts from 40-60% 
iteration Demos are smaller but more frequent, this would reduce the data gathering by 25-30% in time, but the quality would significantly increase.</t>
  </si>
  <si>
    <t>Needs to follow a SAFe 6 Framework for PI Planning and Iteration Demos, but flexible enough to let the client customize the work</t>
  </si>
  <si>
    <t>Testing</t>
  </si>
  <si>
    <t xml:space="preserve">QA / Regression automated testing: </t>
  </si>
  <si>
    <t>JIRA / JIRA Align / Github / Bitbucket/ AWS Code Repos / Swagger - API lilsts / any peripherals need for environment, data, etc.</t>
  </si>
  <si>
    <t xml:space="preserve">Execution of testing plans within Sprint deliverables so estimate 25% of a 2 week Sprint per team member </t>
  </si>
  <si>
    <t>Agent would look to run specific QA and Regression tests that are NFRs or routine to basic code checkout/checkin standardizations. Agent would then need to provide the results to specifically named individuals, notify them for review and archive the executed test versions, logs, and details as part of Data and Testing Standard compliance. Agent should also know what type of test data to use, e.g. yes to standard, no to PHI/PII where applicable.</t>
  </si>
  <si>
    <t>40-50% reduction in time to create and execute repetative testing. Would still need to review results for quality of execution and results review</t>
  </si>
  <si>
    <t>FRRF</t>
  </si>
  <si>
    <t>Legal document review and CRM upload</t>
  </si>
  <si>
    <t>Fifth Third - (following acquisition of Comerica) - Disparate, non-integrated systems</t>
  </si>
  <si>
    <t>Adhoc</t>
  </si>
  <si>
    <t xml:space="preserve">2-20 minutes per legal document set </t>
  </si>
  <si>
    <t>Agent that: (1) Able to create population comparisons between different systems (an excel tracker, inventory of folders on a sharepoint, and profiles created on a CRM tool), (2) Can review legal documents to determine document types, record if document types are missing, and review documents for legal criteria, (3) Upload approved documents into respective CRMs and capture required information into custom fields</t>
  </si>
  <si>
    <t xml:space="preserve">~80% reduction in time to review legal documents and effort to migrate from separate systems </t>
  </si>
  <si>
    <t>Automating resolution of breaking records</t>
  </si>
  <si>
    <t>Freddie Mac - Collibra DQ</t>
  </si>
  <si>
    <t>Currently, this is a largely manual process that involves:
•	Writing custom Python/SQL scripts to pull data from Collibra API and analyze breaking records
•	Creating dashboards or Excel files for reporting
•	Manually assigning issues to appropriate business groups (no ticketing system currently)
•	Individual business groups then research the sources to identify fixes</t>
  </si>
  <si>
    <t>Agents could potentially connect to the API, summarize the error context, suggest SQL fixes, and automate ticket creation and routing to business groups. This could integrate with systems like ServiceNow, and given this is currently manual, we may be able to help more broadly with improving their business process.</t>
  </si>
  <si>
    <t>Takes about 16-24 hours per week, this would significantly reduce that.</t>
  </si>
  <si>
    <t>Priority 1</t>
  </si>
  <si>
    <t xml:space="preserve">Architecture led risk scoping and assessment  </t>
  </si>
  <si>
    <t>Freddie Mac - risk assessment</t>
  </si>
  <si>
    <t xml:space="preserve">Client would like to pull architecture documentation and NFR details from TPI (Technology Portfolio insights) which is Freddie Mac’s system of record for asset level information. He would then like to assess this documentation to identify potential risk areas, determine assessment scope, prioritization, and next steps for a detailed technology risk and vulnerability assessments. He would also like to layer in ServiceNow operational data on the asset to further inform the risk assessment. </t>
  </si>
  <si>
    <t xml:space="preserve">He is looking to understand how he can best access the data from the sources mentioned above and utilize FredAI (Freddie Mac’s AI agent that is a wrapper on ChatGPT) for assessment scoping and completion of the risk assessment. </t>
  </si>
  <si>
    <t>Would save significant time on risk assessment activities.</t>
  </si>
  <si>
    <t>Priority 2</t>
  </si>
  <si>
    <t>Client-specific analytics</t>
  </si>
  <si>
    <t xml:space="preserve">2-20 minutes per request </t>
  </si>
  <si>
    <t>Agent that: (1) is able to aggregate data across multiple platform (both internal databases and public information), (2) Continuously analyzes dynamic market conditions to assess risk and idenfy revenue growth opportunities (3) Is able to respond to queries and provide actionable insights for an RM (e.g., client trading volumes, profitability, etc.)</t>
  </si>
  <si>
    <t>Reduce operationally burdensome aggregation of client activities / positions across multiple LOBs, increase Relationship Manger's profitability by identifying sales opportunities, and improve execution timing and consistency</t>
  </si>
  <si>
    <t>Priority 3</t>
  </si>
  <si>
    <t>Banking &amp; Payments</t>
  </si>
  <si>
    <t xml:space="preserve">UAT Test Script Automation </t>
  </si>
  <si>
    <t>Santander  (Justin Hayden) / Desjardins (Spencer Feuer)</t>
  </si>
  <si>
    <t>Transformational Engagements (Conversions, Launches, Etc.)</t>
  </si>
  <si>
    <t>- Banks rely heavily on manual UAT processes, requiring large QA teams to create and maintain test cases across multiple systems
- Test case creation is driven by fragmented inputs (requirements, user stories, process flows), leading to inconsistencies and gaps in coverage
- Significant effort is spent on review cycles and rework to validate completeness, accuracy, and alignment with business scenarios
- UAT for large programs (e.g., conversions, launches) is time-consuming and costly, often becoming a bottleneck to delivery timelines</t>
  </si>
  <si>
    <t>- Represents a repeatable “Testing-as-a-Service” add-on for large transformation programs (e.g., conversions, implementations), enhancing delivery without requiring full team scaling
- Enables significant cost reduction and efficiency gains by automating labor-intensive test case creation and reducing manual QA effort
- Can evolve into a self-learning, enterprise-integrated agent (via tools like Copilot Studio) that continuously pulls from internal systems and improves over time
- Provides a differentiated capability for Capco to embed AI into delivery, accelerating timelines while maintaining quality and governance standards</t>
  </si>
  <si>
    <t>25-30% increase in velocity of test case writing (sometimes greater depending on customization)</t>
  </si>
  <si>
    <t>Building a go-to-market deck with a combination of our lessons learned from Santander and Desjardins; targeting end of month.</t>
  </si>
  <si>
    <t>Mortgage / Lending - PLACEHOLDER</t>
  </si>
  <si>
    <t>John Geertsma / James Kane</t>
  </si>
  <si>
    <r>
      <t xml:space="preserve">Payment Collections - </t>
    </r>
    <r>
      <rPr>
        <i/>
        <sz val="11"/>
        <rFont val="Aptos"/>
        <family val="2"/>
      </rPr>
      <t>PLACEHOLDER</t>
    </r>
  </si>
  <si>
    <t>Carmen Puzzo / Daniela Hawkins / Brent Deleo</t>
  </si>
  <si>
    <t>Research / Benchmarking / Thought Leadership</t>
  </si>
  <si>
    <t>Disperate research; PowerPoint</t>
  </si>
  <si>
    <t>Monthly</t>
  </si>
  <si>
    <t>Many projects / proposals have some component of research (competitive, product, vendor, market, channel, experience, etc.). We conduct research ad-hoc, trying to leverage subscriptions we have access to. Most of our knowledge management / prior deliverables have thoughtful research that we're not tapping into.</t>
  </si>
  <si>
    <t>(1) Piece together research from existing repositories / deliverables. (2) Synthesize research reports. (3) Prepare research briefs. (4) Turn research into POV / outbound marketing (e.g., LinkedIn)</t>
  </si>
  <si>
    <t>~10-40 hrs for ~50% of strategy projects
~4-8 hrs for ~75% of strategy proposals</t>
  </si>
  <si>
    <t>Can be built even if Capco does not expand access to research tools. We have sufficient research embedded in project work, just requires consolidation of deliverables.</t>
  </si>
  <si>
    <t>Workshop Acceleration</t>
  </si>
  <si>
    <t>PowerPoint, Mural, paper, other facilitation tools</t>
  </si>
  <si>
    <t>Weekly</t>
  </si>
  <si>
    <t>Strategy pursuits &amp; projects frequently leverage workshops as a point of differentiation, work acceleration, and technique for garnering buy-in on our work. In many cases, we offer them as investments. Workshops require significant manual prep &amp; synthesis on the back-end.</t>
  </si>
  <si>
    <t>(1) Structure workshop approach, facilitation techniques. (2) Generate workshop materials, prompts, exercises. (3) Support facilitation / dynamic activities. (4) Gather workshop discussion, upload pictures / capture inputs. (5) Synthesize &amp; summarize. (6) Build next steps, roadmap to facilitate follow-on work</t>
  </si>
  <si>
    <t>~120-160 hrs per workshop of prep
~40-60 hrs per workshop of synthesis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</si>
</sst>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quot;$&quot;* #,##0_);_(&quot;$&quot;* \(#,##0\);_(&quot;$&quot;* &quot;-&quot;??_);_(@_)"/>
    <numFmt numFmtId="165" formatCode="_(* #,##0_);_(* \(#,##0\);_(* &quot;-&quot;??_);_(@_)"/>
  </numFmts>
  <fonts count="9">
    <font>
      <sz val="11"/>
      <name val="Aptos"/>
      <family val="2"/>
    </font>
    <font>
      <sz val="11"/>
      <color theme="1"/>
      <name val="Aptos Narrow"/>
      <family val="2"/>
      <scheme val="minor"/>
    </font>
    <font>
      <sz val="11"/>
      <name val="Aptos"/>
      <family val="2"/>
    </font>
    <font>
      <b/>
      <sz val="11"/>
      <color theme="1"/>
      <name val="Aptos Narrow"/>
      <family val="2"/>
      <scheme val="minor"/>
    </font>
    <font>
      <b/>
      <sz val="10"/>
      <name val="Aptos Narrow"/>
      <family val="2"/>
      <scheme val="minor"/>
    </font>
    <font>
      <i/>
      <sz val="11"/>
      <name val="Aptos"/>
    </font>
    <font>
      <i/>
      <sz val="11"/>
      <name val="Aptos"/>
      <family val="2"/>
    </font>
    <font>
      <sz val="8"/>
      <name val="Aptos"/>
      <family val="2"/>
    </font>
    <font>
      <b/>
      <i/>
      <sz val="11"/>
      <name val="Aptos"/>
      <family val="2"/>
    </font>
  </fonts>
  <fills count="9">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2"/>
        <bgColor indexed="64"/>
      </patternFill>
    </fill>
  </fills>
  <borders count="10">
    <border>
      <left/>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s>
  <cellStyleXfs count="4">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cellStyleXfs>
  <cellXfs count="36">
    <xf numFmtId="0" fontId="0" fillId="0" borderId="0" xfId="0"/>
    <xf numFmtId="0" fontId="0" fillId="0" borderId="0" xfId="0" applyAlignment="1">
      <alignment horizontal="center"/>
    </xf>
    <xf numFmtId="0" fontId="0" fillId="2" borderId="1" xfId="0" applyFill="1" applyBorder="1" applyAlignment="1">
      <alignment horizontal="center"/>
    </xf>
    <xf numFmtId="0" fontId="0" fillId="3" borderId="0" xfId="0" applyFill="1"/>
    <xf numFmtId="0" fontId="0" fillId="3" borderId="0" xfId="0" applyFill="1" applyAlignment="1">
      <alignment horizontal="center"/>
    </xf>
    <xf numFmtId="0" fontId="0" fillId="4" borderId="1" xfId="0" applyFill="1" applyBorder="1" applyAlignment="1">
      <alignment horizontal="center"/>
    </xf>
    <xf numFmtId="0" fontId="0" fillId="2" borderId="2" xfId="0" applyFill="1" applyBorder="1" applyAlignment="1">
      <alignment horizontal="center"/>
    </xf>
    <xf numFmtId="0" fontId="0" fillId="4" borderId="0" xfId="0" applyFill="1" applyAlignment="1">
      <alignment horizontal="center"/>
    </xf>
    <xf numFmtId="0" fontId="0" fillId="0" borderId="0" xfId="0">
      <extLst>
        <ext xmlns:xfpb="http://schemas.microsoft.com/office/spreadsheetml/2022/featurepropertybag" uri="{C7286773-470A-42A8-94C5-96B5CB345126}">
          <xfpb:xfComplement i="0"/>
        </ext>
      </extLst>
    </xf>
    <xf numFmtId="0" fontId="0" fillId="0" borderId="5" xfId="0" applyBorder="1"/>
    <xf numFmtId="164" fontId="0" fillId="0" borderId="5" xfId="2" applyNumberFormat="1" applyFont="1" applyBorder="1"/>
    <xf numFmtId="9" fontId="0" fillId="0" borderId="5" xfId="3" applyFont="1" applyBorder="1" applyAlignment="1">
      <alignment horizontal="center"/>
    </xf>
    <xf numFmtId="165" fontId="0" fillId="0" borderId="5" xfId="1" applyNumberFormat="1" applyFont="1" applyBorder="1"/>
    <xf numFmtId="9" fontId="0" fillId="0" borderId="6" xfId="3" applyFont="1" applyBorder="1" applyAlignment="1">
      <alignment horizontal="center"/>
    </xf>
    <xf numFmtId="0" fontId="0" fillId="0" borderId="7" xfId="0" applyBorder="1"/>
    <xf numFmtId="164" fontId="0" fillId="0" borderId="7" xfId="2" applyNumberFormat="1" applyFont="1" applyBorder="1"/>
    <xf numFmtId="9" fontId="0" fillId="0" borderId="7" xfId="3" applyFont="1" applyBorder="1" applyAlignment="1">
      <alignment horizontal="center"/>
    </xf>
    <xf numFmtId="165" fontId="0" fillId="0" borderId="7" xfId="1" applyNumberFormat="1" applyFont="1" applyBorder="1"/>
    <xf numFmtId="9" fontId="0" fillId="0" borderId="8" xfId="3" applyFont="1" applyBorder="1" applyAlignment="1">
      <alignment horizontal="center"/>
    </xf>
    <xf numFmtId="0" fontId="6" fillId="8" borderId="0" xfId="0" applyFont="1" applyFill="1" applyAlignment="1">
      <alignment vertical="top" wrapText="1"/>
    </xf>
    <xf numFmtId="0" fontId="0" fillId="0" borderId="0" xfId="0" applyAlignment="1">
      <alignment wrapText="1"/>
    </xf>
    <xf numFmtId="0" fontId="0" fillId="0" borderId="4" xfId="0" applyBorder="1" applyAlignment="1">
      <alignment wrapText="1"/>
    </xf>
    <xf numFmtId="0" fontId="0" fillId="0" borderId="5" xfId="0" applyBorder="1" applyAlignment="1">
      <alignment wrapText="1"/>
    </xf>
    <xf numFmtId="0" fontId="0" fillId="0" borderId="7" xfId="0" applyBorder="1" applyAlignment="1">
      <alignment wrapText="1"/>
    </xf>
    <xf numFmtId="0" fontId="0" fillId="0" borderId="9" xfId="0" applyBorder="1" applyAlignment="1">
      <alignment wrapText="1"/>
    </xf>
    <xf numFmtId="0" fontId="0" fillId="0" borderId="0" xfId="0" applyAlignment="1">
      <alignment vertical="center"/>
    </xf>
    <xf numFmtId="0" fontId="3" fillId="5" borderId="3" xfId="0" applyFont="1" applyFill="1" applyBorder="1" applyAlignment="1">
      <alignment horizontal="center" vertical="center" wrapText="1"/>
    </xf>
    <xf numFmtId="0" fontId="3" fillId="6" borderId="3" xfId="0" applyFont="1" applyFill="1" applyBorder="1" applyAlignment="1">
      <alignment vertical="center"/>
    </xf>
    <xf numFmtId="0" fontId="3" fillId="6" borderId="3" xfId="0" applyFont="1" applyFill="1" applyBorder="1" applyAlignment="1">
      <alignment horizontal="center" vertical="center"/>
    </xf>
    <xf numFmtId="17" fontId="4" fillId="7" borderId="3" xfId="1" applyNumberFormat="1" applyFont="1" applyFill="1" applyBorder="1" applyAlignment="1">
      <alignment horizontal="center" vertical="center"/>
    </xf>
    <xf numFmtId="165" fontId="1" fillId="0" borderId="7" xfId="1" applyNumberFormat="1" applyFont="1" applyBorder="1"/>
    <xf numFmtId="0" fontId="5" fillId="8" borderId="0" xfId="0" applyFont="1" applyFill="1" applyAlignment="1">
      <alignment wrapText="1"/>
    </xf>
    <xf numFmtId="0" fontId="5" fillId="0" borderId="0" xfId="0" applyFont="1" applyAlignment="1">
      <alignment wrapText="1"/>
    </xf>
    <xf numFmtId="0" fontId="0" fillId="0" borderId="4" xfId="0" applyBorder="1"/>
    <xf numFmtId="0" fontId="0" fillId="0" borderId="7" xfId="0" applyBorder="1" applyAlignment="1">
      <alignment vertical="top" wrapText="1"/>
    </xf>
    <xf numFmtId="0" fontId="0" fillId="0" borderId="0" xfId="0" applyAlignment="1">
      <alignment vertical="top" wrapText="1"/>
    </xf>
  </cellXfs>
  <cellStyles count="4">
    <cellStyle name="Comma" xfId="1" builtinId="3"/>
    <cellStyle name="Currency" xfId="2" builtinId="4"/>
    <cellStyle name="Normal" xfId="0" builtinId="0"/>
    <cellStyle name="Percent" xfId="3" builtinId="5"/>
  </cellStyles>
  <dxfs count="88">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alignment horizontal="center" vertical="bottom" textRotation="0" wrapText="0" indent="0" justifyLastLine="0" shrinkToFit="0" readingOrder="0"/>
      <border diagonalUp="0" diagonalDown="0" outline="0">
        <left/>
        <right style="thin">
          <color theme="0" tint="-0.24994659260841701"/>
        </right>
        <top style="thin">
          <color theme="0" tint="-0.24994659260841701"/>
        </top>
        <bottom style="thin">
          <color theme="0" tint="-0.24994659260841701"/>
        </bottom>
      </border>
    </dxf>
    <dxf>
      <border diagonalUp="0" diagonalDown="0">
        <left/>
        <right/>
        <top style="thin">
          <color theme="0" tint="-0.24994659260841701"/>
        </top>
        <bottom style="thin">
          <color theme="0" tint="-0.24994659260841701"/>
        </bottom>
        <vertical/>
        <horizontal style="thin">
          <color theme="0" tint="-0.24994659260841701"/>
        </horizontal>
      </border>
    </dxf>
    <dxf>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3" formatCode="0%"/>
      <alignment horizontal="center" vertical="bottom" textRotation="0" wrapText="0" indent="0" justifyLastLine="0" shrinkToFit="0" readingOrder="0"/>
      <border diagonalUp="0" diagonalDown="0" outline="0">
        <left/>
        <right/>
        <top style="thin">
          <color theme="0" tint="-0.24994659260841701"/>
        </top>
        <bottom style="thin">
          <color theme="0" tint="-0.24994659260841701"/>
        </bottom>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style="thin">
          <color theme="0" tint="-0.24994659260841701"/>
        </horizontal>
      </border>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outline="0">
        <left/>
        <right/>
        <top style="thin">
          <color theme="0" tint="-0.24994659260841701"/>
        </top>
        <bottom style="thin">
          <color theme="0" tint="-0.24994659260841701"/>
        </bottom>
      </border>
    </dxf>
    <dxf>
      <font>
        <b val="0"/>
        <i val="0"/>
        <strike val="0"/>
        <condense val="0"/>
        <extend val="0"/>
        <outline val="0"/>
        <shadow val="0"/>
        <u val="none"/>
        <vertAlign val="baseline"/>
        <sz val="11"/>
        <color theme="1"/>
        <name val="Aptos Narrow"/>
        <family val="2"/>
        <scheme val="minor"/>
      </font>
      <numFmt numFmtId="165" formatCode="_(* #,##0_);_(* \(#,##0\);_(* &quot;-&quot;??_);_(@_)"/>
      <alignment horizontal="center" vertical="bottom" textRotation="0" wrapText="0"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theme="1"/>
        <name val="Aptos Narrow"/>
        <family val="2"/>
        <scheme val="minor"/>
      </font>
      <numFmt numFmtId="165" formatCode="_(* #,##0_);_(* \(#,##0\);_(* &quot;-&quot;??_);_(@_)"/>
      <border diagonalUp="0" diagonalDown="0">
        <left/>
        <right/>
        <top style="thin">
          <color theme="0" tint="-0.24994659260841701"/>
        </top>
        <bottom style="thin">
          <color theme="0" tint="-0.24994659260841701"/>
        </bottom>
        <vertical/>
        <horizontal/>
      </border>
    </dxf>
    <dxf>
      <border diagonalUp="0" diagonalDown="0">
        <left/>
        <right/>
        <top style="thin">
          <color theme="0" tint="-0.24994659260841701"/>
        </top>
        <bottom style="thin">
          <color theme="0" tint="-0.24994659260841701"/>
        </bottom>
        <vertical/>
        <horizontal/>
      </border>
    </dxf>
    <dxf>
      <border diagonalUp="0" diagonalDown="0">
        <left/>
        <right/>
        <top style="thin">
          <color theme="0" tint="-0.24994659260841701"/>
        </top>
        <bottom style="thin">
          <color theme="0" tint="-0.24994659260841701"/>
        </bottom>
        <vertical/>
        <horizontal/>
      </border>
    </dxf>
    <dxf>
      <border diagonalUp="0" diagonalDown="0">
        <left/>
        <right/>
        <top style="thin">
          <color theme="0" tint="-0.24994659260841701"/>
        </top>
        <bottom style="thin">
          <color theme="0" tint="-0.24994659260841701"/>
        </bottom>
        <vertical/>
        <horizontal/>
      </border>
    </dxf>
    <dxf>
      <numFmt numFmtId="0" formatCode="General"/>
      <border diagonalUp="0" diagonalDown="0">
        <left/>
        <right/>
        <top style="thin">
          <color theme="0" tint="-0.24994659260841701"/>
        </top>
        <bottom style="thin">
          <color theme="0" tint="-0.24994659260841701"/>
        </bottom>
        <vertical/>
        <horizontal/>
      </border>
    </dxf>
    <dxf>
      <border diagonalUp="0" diagonalDown="0">
        <left/>
        <right/>
        <top style="thin">
          <color theme="0" tint="-0.24994659260841701"/>
        </top>
        <bottom style="thin">
          <color theme="0" tint="-0.24994659260841701"/>
        </bottom>
        <vertical/>
        <horizontal style="thin">
          <color theme="0" tint="-0.24994659260841701"/>
        </horizontal>
      </border>
    </dxf>
    <dxf>
      <numFmt numFmtId="0" formatCode="General"/>
      <border diagonalUp="0" diagonalDown="0">
        <left/>
        <right/>
        <top style="thin">
          <color theme="0" tint="-0.24994659260841701"/>
        </top>
        <bottom style="thin">
          <color theme="0" tint="-0.24994659260841701"/>
        </bottom>
        <vertical/>
        <horizontal/>
      </border>
    </dxf>
    <dxf>
      <border diagonalUp="0" diagonalDown="0">
        <left/>
        <right/>
        <top style="thin">
          <color theme="0" tint="-0.24994659260841701"/>
        </top>
        <bottom style="thin">
          <color theme="0" tint="-0.24994659260841701"/>
        </bottom>
        <vertical/>
        <horizontal/>
      </border>
    </dxf>
    <dxf>
      <border diagonalUp="0" diagonalDown="0">
        <left/>
        <right/>
        <top style="thin">
          <color theme="0" tint="-0.24994659260841701"/>
        </top>
        <bottom style="thin">
          <color theme="0" tint="-0.24994659260841701"/>
        </bottom>
        <vertical/>
        <horizontal/>
      </border>
    </dxf>
    <dxf>
      <alignment vertical="bottom" textRotation="0" wrapText="1" indent="0" justifyLastLine="0" shrinkToFit="0" readingOrder="0"/>
      <border diagonalUp="0" diagonalDown="0" outline="0">
        <left/>
        <right/>
        <top style="thin">
          <color theme="0" tint="-0.24994659260841701"/>
        </top>
        <bottom style="thin">
          <color theme="0" tint="-0.24994659260841701"/>
        </bottom>
      </border>
    </dxf>
    <dxf>
      <alignment vertical="bottom" textRotation="0" wrapText="1" indent="0" justifyLastLine="0" shrinkToFit="0" readingOrder="0"/>
      <border diagonalUp="0" diagonalDown="0" outline="0">
        <left/>
        <right/>
        <top style="thin">
          <color theme="0" tint="-0.24994659260841701"/>
        </top>
        <bottom style="thin">
          <color theme="0" tint="-0.24994659260841701"/>
        </bottom>
      </border>
    </dxf>
    <dxf>
      <alignment vertical="bottom" textRotation="0" wrapText="1" indent="0" justifyLastLine="0" shrinkToFit="0" readingOrder="0"/>
      <border diagonalUp="0" diagonalDown="0" outline="0">
        <left/>
        <right/>
        <top style="thin">
          <color theme="0" tint="-0.24994659260841701"/>
        </top>
        <bottom style="thin">
          <color theme="0" tint="-0.24994659260841701"/>
        </bottom>
      </border>
    </dxf>
    <dxf>
      <alignment vertical="bottom" textRotation="0" wrapText="1" indent="0" justifyLastLine="0" shrinkToFit="0" readingOrder="0"/>
      <border diagonalUp="0" diagonalDown="0" outline="0">
        <left style="thin">
          <color theme="0" tint="-0.24994659260841701"/>
        </left>
        <right/>
        <top style="thin">
          <color theme="0" tint="-0.24994659260841701"/>
        </top>
        <bottom style="thin">
          <color theme="0" tint="-0.24994659260841701"/>
        </bottom>
      </border>
    </dxf>
    <dxf>
      <border>
        <bottom style="thin">
          <color indexed="64"/>
        </bottom>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0"/>
        <color auto="1"/>
        <name val="Aptos Narrow"/>
        <family val="2"/>
        <scheme val="minor"/>
      </font>
      <numFmt numFmtId="22" formatCode="mmm\-yy"/>
      <fill>
        <patternFill patternType="solid">
          <fgColor indexed="64"/>
          <bgColor theme="0" tint="-0.3499862666707357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color theme="1"/>
      </font>
      <fill>
        <patternFill>
          <bgColor theme="7" tint="0.59996337778862885"/>
        </patternFill>
      </fill>
    </dxf>
    <dxf>
      <font>
        <b val="0"/>
        <i val="0"/>
        <color theme="1"/>
      </font>
      <fill>
        <patternFill>
          <bgColor theme="7" tint="0.59996337778862885"/>
        </patternFill>
      </fill>
    </dxf>
    <dxf>
      <font>
        <b val="0"/>
        <i val="0"/>
        <color theme="1"/>
      </font>
      <fill>
        <patternFill>
          <bgColor theme="7" tint="0.59996337778862885"/>
        </patternFill>
      </fill>
    </dxf>
    <dxf>
      <font>
        <b val="0"/>
        <i val="0"/>
        <color theme="1"/>
      </font>
      <fill>
        <patternFill>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22/11/relationships/FeaturePropertyBag" Target="featurePropertyBag/featurePropertyBag.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77</xdr:col>
      <xdr:colOff>66675</xdr:colOff>
      <xdr:row>1</xdr:row>
      <xdr:rowOff>76200</xdr:rowOff>
    </xdr:from>
    <xdr:to>
      <xdr:col>79</xdr:col>
      <xdr:colOff>466725</xdr:colOff>
      <xdr:row>17</xdr:row>
      <xdr:rowOff>76200</xdr:rowOff>
    </xdr:to>
    <mc:AlternateContent xmlns:mc="http://schemas.openxmlformats.org/markup-compatibility/2006" xmlns:sle15="http://schemas.microsoft.com/office/drawing/2012/slicer">
      <mc:Choice Requires="sle15">
        <xdr:graphicFrame macro="">
          <xdr:nvGraphicFramePr>
            <xdr:cNvPr id="2" name="TCV">
              <a:extLst>
                <a:ext uri="{FF2B5EF4-FFF2-40B4-BE49-F238E27FC236}">
                  <a16:creationId xmlns:a16="http://schemas.microsoft.com/office/drawing/2014/main" id="{372BED88-D007-A847-974F-E78B595E9164}"/>
                </a:ext>
              </a:extLst>
            </xdr:cNvPr>
            <xdr:cNvGraphicFramePr/>
          </xdr:nvGraphicFramePr>
          <xdr:xfrm>
            <a:off x="0" y="0"/>
            <a:ext cx="0" cy="0"/>
          </xdr:xfrm>
          <a:graphic>
            <a:graphicData uri="http://schemas.microsoft.com/office/drawing/2010/slicer">
              <sle:slicer xmlns:sle="http://schemas.microsoft.com/office/drawing/2010/slicer" name="TCV"/>
            </a:graphicData>
          </a:graphic>
        </xdr:graphicFrame>
      </mc:Choice>
      <mc:Fallback xmlns="">
        <xdr:sp macro="" textlink="">
          <xdr:nvSpPr>
            <xdr:cNvPr id="0" name=""/>
            <xdr:cNvSpPr>
              <a:spLocks noTextEdit="1"/>
            </xdr:cNvSpPr>
          </xdr:nvSpPr>
          <xdr:spPr>
            <a:xfrm>
              <a:off x="35179000" y="266700"/>
              <a:ext cx="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77</xdr:col>
      <xdr:colOff>66675</xdr:colOff>
      <xdr:row>17</xdr:row>
      <xdr:rowOff>142875</xdr:rowOff>
    </xdr:from>
    <xdr:to>
      <xdr:col>79</xdr:col>
      <xdr:colOff>466725</xdr:colOff>
      <xdr:row>31</xdr:row>
      <xdr:rowOff>142875</xdr:rowOff>
    </xdr:to>
    <mc:AlternateContent xmlns:mc="http://schemas.openxmlformats.org/markup-compatibility/2006" xmlns:sle15="http://schemas.microsoft.com/office/drawing/2012/slicer">
      <mc:Choice Requires="sle15">
        <xdr:graphicFrame macro="">
          <xdr:nvGraphicFramePr>
            <xdr:cNvPr id="3" name="FY27">
              <a:extLst>
                <a:ext uri="{FF2B5EF4-FFF2-40B4-BE49-F238E27FC236}">
                  <a16:creationId xmlns:a16="http://schemas.microsoft.com/office/drawing/2014/main" id="{8688F5A0-6540-D541-99F6-CCC0D3083240}"/>
                </a:ext>
              </a:extLst>
            </xdr:cNvPr>
            <xdr:cNvGraphicFramePr/>
          </xdr:nvGraphicFramePr>
          <xdr:xfrm>
            <a:off x="0" y="0"/>
            <a:ext cx="0" cy="0"/>
          </xdr:xfrm>
          <a:graphic>
            <a:graphicData uri="http://schemas.microsoft.com/office/drawing/2010/slicer">
              <sle:slicer xmlns:sle="http://schemas.microsoft.com/office/drawing/2010/slicer" name="FY27"/>
            </a:graphicData>
          </a:graphic>
        </xdr:graphicFrame>
      </mc:Choice>
      <mc:Fallback xmlns="">
        <xdr:sp macro="" textlink="">
          <xdr:nvSpPr>
            <xdr:cNvPr id="0" name=""/>
            <xdr:cNvSpPr>
              <a:spLocks noTextEdit="1"/>
            </xdr:cNvSpPr>
          </xdr:nvSpPr>
          <xdr:spPr>
            <a:xfrm>
              <a:off x="35179000" y="3000375"/>
              <a:ext cx="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apcoinc.sharepoint.com/sites/USOPS/Shared%20Documents/Forecast,%20Reporting/FY27/AI%20infusion%20FF%20Projects.xlsx" TargetMode="External"/><Relationship Id="rId1" Type="http://schemas.openxmlformats.org/officeDocument/2006/relationships/externalLinkPath" Target="https://capcoinc.sharepoint.com/sites/USOPS/Shared%20Documents/Forecast,%20Reporting/FY27/AI%20infusion%20FF%20Projec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olidated Data"/>
      <sheetName val="Project View All Projects"/>
      <sheetName val="Project View FF (2)"/>
      <sheetName val="Sheet2"/>
      <sheetName val="AI infusion Fixed Fee Projects"/>
      <sheetName val="Project View FF"/>
    </sheetNames>
    <sheetDataSet>
      <sheetData sheetId="0"/>
      <sheetData sheetId="1"/>
      <sheetData sheetId="2"/>
      <sheetData sheetId="3">
        <row r="1">
          <cell r="C1" t="str">
            <v>Name</v>
          </cell>
          <cell r="H1" t="str">
            <v>Project ID</v>
          </cell>
          <cell r="AK1" t="str">
            <v>Project Manager</v>
          </cell>
        </row>
        <row r="2">
          <cell r="C2" t="str">
            <v>27551-IBS-Seaside National Ban</v>
          </cell>
          <cell r="H2">
            <v>5030349</v>
          </cell>
          <cell r="AK2" t="str">
            <v>Cristina Arechaga</v>
          </cell>
        </row>
        <row r="3">
          <cell r="C3" t="str">
            <v>Aurora-MQC</v>
          </cell>
          <cell r="H3">
            <v>5029579</v>
          </cell>
          <cell r="AK3" t="str">
            <v>Cristina Arechaga</v>
          </cell>
        </row>
        <row r="4">
          <cell r="C4" t="str">
            <v>6971-RAS-Legacy Bank</v>
          </cell>
          <cell r="H4">
            <v>5030661</v>
          </cell>
          <cell r="AK4" t="str">
            <v>Cristina Arechaga</v>
          </cell>
        </row>
        <row r="5">
          <cell r="C5" t="str">
            <v>9081-RAS-First National Bank o</v>
          </cell>
          <cell r="H5">
            <v>5030735</v>
          </cell>
          <cell r="AK5" t="str">
            <v>Cristina Arechaga</v>
          </cell>
        </row>
        <row r="6">
          <cell r="C6" t="str">
            <v>6943-RAS-Legacy Bank</v>
          </cell>
          <cell r="H6">
            <v>5030660</v>
          </cell>
          <cell r="AK6" t="str">
            <v>Cristina Arechaga</v>
          </cell>
        </row>
        <row r="7">
          <cell r="C7" t="str">
            <v>9033-RAS-Citizens State Bank &amp;</v>
          </cell>
          <cell r="H7">
            <v>5030733</v>
          </cell>
          <cell r="AK7" t="str">
            <v>Cristina Arechaga</v>
          </cell>
        </row>
        <row r="8">
          <cell r="C8" t="str">
            <v>10344-RAS-Riley State Bank</v>
          </cell>
          <cell r="H8">
            <v>5030792</v>
          </cell>
          <cell r="AK8" t="str">
            <v>Cristina Arechaga</v>
          </cell>
        </row>
        <row r="9">
          <cell r="C9" t="str">
            <v>567-RAS-Texas Capital Bank</v>
          </cell>
          <cell r="H9">
            <v>5030420</v>
          </cell>
          <cell r="AK9" t="str">
            <v>Cristina Arechaga</v>
          </cell>
        </row>
        <row r="10">
          <cell r="C10" t="str">
            <v>7107-RAS-Preferred Bank</v>
          </cell>
          <cell r="H10">
            <v>5030618</v>
          </cell>
          <cell r="AK10" t="str">
            <v>Cristina Arechaga</v>
          </cell>
        </row>
        <row r="11">
          <cell r="C11" t="str">
            <v>11752-RAS-First National Bank</v>
          </cell>
          <cell r="H11">
            <v>5030849</v>
          </cell>
          <cell r="AK11" t="str">
            <v>Cristina Arechaga</v>
          </cell>
        </row>
        <row r="12">
          <cell r="C12" t="str">
            <v>11094-RAS-Mer Rouge State Bank</v>
          </cell>
          <cell r="H12">
            <v>5030820</v>
          </cell>
          <cell r="AK12" t="str">
            <v>Cristina Arechaga</v>
          </cell>
        </row>
        <row r="13">
          <cell r="C13" t="str">
            <v>2422-RAS-First Bank South Arka</v>
          </cell>
          <cell r="H13">
            <v>5030455</v>
          </cell>
          <cell r="AK13" t="str">
            <v>Cristina Arechaga</v>
          </cell>
        </row>
        <row r="14">
          <cell r="C14" t="str">
            <v>10906-RAS-Carver State Bank</v>
          </cell>
          <cell r="H14">
            <v>5030815</v>
          </cell>
          <cell r="AK14" t="str">
            <v>Cristina Arechaga</v>
          </cell>
        </row>
        <row r="15">
          <cell r="C15" t="str">
            <v>9063-RAS-BOM</v>
          </cell>
          <cell r="H15">
            <v>5030734</v>
          </cell>
          <cell r="AK15" t="str">
            <v>Cristina Arechaga</v>
          </cell>
        </row>
        <row r="16">
          <cell r="C16" t="str">
            <v>10529-RAS-American Bank Center</v>
          </cell>
          <cell r="H16">
            <v>5030801</v>
          </cell>
          <cell r="AK16" t="str">
            <v>Cristina Arechaga</v>
          </cell>
        </row>
        <row r="17">
          <cell r="C17" t="str">
            <v>438-RAS-Liberty Bank</v>
          </cell>
          <cell r="H17">
            <v>5030419</v>
          </cell>
          <cell r="AK17" t="str">
            <v>Cristina Arechaga</v>
          </cell>
        </row>
        <row r="18">
          <cell r="C18" t="str">
            <v>5004-RAS-First State Bank of D</v>
          </cell>
          <cell r="H18">
            <v>5030585</v>
          </cell>
          <cell r="AK18" t="str">
            <v>Cristina Arechaga</v>
          </cell>
        </row>
        <row r="19">
          <cell r="C19" t="str">
            <v>RBS/Greenwich PMO Services</v>
          </cell>
          <cell r="H19">
            <v>5002716</v>
          </cell>
          <cell r="AK19" t="str">
            <v>DELETED USER</v>
          </cell>
        </row>
        <row r="20">
          <cell r="C20" t="str">
            <v>5531-RAS-Northview Bank</v>
          </cell>
          <cell r="H20">
            <v>5030613</v>
          </cell>
          <cell r="AK20" t="str">
            <v>Cristina Arechaga</v>
          </cell>
        </row>
        <row r="21">
          <cell r="C21" t="str">
            <v>11942-RAS-All America Bank</v>
          </cell>
          <cell r="H21">
            <v>5030860</v>
          </cell>
          <cell r="AK21" t="str">
            <v>Cristina Arechaga</v>
          </cell>
        </row>
        <row r="22">
          <cell r="C22" t="str">
            <v>407-RAS-Jacksboro National Ban</v>
          </cell>
          <cell r="H22">
            <v>5030418</v>
          </cell>
          <cell r="AK22" t="str">
            <v>Cristina Arechaga</v>
          </cell>
        </row>
        <row r="23">
          <cell r="C23" t="str">
            <v>Openlink - EMMT</v>
          </cell>
          <cell r="H23">
            <v>5003148</v>
          </cell>
          <cell r="AK23" t="str">
            <v>DELETED USER</v>
          </cell>
        </row>
        <row r="24">
          <cell r="C24" t="str">
            <v>30220-RAS-Springfield First Co</v>
          </cell>
          <cell r="H24">
            <v>5030362</v>
          </cell>
          <cell r="AK24" t="str">
            <v>Cristina Arechaga</v>
          </cell>
        </row>
        <row r="25">
          <cell r="C25" t="str">
            <v>FarmersMerch-MQC</v>
          </cell>
          <cell r="H25">
            <v>5029701</v>
          </cell>
          <cell r="AK25" t="str">
            <v>Cristina Arechaga</v>
          </cell>
        </row>
        <row r="26">
          <cell r="C26" t="str">
            <v>3829-RAS-Pentucket Bank</v>
          </cell>
          <cell r="H26">
            <v>5030558</v>
          </cell>
          <cell r="AK26" t="str">
            <v>Cristina Arechaga</v>
          </cell>
        </row>
        <row r="27">
          <cell r="C27" t="str">
            <v>Share Class Suitability (SCS)</v>
          </cell>
          <cell r="H27">
            <v>5003678</v>
          </cell>
          <cell r="AK27" t="str">
            <v>DELETED USER</v>
          </cell>
        </row>
        <row r="28">
          <cell r="C28" t="str">
            <v>ICB China-MQC</v>
          </cell>
          <cell r="H28">
            <v>5029607</v>
          </cell>
          <cell r="AK28" t="str">
            <v>Cristina Arechaga</v>
          </cell>
        </row>
        <row r="29">
          <cell r="C29" t="str">
            <v>38592-RAS-Iversen &amp; Anderson</v>
          </cell>
          <cell r="H29">
            <v>5030374</v>
          </cell>
          <cell r="AK29" t="str">
            <v>Cristina Arechaga</v>
          </cell>
        </row>
        <row r="30">
          <cell r="C30" t="str">
            <v>Credit Suisse - CSDS 2009</v>
          </cell>
          <cell r="H30">
            <v>5003815</v>
          </cell>
          <cell r="AK30" t="str">
            <v>DELETED USER</v>
          </cell>
        </row>
        <row r="31">
          <cell r="C31" t="str">
            <v>Goldman-Compliance Consult</v>
          </cell>
          <cell r="H31">
            <v>5029551</v>
          </cell>
          <cell r="AK31" t="str">
            <v>John Soffronoff</v>
          </cell>
        </row>
        <row r="32">
          <cell r="C32" t="str">
            <v>Cancel &amp; Correct Proc Reqmnts</v>
          </cell>
          <cell r="H32">
            <v>5003869</v>
          </cell>
          <cell r="AK32" t="str">
            <v>Daniel Denning</v>
          </cell>
        </row>
        <row r="33">
          <cell r="C33" t="str">
            <v>NewEdge May09 Ext</v>
          </cell>
          <cell r="H33">
            <v>5003864</v>
          </cell>
          <cell r="AK33" t="str">
            <v>DELETED USER</v>
          </cell>
        </row>
        <row r="34">
          <cell r="C34" t="str">
            <v>7087-RAS-Winona National Bank</v>
          </cell>
          <cell r="H34">
            <v>5030617</v>
          </cell>
          <cell r="AK34" t="str">
            <v>Cristina Arechaga</v>
          </cell>
        </row>
        <row r="35">
          <cell r="C35" t="str">
            <v>8280-RAS-Campbell &amp; Fetter Ban</v>
          </cell>
          <cell r="H35">
            <v>5030703</v>
          </cell>
          <cell r="AK35" t="str">
            <v>Cristina Arechaga</v>
          </cell>
        </row>
        <row r="36">
          <cell r="C36" t="str">
            <v>Windsor-MQC</v>
          </cell>
          <cell r="H36">
            <v>5029586</v>
          </cell>
          <cell r="AK36" t="str">
            <v>Cristina Arechaga</v>
          </cell>
        </row>
        <row r="37">
          <cell r="C37" t="str">
            <v>Northview Inv-Opr Model Plng</v>
          </cell>
          <cell r="H37">
            <v>5004033</v>
          </cell>
          <cell r="AK37" t="str">
            <v>Robert Norris</v>
          </cell>
        </row>
        <row r="38">
          <cell r="C38" t="str">
            <v>NewEdge Apr09 Ext</v>
          </cell>
          <cell r="H38">
            <v>5004352</v>
          </cell>
          <cell r="AK38" t="str">
            <v>DELETED USER</v>
          </cell>
        </row>
        <row r="39">
          <cell r="C39" t="str">
            <v>CS Strategic Project Office</v>
          </cell>
          <cell r="H39">
            <v>5004122</v>
          </cell>
          <cell r="AK39" t="str">
            <v>DELETED USER</v>
          </cell>
        </row>
        <row r="40">
          <cell r="C40" t="str">
            <v>27119-RAS-State Bank of Georgi</v>
          </cell>
          <cell r="H40">
            <v>5030345</v>
          </cell>
          <cell r="AK40" t="str">
            <v>Cristina Arechaga</v>
          </cell>
        </row>
        <row r="41">
          <cell r="C41" t="str">
            <v>DKB  Commerz Bank PMI</v>
          </cell>
          <cell r="H41">
            <v>5004307</v>
          </cell>
          <cell r="AK41" t="str">
            <v>DELETED USER</v>
          </cell>
        </row>
        <row r="42">
          <cell r="C42" t="str">
            <v>Atlantic Home Loans-MQC</v>
          </cell>
          <cell r="H42">
            <v>5029768</v>
          </cell>
          <cell r="AK42" t="str">
            <v>Cristina Arechaga</v>
          </cell>
        </row>
        <row r="43">
          <cell r="C43" t="str">
            <v>12608-RAS-Hamilton Federal Ban</v>
          </cell>
          <cell r="H43">
            <v>5030875</v>
          </cell>
          <cell r="AK43" t="str">
            <v>Cristina Arechaga</v>
          </cell>
        </row>
        <row r="44">
          <cell r="C44" t="str">
            <v>12579-RAS-Rockland Savings Ban</v>
          </cell>
          <cell r="H44">
            <v>5030829</v>
          </cell>
          <cell r="AK44" t="str">
            <v>Cristina Arechaga</v>
          </cell>
        </row>
        <row r="45">
          <cell r="C45" t="str">
            <v>7659-RAS-Progressive Bank</v>
          </cell>
          <cell r="H45">
            <v>5030674</v>
          </cell>
          <cell r="AK45" t="str">
            <v>Cristina Arechaga</v>
          </cell>
        </row>
        <row r="46">
          <cell r="C46" t="str">
            <v>45141-RAS-Padgett  Stratemann</v>
          </cell>
          <cell r="H46">
            <v>5030380</v>
          </cell>
          <cell r="AK46" t="str">
            <v>Cristina Arechaga</v>
          </cell>
        </row>
        <row r="47">
          <cell r="C47" t="str">
            <v>8911-RAS-Republic Bank of Chic</v>
          </cell>
          <cell r="H47">
            <v>5030730</v>
          </cell>
          <cell r="AK47" t="str">
            <v>Cristina Arechaga</v>
          </cell>
        </row>
        <row r="48">
          <cell r="C48" t="str">
            <v>FM_PM Services Loan/Securites</v>
          </cell>
          <cell r="H48">
            <v>5013425</v>
          </cell>
          <cell r="AK48" t="str">
            <v>Bryce VanDiver</v>
          </cell>
        </row>
        <row r="49">
          <cell r="C49" t="str">
            <v>7086-RAS-Ultima Bank Minnesota</v>
          </cell>
          <cell r="H49">
            <v>5030616</v>
          </cell>
          <cell r="AK49" t="str">
            <v>Cristina Arechaga</v>
          </cell>
        </row>
        <row r="50">
          <cell r="C50" t="str">
            <v>India NY-CRA Plan &amp; Train</v>
          </cell>
          <cell r="H50">
            <v>5029537</v>
          </cell>
          <cell r="AK50" t="str">
            <v>David Belfer</v>
          </cell>
        </row>
        <row r="51">
          <cell r="C51" t="str">
            <v>11405-RAS-National Exchange Ba</v>
          </cell>
          <cell r="H51">
            <v>5030838</v>
          </cell>
          <cell r="AK51" t="str">
            <v>Cristina Arechaga</v>
          </cell>
        </row>
        <row r="52">
          <cell r="C52" t="str">
            <v>9930-RAS-Commercial Bank of Te</v>
          </cell>
          <cell r="H52">
            <v>5030773</v>
          </cell>
          <cell r="AK52" t="str">
            <v>Cristina Arechaga</v>
          </cell>
        </row>
        <row r="53">
          <cell r="C53" t="str">
            <v>9609-RAS-Wayne Bank &amp; Trust Co</v>
          </cell>
          <cell r="H53">
            <v>5030757</v>
          </cell>
          <cell r="AK53" t="str">
            <v>Cristina Arechaga</v>
          </cell>
        </row>
        <row r="54">
          <cell r="C54" t="str">
            <v>8266-RAS-First Eagle National</v>
          </cell>
          <cell r="H54">
            <v>5030702</v>
          </cell>
          <cell r="AK54" t="str">
            <v>Cristina Arechaga</v>
          </cell>
        </row>
        <row r="55">
          <cell r="C55" t="str">
            <v>2714-RAS-State Bank of Souther</v>
          </cell>
          <cell r="H55">
            <v>5030481</v>
          </cell>
          <cell r="AK55" t="str">
            <v>Cristina Arechaga</v>
          </cell>
        </row>
        <row r="56">
          <cell r="C56" t="str">
            <v>1391-RAS-Saco &amp; Biddeford Savi</v>
          </cell>
          <cell r="H56">
            <v>5030431</v>
          </cell>
          <cell r="AK56" t="str">
            <v>Cristina Arechaga</v>
          </cell>
        </row>
        <row r="57">
          <cell r="C57" t="str">
            <v>US Bank_Teller CapEx</v>
          </cell>
          <cell r="H57">
            <v>5007497</v>
          </cell>
          <cell r="AK57" t="str">
            <v>Karl Augenstein</v>
          </cell>
        </row>
        <row r="58">
          <cell r="C58" t="str">
            <v>3575-RAS-Eastern National Bank</v>
          </cell>
          <cell r="H58">
            <v>5030538</v>
          </cell>
          <cell r="AK58" t="str">
            <v>Cristina Arechaga</v>
          </cell>
        </row>
        <row r="59">
          <cell r="C59" t="str">
            <v>11900-RAS-National Union Bank</v>
          </cell>
          <cell r="H59">
            <v>5030858</v>
          </cell>
          <cell r="AK59" t="str">
            <v>Cristina Arechaga</v>
          </cell>
        </row>
        <row r="60">
          <cell r="C60" t="str">
            <v>10427-RAS-First State Bank</v>
          </cell>
          <cell r="H60">
            <v>5030798</v>
          </cell>
          <cell r="AK60" t="str">
            <v>Cristina Arechaga</v>
          </cell>
        </row>
        <row r="61">
          <cell r="C61" t="str">
            <v>5513-RAS-First State Bank</v>
          </cell>
          <cell r="H61">
            <v>5030598</v>
          </cell>
          <cell r="AK61" t="str">
            <v>Cristina Arechaga</v>
          </cell>
        </row>
        <row r="62">
          <cell r="C62" t="str">
            <v>3092-RAS-First State Bank</v>
          </cell>
          <cell r="H62">
            <v>5030519</v>
          </cell>
          <cell r="AK62" t="str">
            <v>Cristina Arechaga</v>
          </cell>
        </row>
        <row r="63">
          <cell r="C63" t="str">
            <v>11570-RAS-Citizens Bank &amp; Trus</v>
          </cell>
          <cell r="H63">
            <v>5030844</v>
          </cell>
          <cell r="AK63" t="str">
            <v>Cristina Arechaga</v>
          </cell>
        </row>
        <row r="64">
          <cell r="C64" t="str">
            <v>4642-RAS-Peoples Bank of Alaba</v>
          </cell>
          <cell r="H64">
            <v>5030576</v>
          </cell>
          <cell r="AK64" t="str">
            <v>Cristina Arechaga</v>
          </cell>
        </row>
        <row r="65">
          <cell r="C65" t="str">
            <v>3809-RAS-American Bank and Tru</v>
          </cell>
          <cell r="H65">
            <v>5030554</v>
          </cell>
          <cell r="AK65" t="str">
            <v>Cristina Arechaga</v>
          </cell>
        </row>
        <row r="66">
          <cell r="C66" t="str">
            <v>36780-RAS-Bear State Financial</v>
          </cell>
          <cell r="H66">
            <v>5030371</v>
          </cell>
          <cell r="AK66" t="str">
            <v>Cristina Arechaga</v>
          </cell>
        </row>
        <row r="67">
          <cell r="C67" t="str">
            <v>11212-RAS-First National Bank</v>
          </cell>
          <cell r="H67">
            <v>5030831</v>
          </cell>
          <cell r="AK67" t="str">
            <v>Cristina Arechaga</v>
          </cell>
        </row>
        <row r="68">
          <cell r="C68" t="str">
            <v>8617-RAS-Inwood National Bank</v>
          </cell>
          <cell r="H68">
            <v>5030713</v>
          </cell>
          <cell r="AK68" t="str">
            <v>Cristina Arechaga</v>
          </cell>
        </row>
        <row r="69">
          <cell r="C69" t="str">
            <v>7898-RAS-Citizens Bank</v>
          </cell>
          <cell r="H69">
            <v>5030685</v>
          </cell>
          <cell r="AK69" t="str">
            <v>Cristina Arechaga</v>
          </cell>
        </row>
        <row r="70">
          <cell r="C70" t="str">
            <v>7506-RAS-Mercantil Commerceban</v>
          </cell>
          <cell r="H70">
            <v>5030669</v>
          </cell>
          <cell r="AK70" t="str">
            <v>Cristina Arechaga</v>
          </cell>
        </row>
        <row r="71">
          <cell r="C71" t="str">
            <v>287-RAS-Firstrust Savings Bank</v>
          </cell>
          <cell r="H71">
            <v>5030415</v>
          </cell>
          <cell r="AK71" t="str">
            <v>Cristina Arechaga</v>
          </cell>
        </row>
        <row r="72">
          <cell r="C72" t="str">
            <v>12117-RAS-NatBank  NA</v>
          </cell>
          <cell r="H72">
            <v>5030867</v>
          </cell>
          <cell r="AK72" t="str">
            <v>Cristina Arechaga</v>
          </cell>
        </row>
        <row r="73">
          <cell r="C73" t="str">
            <v>CommunityCU-MQC</v>
          </cell>
          <cell r="H73">
            <v>5029661</v>
          </cell>
          <cell r="AK73" t="str">
            <v>Cristina Arechaga</v>
          </cell>
        </row>
        <row r="74">
          <cell r="C74" t="str">
            <v>8852-RAS-ConnectOne Bank</v>
          </cell>
          <cell r="H74">
            <v>5030723</v>
          </cell>
          <cell r="AK74" t="str">
            <v>Cristina Arechaga</v>
          </cell>
        </row>
        <row r="75">
          <cell r="C75" t="str">
            <v>18714-RAS-Western Alliance Ban</v>
          </cell>
          <cell r="H75">
            <v>5030329</v>
          </cell>
          <cell r="AK75" t="str">
            <v>Cristina Arechaga</v>
          </cell>
        </row>
        <row r="76">
          <cell r="C76" t="str">
            <v>12917-RAS-Westmoreland Federal</v>
          </cell>
          <cell r="H76">
            <v>5030887</v>
          </cell>
          <cell r="AK76" t="str">
            <v>Cristina Arechaga</v>
          </cell>
        </row>
        <row r="77">
          <cell r="C77" t="str">
            <v>11111-RAS-CenBank</v>
          </cell>
          <cell r="H77">
            <v>5030821</v>
          </cell>
          <cell r="AK77" t="str">
            <v>Cristina Arechaga</v>
          </cell>
        </row>
        <row r="78">
          <cell r="C78" t="str">
            <v>11608-RAS-Bank of Hawaii  #306</v>
          </cell>
          <cell r="H78">
            <v>5030847</v>
          </cell>
          <cell r="AK78" t="str">
            <v>Cristina Arechaga</v>
          </cell>
        </row>
        <row r="79">
          <cell r="C79" t="str">
            <v>8197-RAS-Pueblo Bank &amp; Trust C</v>
          </cell>
          <cell r="H79">
            <v>5030697</v>
          </cell>
          <cell r="AK79" t="str">
            <v>Cristina Arechaga</v>
          </cell>
        </row>
        <row r="80">
          <cell r="C80" t="str">
            <v>38888-RAS-Lasco Development Co</v>
          </cell>
          <cell r="H80">
            <v>5030376</v>
          </cell>
          <cell r="AK80" t="str">
            <v>Cristina Arechaga</v>
          </cell>
        </row>
        <row r="81">
          <cell r="C81" t="str">
            <v>17265-RAS-Oriental Financial G</v>
          </cell>
          <cell r="H81">
            <v>5030324</v>
          </cell>
          <cell r="AK81" t="str">
            <v>Cristina Arechaga</v>
          </cell>
        </row>
        <row r="82">
          <cell r="C82" t="str">
            <v>SUNC</v>
          </cell>
          <cell r="H82">
            <v>5030347</v>
          </cell>
          <cell r="AK82" t="str">
            <v>Cristina Arechaga</v>
          </cell>
        </row>
        <row r="83">
          <cell r="C83" t="str">
            <v>7838-RAS-SpiritBank</v>
          </cell>
          <cell r="H83">
            <v>5030682</v>
          </cell>
          <cell r="AK83" t="str">
            <v>Cristina Arechaga</v>
          </cell>
        </row>
        <row r="84">
          <cell r="C84" t="str">
            <v>GS_CrossDivProjectsSupt-CapMkt</v>
          </cell>
          <cell r="H84">
            <v>5009136</v>
          </cell>
          <cell r="AK84" t="str">
            <v>DELETED USER</v>
          </cell>
        </row>
        <row r="85">
          <cell r="C85" t="str">
            <v>6019-RAS-First Federal Bank of</v>
          </cell>
          <cell r="H85">
            <v>5030645</v>
          </cell>
          <cell r="AK85" t="str">
            <v>Cristina Arechaga</v>
          </cell>
        </row>
        <row r="86">
          <cell r="C86" t="str">
            <v>3260-RAS-Community Bank</v>
          </cell>
          <cell r="H86">
            <v>5030522</v>
          </cell>
          <cell r="AK86" t="str">
            <v>Cristina Arechaga</v>
          </cell>
        </row>
        <row r="87">
          <cell r="C87" t="str">
            <v>3505-RAS-Affinity Bank</v>
          </cell>
          <cell r="H87">
            <v>5030535</v>
          </cell>
          <cell r="AK87" t="str">
            <v>Cristina Arechaga</v>
          </cell>
        </row>
        <row r="88">
          <cell r="C88" t="str">
            <v>5331-RAS-Carolina Bank</v>
          </cell>
          <cell r="H88">
            <v>5030591</v>
          </cell>
          <cell r="AK88" t="str">
            <v>Cristina Arechaga</v>
          </cell>
        </row>
        <row r="89">
          <cell r="C89" t="str">
            <v>10224-RAS-Casey State Bank</v>
          </cell>
          <cell r="H89">
            <v>5030787</v>
          </cell>
          <cell r="AK89" t="str">
            <v>Cristina Arechaga</v>
          </cell>
        </row>
        <row r="90">
          <cell r="C90" t="str">
            <v>4684-RAS-Evangeline Bank &amp; Tru</v>
          </cell>
          <cell r="H90">
            <v>5030581</v>
          </cell>
          <cell r="AK90" t="str">
            <v>Cristina Arechaga</v>
          </cell>
        </row>
        <row r="91">
          <cell r="C91" t="str">
            <v>DFPS_EODMonitoringProcess1Ext</v>
          </cell>
          <cell r="H91">
            <v>5009221</v>
          </cell>
          <cell r="AK91" t="str">
            <v>DELETED USER</v>
          </cell>
        </row>
        <row r="92">
          <cell r="C92" t="str">
            <v>Anthem B&amp;T-MQC</v>
          </cell>
          <cell r="H92">
            <v>5029623</v>
          </cell>
          <cell r="AK92" t="str">
            <v>DELETED USER</v>
          </cell>
        </row>
        <row r="93">
          <cell r="C93" t="str">
            <v>2784-RAS-Southern Bancorp</v>
          </cell>
          <cell r="H93">
            <v>5030485</v>
          </cell>
          <cell r="AK93" t="str">
            <v>Cristina Arechaga</v>
          </cell>
        </row>
        <row r="94">
          <cell r="C94" t="str">
            <v>35780-RAS-Davis  Kinard &amp; Co.</v>
          </cell>
          <cell r="H94">
            <v>5030366</v>
          </cell>
          <cell r="AK94" t="str">
            <v>Cristina Arechaga</v>
          </cell>
        </row>
        <row r="95">
          <cell r="C95" t="str">
            <v>2846-RAS-Town-Country National</v>
          </cell>
          <cell r="H95">
            <v>5030489</v>
          </cell>
          <cell r="AK95" t="str">
            <v>Cristina Arechaga</v>
          </cell>
        </row>
        <row r="96">
          <cell r="C96" t="str">
            <v>50983-RAS-Florida Community Ba</v>
          </cell>
          <cell r="H96">
            <v>5030382</v>
          </cell>
          <cell r="AK96" t="str">
            <v>Cristina Arechaga</v>
          </cell>
        </row>
        <row r="97">
          <cell r="C97" t="str">
            <v>7193-RAS-First State Bank</v>
          </cell>
          <cell r="H97">
            <v>5030621</v>
          </cell>
          <cell r="AK97" t="str">
            <v>Cristina Arechaga</v>
          </cell>
        </row>
        <row r="98">
          <cell r="C98" t="str">
            <v>11772-RAS-Saint Martin Bank &amp;</v>
          </cell>
          <cell r="H98">
            <v>5030850</v>
          </cell>
          <cell r="AK98" t="str">
            <v>Cristina Arechaga</v>
          </cell>
        </row>
        <row r="99">
          <cell r="C99" t="str">
            <v>9107-RAS-Citizens Independent</v>
          </cell>
          <cell r="H99">
            <v>5030737</v>
          </cell>
          <cell r="AK99" t="str">
            <v>Cristina Arechaga</v>
          </cell>
        </row>
        <row r="100">
          <cell r="C100" t="str">
            <v>5548-RAS-Security State Bank</v>
          </cell>
          <cell r="H100">
            <v>5030614</v>
          </cell>
          <cell r="AK100" t="str">
            <v>Cristina Arechaga</v>
          </cell>
        </row>
        <row r="101">
          <cell r="C101" t="str">
            <v>1330-RAS-Security State Bank</v>
          </cell>
          <cell r="H101">
            <v>5030430</v>
          </cell>
          <cell r="AK101" t="str">
            <v>Cristina Arechaga</v>
          </cell>
        </row>
        <row r="102">
          <cell r="C102" t="str">
            <v>7185-RAS-Vinton County Nationa</v>
          </cell>
          <cell r="H102">
            <v>5030620</v>
          </cell>
          <cell r="AK102" t="str">
            <v>Cristina Arechaga</v>
          </cell>
        </row>
        <row r="103">
          <cell r="C103" t="str">
            <v>GMACM_FHA Review</v>
          </cell>
          <cell r="H103">
            <v>5006724</v>
          </cell>
          <cell r="AK103" t="str">
            <v>DELETED USER</v>
          </cell>
        </row>
        <row r="104">
          <cell r="C104" t="str">
            <v>Erie FCU-MQC</v>
          </cell>
          <cell r="H104">
            <v>5029594</v>
          </cell>
          <cell r="AK104" t="str">
            <v>Cristina Arechaga</v>
          </cell>
        </row>
        <row r="105">
          <cell r="C105" t="str">
            <v>10109-RAS-Foresight Financial</v>
          </cell>
          <cell r="H105">
            <v>5030780</v>
          </cell>
          <cell r="AK105" t="str">
            <v>Cristina Arechaga</v>
          </cell>
        </row>
        <row r="106">
          <cell r="C106" t="str">
            <v>4268-RAS-Beach Community Bank</v>
          </cell>
          <cell r="H106">
            <v>5030608</v>
          </cell>
          <cell r="AK106" t="str">
            <v>Cristina Arechaga</v>
          </cell>
        </row>
        <row r="107">
          <cell r="C107" t="str">
            <v>8861-RAS-Farmers Bank</v>
          </cell>
          <cell r="H107">
            <v>5030726</v>
          </cell>
          <cell r="AK107" t="str">
            <v>Cristina Arechaga</v>
          </cell>
        </row>
        <row r="108">
          <cell r="C108" t="str">
            <v>5012-RAS-Heartland National Ba</v>
          </cell>
          <cell r="H108">
            <v>5030586</v>
          </cell>
          <cell r="AK108" t="str">
            <v>Cristina Arechaga</v>
          </cell>
        </row>
        <row r="109">
          <cell r="C109" t="str">
            <v>FIS Consulting Services Suppt</v>
          </cell>
          <cell r="H109">
            <v>5009922</v>
          </cell>
          <cell r="AK109" t="str">
            <v>DELETED USER</v>
          </cell>
        </row>
        <row r="110">
          <cell r="C110" t="str">
            <v>10366-RAS-Forcht Bank  Nationa</v>
          </cell>
          <cell r="H110">
            <v>5030795</v>
          </cell>
          <cell r="AK110" t="str">
            <v>Cristina Arechaga</v>
          </cell>
        </row>
        <row r="111">
          <cell r="C111" t="str">
            <v>3735-RAS-Community First Bank</v>
          </cell>
          <cell r="H111">
            <v>5030551</v>
          </cell>
          <cell r="AK111" t="str">
            <v>Cristina Arechaga</v>
          </cell>
        </row>
        <row r="112">
          <cell r="C112" t="str">
            <v>3002-RAS-Ephrata National Bank</v>
          </cell>
          <cell r="H112">
            <v>5030502</v>
          </cell>
          <cell r="AK112" t="str">
            <v>Cristina Arechaga</v>
          </cell>
        </row>
        <row r="113">
          <cell r="C113" t="str">
            <v>4014-RAS-First Community Bank</v>
          </cell>
          <cell r="H113">
            <v>5030511</v>
          </cell>
          <cell r="AK113" t="str">
            <v>Cristina Arechaga</v>
          </cell>
        </row>
        <row r="114">
          <cell r="C114" t="str">
            <v>CB_HPDesktopIntegration 1ext</v>
          </cell>
          <cell r="H114">
            <v>5009364</v>
          </cell>
          <cell r="AK114" t="str">
            <v>DELETED USER</v>
          </cell>
        </row>
        <row r="115">
          <cell r="C115" t="str">
            <v>2593-RAS-Heritage Bank</v>
          </cell>
          <cell r="H115">
            <v>5030470</v>
          </cell>
          <cell r="AK115" t="str">
            <v>Cristina Arechaga</v>
          </cell>
        </row>
        <row r="116">
          <cell r="C116" t="str">
            <v>11828-RAS-Metropolitan Bank</v>
          </cell>
          <cell r="H116">
            <v>5030853</v>
          </cell>
          <cell r="AK116" t="str">
            <v>Cristina Arechaga</v>
          </cell>
        </row>
        <row r="117">
          <cell r="C117" t="str">
            <v>12059-RAS-Charter Bank Eau Cla</v>
          </cell>
          <cell r="H117">
            <v>5030862</v>
          </cell>
          <cell r="AK117" t="str">
            <v>Cristina Arechaga</v>
          </cell>
        </row>
        <row r="118">
          <cell r="C118" t="str">
            <v>36563-RAS-Federal Deposit Insu</v>
          </cell>
          <cell r="H118">
            <v>5030369</v>
          </cell>
          <cell r="AK118" t="str">
            <v>Cristina Arechaga</v>
          </cell>
        </row>
        <row r="119">
          <cell r="C119" t="str">
            <v>3068-RAS-Peoples Bank  NA</v>
          </cell>
          <cell r="H119">
            <v>5030507</v>
          </cell>
          <cell r="AK119" t="str">
            <v>Cristina Arechaga</v>
          </cell>
        </row>
        <row r="120">
          <cell r="C120" t="str">
            <v>11448-RAS-Woodlands Bank</v>
          </cell>
          <cell r="H120">
            <v>5030839</v>
          </cell>
          <cell r="AK120" t="str">
            <v>Cristina Arechaga</v>
          </cell>
        </row>
        <row r="121">
          <cell r="C121" t="str">
            <v>3086-RAS-First American Nation</v>
          </cell>
          <cell r="H121">
            <v>5030517</v>
          </cell>
          <cell r="AK121" t="str">
            <v>Cristina Arechaga</v>
          </cell>
        </row>
        <row r="122">
          <cell r="C122" t="str">
            <v>4259-RAS-Atlantic Coast Bank</v>
          </cell>
          <cell r="H122">
            <v>5030607</v>
          </cell>
          <cell r="AK122" t="str">
            <v>Cristina Arechaga</v>
          </cell>
        </row>
        <row r="123">
          <cell r="C123" t="str">
            <v>6625-RAS-Banner Bank</v>
          </cell>
          <cell r="H123">
            <v>5030653</v>
          </cell>
          <cell r="AK123" t="str">
            <v>Cristina Arechaga</v>
          </cell>
        </row>
        <row r="124">
          <cell r="C124" t="str">
            <v>8890-RAS-Citizens Bank &amp; Trust</v>
          </cell>
          <cell r="H124">
            <v>5030727</v>
          </cell>
          <cell r="AK124" t="str">
            <v>Cristina Arechaga</v>
          </cell>
        </row>
        <row r="125">
          <cell r="C125" t="str">
            <v>4064-RAS-Citizens Bank &amp; Trust</v>
          </cell>
          <cell r="H125">
            <v>5030514</v>
          </cell>
          <cell r="AK125" t="str">
            <v>Cristina Arechaga</v>
          </cell>
        </row>
        <row r="126">
          <cell r="C126" t="str">
            <v>11913-RAS-First United Bank</v>
          </cell>
          <cell r="H126">
            <v>5030859</v>
          </cell>
          <cell r="AK126" t="str">
            <v>Cristina Arechaga</v>
          </cell>
        </row>
        <row r="127">
          <cell r="C127" t="str">
            <v>Private Bank-FT implementation</v>
          </cell>
          <cell r="H127">
            <v>5012662</v>
          </cell>
          <cell r="AK127" t="str">
            <v>DELETED USER</v>
          </cell>
        </row>
        <row r="128">
          <cell r="C128" t="str">
            <v>613-RAS-Sun National Bank</v>
          </cell>
          <cell r="H128">
            <v>5030421</v>
          </cell>
          <cell r="AK128" t="str">
            <v>Cristina Arechaga</v>
          </cell>
        </row>
        <row r="129">
          <cell r="C129" t="str">
            <v>11862-RAS-Valley Bank of Kalis</v>
          </cell>
          <cell r="H129">
            <v>5030856</v>
          </cell>
          <cell r="AK129" t="str">
            <v>Cristina Arechaga</v>
          </cell>
        </row>
        <row r="130">
          <cell r="C130" t="str">
            <v>2266-RAS-Southern Hills Commun</v>
          </cell>
          <cell r="H130">
            <v>5030436</v>
          </cell>
          <cell r="AK130" t="str">
            <v>Cristina Arechaga</v>
          </cell>
        </row>
        <row r="131">
          <cell r="C131" t="str">
            <v>4104-RAS-Pinnacle Bank</v>
          </cell>
          <cell r="H131">
            <v>5030516</v>
          </cell>
          <cell r="AK131" t="str">
            <v>Cristina Arechaga</v>
          </cell>
        </row>
        <row r="132">
          <cell r="C132" t="str">
            <v>5696-RAS-Minster Bank</v>
          </cell>
          <cell r="H132">
            <v>5030638</v>
          </cell>
          <cell r="AK132" t="str">
            <v>Cristina Arechaga</v>
          </cell>
        </row>
        <row r="133">
          <cell r="C133" t="str">
            <v>18151-RAS-Summit Financial Gro</v>
          </cell>
          <cell r="H133">
            <v>5030327</v>
          </cell>
          <cell r="AK133" t="str">
            <v>Cristina Arechaga</v>
          </cell>
        </row>
        <row r="134">
          <cell r="C134" t="str">
            <v>9876-RAS-Juniata Valley Bank</v>
          </cell>
          <cell r="H134">
            <v>5030770</v>
          </cell>
          <cell r="AK134" t="str">
            <v>Cristina Arechaga</v>
          </cell>
        </row>
        <row r="135">
          <cell r="C135" t="str">
            <v>6932-RAS-American Trust</v>
          </cell>
          <cell r="H135">
            <v>5030659</v>
          </cell>
          <cell r="AK135" t="str">
            <v>Cristina Arechaga</v>
          </cell>
        </row>
        <row r="136">
          <cell r="C136" t="str">
            <v>5309-RAS-Vantage Bank</v>
          </cell>
          <cell r="H136">
            <v>5030590</v>
          </cell>
          <cell r="AK136" t="str">
            <v>Cristina Arechaga</v>
          </cell>
        </row>
        <row r="137">
          <cell r="C137" t="str">
            <v>13419-RAS-Sawyer Savings Bank</v>
          </cell>
          <cell r="H137">
            <v>5030909</v>
          </cell>
          <cell r="AK137" t="str">
            <v>Cristina Arechaga</v>
          </cell>
        </row>
        <row r="138">
          <cell r="C138" t="str">
            <v>13354-RAS-Greenfield Savings B</v>
          </cell>
          <cell r="H138">
            <v>5030902</v>
          </cell>
          <cell r="AK138" t="str">
            <v>Cristina Arechaga</v>
          </cell>
        </row>
        <row r="139">
          <cell r="C139" t="str">
            <v>3731-RAS-South Georgia Banking</v>
          </cell>
          <cell r="H139">
            <v>5030549</v>
          </cell>
          <cell r="AK139" t="str">
            <v>Cristina Arechaga</v>
          </cell>
        </row>
        <row r="140">
          <cell r="C140" t="str">
            <v>8701-RAS-5Star Bank</v>
          </cell>
          <cell r="H140">
            <v>5030717</v>
          </cell>
          <cell r="AK140" t="str">
            <v>Cristina Arechaga</v>
          </cell>
        </row>
        <row r="141">
          <cell r="C141" t="str">
            <v>4573-RAS-First National Bank o</v>
          </cell>
          <cell r="H141">
            <v>5030571</v>
          </cell>
          <cell r="AK141" t="str">
            <v>Cristina Arechaga</v>
          </cell>
        </row>
        <row r="142">
          <cell r="C142" t="str">
            <v>15275-RAS-First Artesia Bancsh</v>
          </cell>
          <cell r="H142">
            <v>5030921</v>
          </cell>
          <cell r="AK142" t="str">
            <v>Cristina Arechaga</v>
          </cell>
        </row>
        <row r="143">
          <cell r="C143" t="str">
            <v>2311-RAS-New Windsor Bank</v>
          </cell>
          <cell r="H143">
            <v>5030438</v>
          </cell>
          <cell r="AK143" t="str">
            <v>Cristina Arechaga</v>
          </cell>
        </row>
        <row r="144">
          <cell r="C144" t="str">
            <v>2548-RAS-Vermilion Bank &amp; Trus</v>
          </cell>
          <cell r="H144">
            <v>5030467</v>
          </cell>
          <cell r="AK144" t="str">
            <v>Cristina Arechaga</v>
          </cell>
        </row>
        <row r="145">
          <cell r="C145" t="str">
            <v>10547-RAS-Alva State Bank &amp; Tr</v>
          </cell>
          <cell r="H145">
            <v>5030803</v>
          </cell>
          <cell r="AK145" t="str">
            <v>Cristina Arechaga</v>
          </cell>
        </row>
        <row r="146">
          <cell r="C146" t="str">
            <v>3079-RAS-Tallahatchie County B</v>
          </cell>
          <cell r="H146">
            <v>5030509</v>
          </cell>
          <cell r="AK146" t="str">
            <v>Cristina Arechaga</v>
          </cell>
        </row>
        <row r="147">
          <cell r="C147" t="str">
            <v>3733-RAS-TowneBank</v>
          </cell>
          <cell r="H147">
            <v>5030550</v>
          </cell>
          <cell r="AK147" t="str">
            <v>Cristina Arechaga</v>
          </cell>
        </row>
        <row r="148">
          <cell r="C148" t="str">
            <v>3076-RAS-BankPlus</v>
          </cell>
          <cell r="H148">
            <v>5030508</v>
          </cell>
          <cell r="AK148" t="str">
            <v>Cristina Arechaga</v>
          </cell>
        </row>
        <row r="149">
          <cell r="C149" t="str">
            <v>Aviva_PE_Cadis</v>
          </cell>
          <cell r="H149">
            <v>5010222</v>
          </cell>
          <cell r="AK149" t="str">
            <v>DELETED USER</v>
          </cell>
        </row>
        <row r="150">
          <cell r="C150" t="str">
            <v>Morgan Stanley_CCP Testing NYC</v>
          </cell>
          <cell r="H150">
            <v>5010351</v>
          </cell>
          <cell r="AK150" t="str">
            <v>DELETED USER</v>
          </cell>
        </row>
        <row r="151">
          <cell r="C151" t="str">
            <v>2616-RAS-Magnolia State Bank</v>
          </cell>
          <cell r="H151">
            <v>5030472</v>
          </cell>
          <cell r="AK151" t="str">
            <v>Cristina Arechaga</v>
          </cell>
        </row>
        <row r="152">
          <cell r="C152" t="str">
            <v>FM_Infrastructur Services- ESP</v>
          </cell>
          <cell r="H152">
            <v>5010620</v>
          </cell>
          <cell r="AK152" t="str">
            <v>Suzanne Madden</v>
          </cell>
        </row>
        <row r="153">
          <cell r="C153" t="str">
            <v>3355-RAS-First National Bank o</v>
          </cell>
          <cell r="H153">
            <v>5030526</v>
          </cell>
          <cell r="AK153" t="str">
            <v>Cristina Arechaga</v>
          </cell>
        </row>
        <row r="154">
          <cell r="C154" t="str">
            <v>MS_CCP Testing NYC - r2</v>
          </cell>
          <cell r="H154">
            <v>5010476</v>
          </cell>
          <cell r="AK154" t="str">
            <v>DELETED USER</v>
          </cell>
        </row>
        <row r="155">
          <cell r="C155" t="str">
            <v>Synovus_BusinessContinuityExt</v>
          </cell>
          <cell r="H155">
            <v>5010445</v>
          </cell>
          <cell r="AK155" t="str">
            <v>DELETED USER</v>
          </cell>
        </row>
        <row r="156">
          <cell r="C156" t="str">
            <v>13174-RAS-Abacus Federal Savin</v>
          </cell>
          <cell r="H156">
            <v>5030898</v>
          </cell>
          <cell r="AK156" t="str">
            <v>Cristina Arechaga</v>
          </cell>
        </row>
        <row r="157">
          <cell r="C157" t="str">
            <v>Aviva_Operations Leadership</v>
          </cell>
          <cell r="H157">
            <v>5009604</v>
          </cell>
          <cell r="AK157" t="str">
            <v>DELETED USER</v>
          </cell>
        </row>
        <row r="158">
          <cell r="C158" t="str">
            <v>8150-RAS-Tustin Community Bank</v>
          </cell>
          <cell r="H158">
            <v>5030694</v>
          </cell>
          <cell r="AK158" t="str">
            <v>Cristina Arechaga</v>
          </cell>
        </row>
        <row r="159">
          <cell r="C159" t="str">
            <v>WF_Abbot Downing Invest Strate</v>
          </cell>
          <cell r="H159">
            <v>5010587</v>
          </cell>
          <cell r="AK159" t="str">
            <v>DELETED USER</v>
          </cell>
        </row>
        <row r="160">
          <cell r="C160" t="str">
            <v>Bi-Sam_ Partnership</v>
          </cell>
          <cell r="H160">
            <v>5010719</v>
          </cell>
          <cell r="AK160" t="str">
            <v>DELETED USER</v>
          </cell>
        </row>
        <row r="161">
          <cell r="C161" t="str">
            <v>BBVA_Program Execution Support</v>
          </cell>
          <cell r="H161">
            <v>5010624</v>
          </cell>
          <cell r="AK161" t="str">
            <v>DELETED USER</v>
          </cell>
        </row>
        <row r="162">
          <cell r="C162" t="str">
            <v>Murex_Wrkflw_Trng_Embed_extn</v>
          </cell>
          <cell r="H162">
            <v>5010682</v>
          </cell>
          <cell r="AK162" t="str">
            <v>DELETED USER</v>
          </cell>
        </row>
        <row r="163">
          <cell r="C163" t="str">
            <v>6080-RAS-OSB Community Bank</v>
          </cell>
          <cell r="H163">
            <v>5030647</v>
          </cell>
          <cell r="AK163" t="str">
            <v>Cristina Arechaga</v>
          </cell>
        </row>
        <row r="164">
          <cell r="C164" t="str">
            <v>193-RAS-EagleBank</v>
          </cell>
          <cell r="H164">
            <v>5030412</v>
          </cell>
          <cell r="AK164" t="str">
            <v>Cristina Arechaga</v>
          </cell>
        </row>
        <row r="165">
          <cell r="C165" t="str">
            <v>WF_CMBS Advance Facility</v>
          </cell>
          <cell r="H165">
            <v>5009971</v>
          </cell>
          <cell r="AK165" t="str">
            <v>Melissa Fong</v>
          </cell>
        </row>
        <row r="166">
          <cell r="C166" t="str">
            <v>12290-RAS-Commerce State Bank</v>
          </cell>
          <cell r="H166">
            <v>5030871</v>
          </cell>
          <cell r="AK166" t="str">
            <v>Cristina Arechaga</v>
          </cell>
        </row>
        <row r="167">
          <cell r="C167" t="str">
            <v>12620-RAS-Homestead Savings Ba</v>
          </cell>
          <cell r="H167">
            <v>5030876</v>
          </cell>
          <cell r="AK167" t="str">
            <v>Cristina Arechaga</v>
          </cell>
        </row>
        <row r="168">
          <cell r="C168" t="str">
            <v>FIS_CITI RUSA (PAA)</v>
          </cell>
          <cell r="H168">
            <v>5010163</v>
          </cell>
          <cell r="AK168" t="str">
            <v>Ramnish Gupta</v>
          </cell>
        </row>
        <row r="169">
          <cell r="C169" t="str">
            <v>FM_ULDD IT PMO</v>
          </cell>
          <cell r="H169">
            <v>5010615</v>
          </cell>
          <cell r="AK169" t="str">
            <v>DELETED USER</v>
          </cell>
        </row>
        <row r="170">
          <cell r="C170" t="str">
            <v>FIS_TAA SOW</v>
          </cell>
          <cell r="H170">
            <v>5010346</v>
          </cell>
          <cell r="AK170" t="str">
            <v>DELETED USER</v>
          </cell>
        </row>
        <row r="171">
          <cell r="C171" t="str">
            <v>Fannie Mae_ULDD Amd#2(Oct-Jan)</v>
          </cell>
          <cell r="H171">
            <v>5010041</v>
          </cell>
          <cell r="AK171" t="str">
            <v>DELETED USER</v>
          </cell>
        </row>
        <row r="172">
          <cell r="C172" t="str">
            <v>FIS_RBCGABank_D-LaunchDy1/2</v>
          </cell>
          <cell r="H172">
            <v>5010148</v>
          </cell>
          <cell r="AK172" t="str">
            <v>Thomas Wilson</v>
          </cell>
        </row>
        <row r="173">
          <cell r="C173" t="str">
            <v>NM_Wells Nationstar 2010-ADV-1</v>
          </cell>
          <cell r="H173">
            <v>5009380</v>
          </cell>
          <cell r="AK173" t="str">
            <v>Melissa Fong</v>
          </cell>
        </row>
        <row r="174">
          <cell r="C174" t="str">
            <v>38266-RAS-IMN</v>
          </cell>
          <cell r="H174">
            <v>5030373</v>
          </cell>
          <cell r="AK174" t="str">
            <v>Cristina Arechaga</v>
          </cell>
        </row>
        <row r="175">
          <cell r="C175" t="str">
            <v>33879-RAS-Beneficial Savings B</v>
          </cell>
          <cell r="H175">
            <v>5030365</v>
          </cell>
          <cell r="AK175" t="str">
            <v>Cristina Arechaga</v>
          </cell>
        </row>
        <row r="176">
          <cell r="C176" t="str">
            <v>7384-RAS-First South Bank</v>
          </cell>
          <cell r="H176">
            <v>5030629</v>
          </cell>
          <cell r="AK176" t="str">
            <v>Cristina Arechaga</v>
          </cell>
        </row>
        <row r="177">
          <cell r="C177" t="str">
            <v>2942-RAS-Home State Bank  Nati</v>
          </cell>
          <cell r="H177">
            <v>5030498</v>
          </cell>
          <cell r="AK177" t="str">
            <v>Cristina Arechaga</v>
          </cell>
        </row>
        <row r="178">
          <cell r="C178" t="str">
            <v>5683-RAS-Jersey State Bank</v>
          </cell>
          <cell r="H178">
            <v>5030637</v>
          </cell>
          <cell r="AK178" t="str">
            <v>Cristina Arechaga</v>
          </cell>
        </row>
        <row r="179">
          <cell r="C179" t="str">
            <v>Citi_SecLendingAgencyPrincipas</v>
          </cell>
          <cell r="H179">
            <v>5010655</v>
          </cell>
          <cell r="AK179" t="str">
            <v>Robert Norris</v>
          </cell>
        </row>
        <row r="180">
          <cell r="C180" t="str">
            <v>FIS_RUSA (Test Support)</v>
          </cell>
          <cell r="H180">
            <v>5010161</v>
          </cell>
          <cell r="AK180" t="str">
            <v>DELETED USER</v>
          </cell>
        </row>
        <row r="181">
          <cell r="C181" t="str">
            <v>FNB_CC Conversion Planning</v>
          </cell>
          <cell r="H181">
            <v>5010669</v>
          </cell>
          <cell r="AK181" t="str">
            <v>DELETED USER</v>
          </cell>
        </row>
        <row r="182">
          <cell r="C182" t="str">
            <v>12183-RAS-Community First Nati</v>
          </cell>
          <cell r="H182">
            <v>5030870</v>
          </cell>
          <cell r="AK182" t="str">
            <v>Cristina Arechaga</v>
          </cell>
        </row>
        <row r="183">
          <cell r="C183" t="str">
            <v>12432-RAS-Mt. McKinley Bank</v>
          </cell>
          <cell r="H183">
            <v>5030824</v>
          </cell>
          <cell r="AK183" t="str">
            <v>Cristina Arechaga</v>
          </cell>
        </row>
        <row r="184">
          <cell r="C184" t="str">
            <v>10613-RAS-First Bank</v>
          </cell>
          <cell r="H184">
            <v>5030807</v>
          </cell>
          <cell r="AK184" t="str">
            <v>Cristina Arechaga</v>
          </cell>
        </row>
        <row r="185">
          <cell r="C185" t="str">
            <v>2475-RAS-First Bank</v>
          </cell>
          <cell r="H185">
            <v>5030460</v>
          </cell>
          <cell r="AK185" t="str">
            <v>Cristina Arechaga</v>
          </cell>
        </row>
        <row r="186">
          <cell r="C186" t="str">
            <v>8858-RAS-First Bank</v>
          </cell>
          <cell r="H186">
            <v>5030724</v>
          </cell>
          <cell r="AK186" t="str">
            <v>Cristina Arechaga</v>
          </cell>
        </row>
        <row r="187">
          <cell r="C187" t="str">
            <v>4696-RAS-Putnam 1st Mercantile</v>
          </cell>
          <cell r="H187">
            <v>5030582</v>
          </cell>
          <cell r="AK187" t="str">
            <v>Cristina Arechaga</v>
          </cell>
        </row>
        <row r="188">
          <cell r="C188" t="str">
            <v>Pricing Rate Lock</v>
          </cell>
          <cell r="H188">
            <v>5010897</v>
          </cell>
          <cell r="AK188" t="str">
            <v>Jag Sharma</v>
          </cell>
        </row>
        <row r="189">
          <cell r="C189" t="str">
            <v>13247-RAS-FirstAtlantic Bank</v>
          </cell>
          <cell r="H189">
            <v>5030900</v>
          </cell>
          <cell r="AK189" t="str">
            <v>Cristina Arechaga</v>
          </cell>
        </row>
        <row r="190">
          <cell r="C190" t="str">
            <v>10556-RAS-Great Plains Nationa</v>
          </cell>
          <cell r="H190">
            <v>5030804</v>
          </cell>
          <cell r="AK190" t="str">
            <v>Cristina Arechaga</v>
          </cell>
        </row>
        <row r="191">
          <cell r="C191" t="str">
            <v>9314-RAS-Security State Bank</v>
          </cell>
          <cell r="H191">
            <v>5030742</v>
          </cell>
          <cell r="AK191" t="str">
            <v>Cristina Arechaga</v>
          </cell>
        </row>
        <row r="192">
          <cell r="C192" t="str">
            <v>3032-RAS-Hastings City Bank</v>
          </cell>
          <cell r="H192">
            <v>5030506</v>
          </cell>
          <cell r="AK192" t="str">
            <v>Cristina Arechaga</v>
          </cell>
        </row>
        <row r="193">
          <cell r="C193" t="str">
            <v>BARC_TaxWithholdingReptSuppt</v>
          </cell>
          <cell r="H193">
            <v>5011040</v>
          </cell>
          <cell r="AK193" t="str">
            <v>DELETED USER</v>
          </cell>
        </row>
        <row r="194">
          <cell r="C194" t="str">
            <v>MNPI_Access Control Remediatn</v>
          </cell>
          <cell r="H194">
            <v>5011148</v>
          </cell>
          <cell r="AK194" t="str">
            <v>DELETED USER</v>
          </cell>
        </row>
        <row r="195">
          <cell r="C195" t="str">
            <v>BMO_Harris Reg Rprtng Automatn</v>
          </cell>
          <cell r="H195">
            <v>5010180</v>
          </cell>
          <cell r="AK195" t="str">
            <v>Michelle Fambro</v>
          </cell>
        </row>
        <row r="196">
          <cell r="C196" t="str">
            <v>Barc_InvtoryMgmtProgramSuppt</v>
          </cell>
          <cell r="H196">
            <v>5011046</v>
          </cell>
          <cell r="AK196" t="str">
            <v>DELETED USER</v>
          </cell>
        </row>
        <row r="197">
          <cell r="C197" t="str">
            <v>4093-RAS-Farmers Bank</v>
          </cell>
          <cell r="H197">
            <v>5030515</v>
          </cell>
          <cell r="AK197" t="str">
            <v>Cristina Arechaga</v>
          </cell>
        </row>
        <row r="198">
          <cell r="C198" t="str">
            <v>SS_GS Client Onboarding</v>
          </cell>
          <cell r="H198">
            <v>5010392</v>
          </cell>
          <cell r="AK198" t="str">
            <v>Kapin Vora</v>
          </cell>
        </row>
        <row r="199">
          <cell r="C199" t="str">
            <v>KB_Credit Decision Analytics</v>
          </cell>
          <cell r="H199">
            <v>5010754</v>
          </cell>
          <cell r="AK199" t="str">
            <v>DELETED USER</v>
          </cell>
        </row>
        <row r="200">
          <cell r="C200" t="str">
            <v>BOK_Credit Data Warehouse</v>
          </cell>
          <cell r="H200">
            <v>5010135</v>
          </cell>
          <cell r="AK200" t="str">
            <v>DELETED USER</v>
          </cell>
        </row>
        <row r="201">
          <cell r="C201" t="str">
            <v>2713-RAS-Bell Bank</v>
          </cell>
          <cell r="H201">
            <v>5030480</v>
          </cell>
          <cell r="AK201" t="str">
            <v>Cristina Arechaga</v>
          </cell>
        </row>
        <row r="202">
          <cell r="C202" t="str">
            <v>AB_Board Reporting</v>
          </cell>
          <cell r="H202">
            <v>5010770</v>
          </cell>
          <cell r="AK202" t="str">
            <v>DELETED USER</v>
          </cell>
        </row>
        <row r="203">
          <cell r="C203" t="str">
            <v>FinancialR-MQC</v>
          </cell>
          <cell r="H203">
            <v>5029627</v>
          </cell>
          <cell r="AK203" t="str">
            <v>Cristina Arechaga</v>
          </cell>
        </row>
        <row r="204">
          <cell r="C204" t="str">
            <v>2398-RAS-Bank of North Dakota</v>
          </cell>
          <cell r="H204">
            <v>5030451</v>
          </cell>
          <cell r="AK204" t="str">
            <v>Cristina Arechaga</v>
          </cell>
        </row>
        <row r="205">
          <cell r="C205" t="str">
            <v>JPMC_DerivativeMigration Ph 2</v>
          </cell>
          <cell r="H205">
            <v>5010408</v>
          </cell>
          <cell r="AK205" t="str">
            <v>DELETED USER</v>
          </cell>
        </row>
        <row r="206">
          <cell r="C206" t="str">
            <v>CFTBizAnlystExt2(Baldet)</v>
          </cell>
          <cell r="H206">
            <v>5011195</v>
          </cell>
          <cell r="AK206" t="str">
            <v>Kapin Vora</v>
          </cell>
        </row>
        <row r="207">
          <cell r="C207" t="str">
            <v>TD AMCB_DataCenterClosureSuppo</v>
          </cell>
          <cell r="H207">
            <v>5011242</v>
          </cell>
          <cell r="AK207" t="str">
            <v>John Murdoch</v>
          </cell>
        </row>
        <row r="208">
          <cell r="C208" t="str">
            <v>JPM_DrivMigrtin(Sapre)</v>
          </cell>
          <cell r="H208">
            <v>5011174</v>
          </cell>
          <cell r="AK208" t="str">
            <v>DELETED USER</v>
          </cell>
        </row>
        <row r="209">
          <cell r="C209" t="str">
            <v>SocieteGenrl_2011QuantumReview</v>
          </cell>
          <cell r="H209">
            <v>5010748</v>
          </cell>
          <cell r="AK209" t="str">
            <v>Melissa Fong</v>
          </cell>
        </row>
        <row r="210">
          <cell r="C210" t="str">
            <v>KB_Risk MIS Support 2012</v>
          </cell>
          <cell r="H210">
            <v>5011577</v>
          </cell>
          <cell r="AK210" t="str">
            <v>DELETED USER</v>
          </cell>
        </row>
        <row r="211">
          <cell r="C211" t="str">
            <v>MS_Tech Risk Policy Planning</v>
          </cell>
          <cell r="H211">
            <v>5011328</v>
          </cell>
          <cell r="AK211" t="str">
            <v>Mike Bertran</v>
          </cell>
        </row>
        <row r="212">
          <cell r="C212" t="str">
            <v>FM_ULDD UAT Support</v>
          </cell>
          <cell r="H212">
            <v>5011495</v>
          </cell>
          <cell r="AK212" t="str">
            <v>DELETED USER</v>
          </cell>
        </row>
        <row r="213">
          <cell r="C213" t="str">
            <v>AI Project Parallel</v>
          </cell>
          <cell r="H213">
            <v>5011446</v>
          </cell>
          <cell r="AK213" t="str">
            <v>DELETED USER</v>
          </cell>
        </row>
        <row r="214">
          <cell r="C214" t="str">
            <v>FIS_Strategy</v>
          </cell>
          <cell r="H214">
            <v>5011367</v>
          </cell>
          <cell r="AK214" t="str">
            <v>DELETED USER</v>
          </cell>
        </row>
        <row r="215">
          <cell r="C215" t="str">
            <v>AI_Prjct Parallel Addtl Suppt</v>
          </cell>
          <cell r="H215">
            <v>5011473</v>
          </cell>
          <cell r="AK215" t="str">
            <v>DELETED USER</v>
          </cell>
        </row>
        <row r="216">
          <cell r="C216" t="str">
            <v>5528-RAS-Mifflinburg Bank &amp; Tr</v>
          </cell>
          <cell r="H216">
            <v>5030600</v>
          </cell>
          <cell r="AK216" t="str">
            <v>Cristina Arechaga</v>
          </cell>
        </row>
        <row r="217">
          <cell r="C217" t="str">
            <v>SVB_EA MobilizationPlanSupport</v>
          </cell>
          <cell r="H217">
            <v>5011504</v>
          </cell>
          <cell r="AK217" t="str">
            <v>DELETED USER</v>
          </cell>
        </row>
        <row r="218">
          <cell r="C218" t="str">
            <v>SVB_IT Risk Support</v>
          </cell>
          <cell r="H218">
            <v>5011505</v>
          </cell>
          <cell r="AK218" t="str">
            <v>DELETED USER</v>
          </cell>
        </row>
        <row r="219">
          <cell r="C219" t="str">
            <v>AI_Mkt Data strategy support</v>
          </cell>
          <cell r="H219">
            <v>5010910</v>
          </cell>
          <cell r="AK219" t="str">
            <v>DELETED USER</v>
          </cell>
        </row>
        <row r="220">
          <cell r="C220" t="str">
            <v>FM_Infra Serv-ESP amd#1</v>
          </cell>
          <cell r="H220">
            <v>5011573</v>
          </cell>
          <cell r="AK220" t="str">
            <v>DELETED USER</v>
          </cell>
        </row>
        <row r="221">
          <cell r="C221" t="str">
            <v>AI_Enterprise Transition</v>
          </cell>
          <cell r="H221">
            <v>5010953</v>
          </cell>
          <cell r="AK221" t="str">
            <v>DELETED USER</v>
          </cell>
        </row>
        <row r="222">
          <cell r="C222" t="str">
            <v>ML_Murex Mngd Srvcs PMG 2012A</v>
          </cell>
          <cell r="H222">
            <v>5011524</v>
          </cell>
          <cell r="AK222" t="str">
            <v>DELETED USER</v>
          </cell>
        </row>
        <row r="223">
          <cell r="C223" t="str">
            <v>ML_Murex Mng Srvc  2012App Dev</v>
          </cell>
          <cell r="H223">
            <v>5011525</v>
          </cell>
          <cell r="AK223" t="str">
            <v>DELETED USER</v>
          </cell>
        </row>
        <row r="224">
          <cell r="C224" t="str">
            <v>AMC_Vericrest HE 2007-1</v>
          </cell>
          <cell r="H224">
            <v>5012214</v>
          </cell>
          <cell r="AK224" t="str">
            <v>DELETED USER</v>
          </cell>
        </row>
        <row r="225">
          <cell r="C225" t="str">
            <v>JPMC_OTC Infra Opps Sppt Paris</v>
          </cell>
          <cell r="H225">
            <v>5011179</v>
          </cell>
          <cell r="AK225" t="str">
            <v>DELETED USER</v>
          </cell>
        </row>
        <row r="226">
          <cell r="C226" t="str">
            <v>JPMC_Biz Analyst Poon 33</v>
          </cell>
          <cell r="H226">
            <v>5011579</v>
          </cell>
          <cell r="AK226" t="str">
            <v>Kapin Vora</v>
          </cell>
        </row>
        <row r="227">
          <cell r="C227" t="str">
            <v>AMC_Vericrest VOLT</v>
          </cell>
          <cell r="H227">
            <v>5012232</v>
          </cell>
          <cell r="AK227" t="str">
            <v>Melissa Fong</v>
          </cell>
        </row>
        <row r="228">
          <cell r="C228" t="str">
            <v>Citi_CCA Inter Milan Project</v>
          </cell>
          <cell r="H228">
            <v>5011099</v>
          </cell>
          <cell r="AK228" t="str">
            <v>Robert Norris</v>
          </cell>
        </row>
        <row r="229">
          <cell r="C229" t="str">
            <v>JPMC_OTC Infra Opps Sppt Paris</v>
          </cell>
          <cell r="H229">
            <v>5011592</v>
          </cell>
          <cell r="AK229" t="str">
            <v>DELETED USER</v>
          </cell>
        </row>
        <row r="230">
          <cell r="C230" t="str">
            <v>JPMC_Biz Analyst Harmalkar 34</v>
          </cell>
          <cell r="H230">
            <v>5011580</v>
          </cell>
          <cell r="AK230" t="str">
            <v>Kapin Vora</v>
          </cell>
        </row>
        <row r="231">
          <cell r="C231" t="str">
            <v>FM_Whole Loan Conduit PM</v>
          </cell>
          <cell r="H231">
            <v>5011410</v>
          </cell>
          <cell r="AK231" t="str">
            <v>DELETED USER</v>
          </cell>
        </row>
        <row r="232">
          <cell r="C232" t="str">
            <v>GS_GS Tax Ops</v>
          </cell>
          <cell r="H232">
            <v>5011414</v>
          </cell>
          <cell r="AK232" t="str">
            <v>DELETED USER</v>
          </cell>
        </row>
        <row r="233">
          <cell r="C233" t="str">
            <v>RBC US WM_BTOM</v>
          </cell>
          <cell r="H233">
            <v>5010246</v>
          </cell>
          <cell r="AK233" t="str">
            <v>DELETED USER</v>
          </cell>
        </row>
        <row r="234">
          <cell r="C234" t="str">
            <v>KB_ATM/Debit Delivery Ph1</v>
          </cell>
          <cell r="H234">
            <v>5011002</v>
          </cell>
          <cell r="AK234" t="str">
            <v>John Gubala</v>
          </cell>
        </row>
        <row r="235">
          <cell r="C235" t="str">
            <v>TD AMCB_MaestroTestMgrSppt-Jan</v>
          </cell>
          <cell r="H235">
            <v>5011593</v>
          </cell>
          <cell r="AK235" t="str">
            <v>DELETED USER</v>
          </cell>
        </row>
        <row r="236">
          <cell r="C236" t="str">
            <v>FM_Customer Eng PPM</v>
          </cell>
          <cell r="H236">
            <v>5011190</v>
          </cell>
          <cell r="AK236" t="str">
            <v>Richard Mlot</v>
          </cell>
        </row>
        <row r="237">
          <cell r="C237" t="str">
            <v>KB_Credit Card Design</v>
          </cell>
          <cell r="H237">
            <v>5011298</v>
          </cell>
          <cell r="AK237" t="str">
            <v>DELETED USER</v>
          </cell>
        </row>
        <row r="238">
          <cell r="C238" t="str">
            <v>1East Cap_Geneva&amp;SM Supt Y2</v>
          </cell>
          <cell r="H238">
            <v>5011514</v>
          </cell>
          <cell r="AK238" t="str">
            <v>DELETED USER</v>
          </cell>
        </row>
        <row r="239">
          <cell r="C239" t="str">
            <v>TD AMCB_FraudBusinessAnalyst</v>
          </cell>
          <cell r="H239">
            <v>5011016</v>
          </cell>
          <cell r="AK239" t="str">
            <v>Gregg Henzel</v>
          </cell>
        </row>
        <row r="240">
          <cell r="C240" t="str">
            <v>FM_EA Tool Impl&amp;Rlout amd#3</v>
          </cell>
          <cell r="H240">
            <v>5011037</v>
          </cell>
          <cell r="AK240" t="str">
            <v>DELETED USER</v>
          </cell>
        </row>
        <row r="241">
          <cell r="C241" t="str">
            <v>FM_EUA Testing amd#2</v>
          </cell>
          <cell r="H241">
            <v>5011189</v>
          </cell>
          <cell r="AK241" t="str">
            <v>DELETED USER</v>
          </cell>
        </row>
        <row r="242">
          <cell r="C242" t="str">
            <v>FM_ULDD Amd#4</v>
          </cell>
          <cell r="H242">
            <v>5011448</v>
          </cell>
          <cell r="AK242" t="str">
            <v>DELETED USER</v>
          </cell>
        </row>
        <row r="243">
          <cell r="C243" t="str">
            <v>1East Cap Geneva and SM Sup Y2</v>
          </cell>
          <cell r="H243">
            <v>5011519</v>
          </cell>
          <cell r="AK243" t="str">
            <v>DELETED USER</v>
          </cell>
        </row>
        <row r="244">
          <cell r="C244" t="str">
            <v>13421-RAS-Watertown Savings Ba</v>
          </cell>
          <cell r="H244">
            <v>5030910</v>
          </cell>
          <cell r="AK244" t="str">
            <v>Cristina Arechaga</v>
          </cell>
        </row>
        <row r="245">
          <cell r="C245" t="str">
            <v>Advanced Solution Database amd</v>
          </cell>
          <cell r="H245">
            <v>5010778</v>
          </cell>
          <cell r="AK245" t="str">
            <v>DELETED USER</v>
          </cell>
        </row>
        <row r="246">
          <cell r="C246" t="str">
            <v>GS_Crew Ext</v>
          </cell>
          <cell r="H246">
            <v>5011421</v>
          </cell>
          <cell r="AK246" t="str">
            <v>DELETED USER</v>
          </cell>
        </row>
        <row r="247">
          <cell r="C247" t="str">
            <v>American Express_ITRM Ph 2</v>
          </cell>
          <cell r="H247">
            <v>5009914</v>
          </cell>
          <cell r="AK247" t="str">
            <v>DELETED USER</v>
          </cell>
        </row>
        <row r="248">
          <cell r="C248" t="str">
            <v>FM_TEC SOA Gov</v>
          </cell>
          <cell r="H248">
            <v>5011145</v>
          </cell>
          <cell r="AK248" t="str">
            <v>Darrell Rials</v>
          </cell>
        </row>
        <row r="249">
          <cell r="C249" t="str">
            <v>BBVA_MRA Bridge support</v>
          </cell>
          <cell r="H249">
            <v>5011574</v>
          </cell>
          <cell r="AK249" t="str">
            <v>Thadi Murali</v>
          </cell>
        </row>
        <row r="250">
          <cell r="C250" t="str">
            <v>FM_TEC Service Platform 2012</v>
          </cell>
          <cell r="H250">
            <v>5011140</v>
          </cell>
          <cell r="AK250" t="str">
            <v>Sarah Cameron</v>
          </cell>
        </row>
        <row r="251">
          <cell r="C251" t="str">
            <v>2752-RAS-West Plains Bank and</v>
          </cell>
          <cell r="H251">
            <v>5030484</v>
          </cell>
          <cell r="AK251" t="str">
            <v>Cristina Arechaga</v>
          </cell>
        </row>
        <row r="252">
          <cell r="C252" t="str">
            <v>FM_O &amp; T ACH Utility&amp;Rltd Rec2</v>
          </cell>
          <cell r="H252">
            <v>5011543</v>
          </cell>
          <cell r="AK252" t="str">
            <v>DELETED USER</v>
          </cell>
        </row>
        <row r="253">
          <cell r="C253" t="str">
            <v>FM_A &amp; E Program Office</v>
          </cell>
          <cell r="H253">
            <v>5011348</v>
          </cell>
          <cell r="AK253" t="str">
            <v>DELETED USER</v>
          </cell>
        </row>
        <row r="254">
          <cell r="C254" t="str">
            <v>6894-RAS-First National Bank o</v>
          </cell>
          <cell r="H254">
            <v>5030658</v>
          </cell>
          <cell r="AK254" t="str">
            <v>Cristina Arechaga</v>
          </cell>
        </row>
        <row r="255">
          <cell r="C255" t="str">
            <v>4372-RAS-Queensborough Nationa</v>
          </cell>
          <cell r="H255">
            <v>5030566</v>
          </cell>
          <cell r="AK255" t="str">
            <v>Cristina Arechaga</v>
          </cell>
        </row>
        <row r="256">
          <cell r="C256" t="str">
            <v>11245-RAS-Orange Bank &amp; Trust</v>
          </cell>
          <cell r="H256">
            <v>5030833</v>
          </cell>
          <cell r="AK256" t="str">
            <v>Cristina Arechaga</v>
          </cell>
        </row>
        <row r="257">
          <cell r="C257" t="str">
            <v>AMP_Peoplesoft Assessment</v>
          </cell>
          <cell r="H257">
            <v>5010398</v>
          </cell>
          <cell r="AK257" t="str">
            <v>DELETED USER</v>
          </cell>
        </row>
        <row r="258">
          <cell r="C258" t="str">
            <v>MS_OTC_CCP_McGregor</v>
          </cell>
          <cell r="H258">
            <v>5011598</v>
          </cell>
          <cell r="AK258" t="str">
            <v>Mark Reeves</v>
          </cell>
        </row>
        <row r="259">
          <cell r="C259" t="str">
            <v>BR_Tadashi Staff Aug</v>
          </cell>
          <cell r="H259">
            <v>5012841</v>
          </cell>
          <cell r="AK259" t="str">
            <v>DELETED USER</v>
          </cell>
        </row>
        <row r="260">
          <cell r="C260" t="str">
            <v>FM_ALM Program Management</v>
          </cell>
          <cell r="H260">
            <v>5011685</v>
          </cell>
          <cell r="AK260" t="str">
            <v>DELETED USER</v>
          </cell>
        </row>
        <row r="261">
          <cell r="C261" t="str">
            <v>KB_MNPI 2012 Ext</v>
          </cell>
          <cell r="H261">
            <v>5011626</v>
          </cell>
          <cell r="AK261" t="str">
            <v>DELETED USER</v>
          </cell>
        </row>
        <row r="262">
          <cell r="C262" t="str">
            <v>9573-RAS-Bank of Idaho</v>
          </cell>
          <cell r="H262">
            <v>5030755</v>
          </cell>
          <cell r="AK262" t="str">
            <v>Cristina Arechaga</v>
          </cell>
        </row>
        <row r="263">
          <cell r="C263" t="str">
            <v>Aviva_Production Compliance</v>
          </cell>
          <cell r="H263">
            <v>5011794</v>
          </cell>
          <cell r="AK263" t="str">
            <v>DELETED USER</v>
          </cell>
        </row>
        <row r="264">
          <cell r="C264" t="str">
            <v>12104-RAS-County Bank</v>
          </cell>
          <cell r="H264">
            <v>5030865</v>
          </cell>
          <cell r="AK264" t="str">
            <v>Cristina Arechaga</v>
          </cell>
        </row>
        <row r="265">
          <cell r="C265" t="str">
            <v>FM_Pricing Rate Lock Date</v>
          </cell>
          <cell r="H265">
            <v>5011349</v>
          </cell>
          <cell r="AK265" t="str">
            <v>Jag Sharma</v>
          </cell>
        </row>
        <row r="266">
          <cell r="C266" t="str">
            <v>KB_Risk Watch</v>
          </cell>
          <cell r="H266">
            <v>5011932</v>
          </cell>
          <cell r="AK266" t="str">
            <v>DELETED USER</v>
          </cell>
        </row>
        <row r="267">
          <cell r="C267" t="str">
            <v>5092-RAS-Old Dominion National</v>
          </cell>
          <cell r="H267">
            <v>5030588</v>
          </cell>
          <cell r="AK267" t="str">
            <v>Cristina Arechaga</v>
          </cell>
        </row>
        <row r="268">
          <cell r="C268" t="str">
            <v>9778-RAS-Manhattan Bank</v>
          </cell>
          <cell r="H268">
            <v>5030766</v>
          </cell>
          <cell r="AK268" t="str">
            <v>Cristina Arechaga</v>
          </cell>
        </row>
        <row r="269">
          <cell r="C269" t="str">
            <v>9612-RAS-Citizens Bank</v>
          </cell>
          <cell r="H269">
            <v>5030758</v>
          </cell>
          <cell r="AK269" t="str">
            <v>Cristina Arechaga</v>
          </cell>
        </row>
        <row r="270">
          <cell r="C270" t="str">
            <v>FM_Architecture Services</v>
          </cell>
          <cell r="H270">
            <v>5010978</v>
          </cell>
          <cell r="AK270" t="str">
            <v>DELETED USER</v>
          </cell>
        </row>
        <row r="271">
          <cell r="C271" t="str">
            <v>9114-RAS-Citizens Bank</v>
          </cell>
          <cell r="H271">
            <v>5030738</v>
          </cell>
          <cell r="AK271" t="str">
            <v>Cristina Arechaga</v>
          </cell>
        </row>
        <row r="272">
          <cell r="C272" t="str">
            <v>7719-RAS-Community Bank Mankat</v>
          </cell>
          <cell r="H272">
            <v>5030676</v>
          </cell>
          <cell r="AK272" t="str">
            <v>Cristina Arechaga</v>
          </cell>
        </row>
        <row r="273">
          <cell r="C273" t="str">
            <v>TD AMCB_Fraud Ph II</v>
          </cell>
          <cell r="H273">
            <v>5011563</v>
          </cell>
          <cell r="AK273" t="str">
            <v>Gregg Henzel</v>
          </cell>
        </row>
        <row r="274">
          <cell r="C274" t="str">
            <v>Synovus_IT Governance Assmt</v>
          </cell>
          <cell r="H274">
            <v>5010276</v>
          </cell>
          <cell r="AK274" t="str">
            <v>DELETED USER</v>
          </cell>
        </row>
        <row r="275">
          <cell r="C275" t="str">
            <v>TD AMCB_DirectChannels</v>
          </cell>
          <cell r="H275">
            <v>5011239</v>
          </cell>
          <cell r="AK275" t="str">
            <v>Kevin Wells</v>
          </cell>
        </row>
        <row r="276">
          <cell r="C276" t="str">
            <v>JPMC_Deriv Migration Seshadri</v>
          </cell>
          <cell r="H276">
            <v>5011922</v>
          </cell>
          <cell r="AK276" t="str">
            <v>DELETED USER</v>
          </cell>
        </row>
        <row r="277">
          <cell r="C277" t="str">
            <v>US Bank_Fusion Testing</v>
          </cell>
          <cell r="H277">
            <v>5011942</v>
          </cell>
          <cell r="AK277" t="str">
            <v>Karl Augenstein</v>
          </cell>
        </row>
        <row r="278">
          <cell r="C278" t="str">
            <v>WB_Due Dilligence</v>
          </cell>
          <cell r="H278">
            <v>5011929</v>
          </cell>
          <cell r="AK278" t="str">
            <v>DELETED USER</v>
          </cell>
        </row>
        <row r="279">
          <cell r="C279" t="str">
            <v>12435-RAS-Savings Bank of Danb</v>
          </cell>
          <cell r="H279">
            <v>5030825</v>
          </cell>
          <cell r="AK279" t="str">
            <v>Cristina Arechaga</v>
          </cell>
        </row>
        <row r="280">
          <cell r="C280" t="str">
            <v>9346-RAS-Unity Bank</v>
          </cell>
          <cell r="H280">
            <v>5030744</v>
          </cell>
          <cell r="AK280" t="str">
            <v>Cristina Arechaga</v>
          </cell>
        </row>
        <row r="281">
          <cell r="C281" t="str">
            <v>KB_Vendor Assess Risk MIS RFP</v>
          </cell>
          <cell r="H281">
            <v>5011937</v>
          </cell>
          <cell r="AK281" t="str">
            <v>DELETED USER</v>
          </cell>
        </row>
        <row r="282">
          <cell r="C282" t="str">
            <v>KB_Oracle Implemntn P1</v>
          </cell>
          <cell r="H282">
            <v>5011947</v>
          </cell>
          <cell r="AK282" t="str">
            <v>DELETED USER</v>
          </cell>
        </row>
        <row r="283">
          <cell r="C283" t="str">
            <v>KB_MNPI Access Control Ext2</v>
          </cell>
          <cell r="H283">
            <v>5011948</v>
          </cell>
          <cell r="AK283" t="str">
            <v>DELETED USER</v>
          </cell>
        </row>
        <row r="284">
          <cell r="C284" t="str">
            <v>FIS_T &amp; E Market Assessment</v>
          </cell>
          <cell r="H284">
            <v>5011923</v>
          </cell>
          <cell r="AK284" t="str">
            <v>DELETED USER</v>
          </cell>
        </row>
        <row r="285">
          <cell r="C285" t="str">
            <v>12878-RAS-Broadway Federal Ban</v>
          </cell>
          <cell r="H285">
            <v>5030884</v>
          </cell>
          <cell r="AK285" t="str">
            <v>Cristina Arechaga</v>
          </cell>
        </row>
        <row r="286">
          <cell r="C286" t="str">
            <v>FM_CIPO Governance Support</v>
          </cell>
          <cell r="H286">
            <v>5011860</v>
          </cell>
          <cell r="AK286" t="str">
            <v>DELETED USER</v>
          </cell>
        </row>
        <row r="287">
          <cell r="C287" t="str">
            <v>3749-RAS-Enterprise Bank &amp; Tru</v>
          </cell>
          <cell r="H287">
            <v>5030553</v>
          </cell>
          <cell r="AK287" t="str">
            <v>Cristina Arechaga</v>
          </cell>
        </row>
        <row r="288">
          <cell r="C288" t="str">
            <v>HSBC_BPO-HUB Review</v>
          </cell>
          <cell r="H288">
            <v>5012038</v>
          </cell>
          <cell r="AK288" t="str">
            <v>DELETED USER</v>
          </cell>
        </row>
        <row r="289">
          <cell r="C289" t="str">
            <v>15129-RAS-FNBC of LaGrange  IL</v>
          </cell>
          <cell r="H289">
            <v>5030920</v>
          </cell>
          <cell r="AK289" t="str">
            <v>Cristina Arechaga</v>
          </cell>
        </row>
        <row r="290">
          <cell r="C290" t="str">
            <v>FM_Change Management</v>
          </cell>
          <cell r="H290">
            <v>5011938</v>
          </cell>
          <cell r="AK290" t="str">
            <v>DELETED USER</v>
          </cell>
        </row>
        <row r="291">
          <cell r="C291" t="str">
            <v>7296-RAS-Cashmere Valley Bank</v>
          </cell>
          <cell r="H291">
            <v>5030625</v>
          </cell>
          <cell r="AK291" t="str">
            <v>Cristina Arechaga</v>
          </cell>
        </row>
        <row r="292">
          <cell r="C292" t="str">
            <v>11854-RAS-Putnam County State</v>
          </cell>
          <cell r="H292">
            <v>5030855</v>
          </cell>
          <cell r="AK292" t="str">
            <v>Cristina Arechaga</v>
          </cell>
        </row>
        <row r="293">
          <cell r="C293" t="str">
            <v>FM_EUA Testing amd#3</v>
          </cell>
          <cell r="H293">
            <v>5011871</v>
          </cell>
          <cell r="AK293" t="str">
            <v>DELETED USER</v>
          </cell>
        </row>
        <row r="294">
          <cell r="C294" t="str">
            <v>Synovus_BC Extension 2</v>
          </cell>
          <cell r="H294">
            <v>5011918</v>
          </cell>
          <cell r="AK294" t="str">
            <v>DELETED USER</v>
          </cell>
        </row>
        <row r="295">
          <cell r="C295" t="str">
            <v>JPMC_Deriv Migration Tolani</v>
          </cell>
          <cell r="H295">
            <v>5011967</v>
          </cell>
          <cell r="AK295" t="str">
            <v>DELETED USER</v>
          </cell>
        </row>
        <row r="296">
          <cell r="C296" t="str">
            <v>5134-RAS-Providence Bank</v>
          </cell>
          <cell r="H296">
            <v>5030589</v>
          </cell>
          <cell r="AK296" t="str">
            <v>Cristina Arechaga</v>
          </cell>
        </row>
        <row r="297">
          <cell r="C297" t="str">
            <v>11804-RAS-Grand Marais State B</v>
          </cell>
          <cell r="H297">
            <v>5030852</v>
          </cell>
          <cell r="AK297" t="str">
            <v>Cristina Arechaga</v>
          </cell>
        </row>
        <row r="298">
          <cell r="C298" t="str">
            <v>FR_TOM &amp; Middleware StrategyP1</v>
          </cell>
          <cell r="H298">
            <v>5012024</v>
          </cell>
          <cell r="AK298" t="str">
            <v>DELETED USER</v>
          </cell>
        </row>
        <row r="299">
          <cell r="C299" t="str">
            <v>7564-RAS-Town and Country Fina</v>
          </cell>
          <cell r="H299">
            <v>5030671</v>
          </cell>
          <cell r="AK299" t="str">
            <v>Cristina Arechaga</v>
          </cell>
        </row>
        <row r="300">
          <cell r="C300" t="str">
            <v>12144-RAS-North American Banki</v>
          </cell>
          <cell r="H300">
            <v>5030868</v>
          </cell>
          <cell r="AK300" t="str">
            <v>Cristina Arechaga</v>
          </cell>
        </row>
        <row r="301">
          <cell r="C301" t="str">
            <v>2322-RAS-City Bank &amp; Trust Com</v>
          </cell>
          <cell r="H301">
            <v>5030440</v>
          </cell>
          <cell r="AK301" t="str">
            <v>Cristina Arechaga</v>
          </cell>
        </row>
        <row r="302">
          <cell r="C302" t="str">
            <v>NoEID-RAS-Nichols  Cauley &amp; As</v>
          </cell>
          <cell r="H302">
            <v>5030406</v>
          </cell>
          <cell r="AK302" t="str">
            <v>Cristina Arechaga</v>
          </cell>
        </row>
        <row r="303">
          <cell r="C303" t="str">
            <v>5638-RAS-Citizens First Bank</v>
          </cell>
          <cell r="H303">
            <v>5030635</v>
          </cell>
          <cell r="AK303" t="str">
            <v>Cristina Arechaga</v>
          </cell>
        </row>
        <row r="304">
          <cell r="C304" t="str">
            <v>BARC_InvtoryMgmtProgramSuppt2</v>
          </cell>
          <cell r="H304">
            <v>5012448</v>
          </cell>
          <cell r="AK304" t="str">
            <v>DELETED USER</v>
          </cell>
        </row>
        <row r="305">
          <cell r="C305" t="str">
            <v>JPM CFT BizAnlyst AmberBaldet</v>
          </cell>
          <cell r="H305">
            <v>5012052</v>
          </cell>
          <cell r="AK305" t="str">
            <v>Kapin Vora</v>
          </cell>
        </row>
        <row r="306">
          <cell r="C306" t="str">
            <v>18778-RAS-WinTrust Financial C</v>
          </cell>
          <cell r="H306">
            <v>5030330</v>
          </cell>
          <cell r="AK306" t="str">
            <v>Cristina Arechaga</v>
          </cell>
        </row>
        <row r="307">
          <cell r="C307" t="str">
            <v>5716-RAS-Warrington Bank</v>
          </cell>
          <cell r="H307">
            <v>5030639</v>
          </cell>
          <cell r="AK307" t="str">
            <v>Cristina Arechaga</v>
          </cell>
        </row>
        <row r="308">
          <cell r="C308" t="str">
            <v>FIS_Ally Remediation Planning</v>
          </cell>
          <cell r="H308">
            <v>5012160</v>
          </cell>
          <cell r="AK308" t="str">
            <v>Dan Tamblyn</v>
          </cell>
        </row>
        <row r="309">
          <cell r="C309" t="str">
            <v>8231-RAS-Albany Bank &amp; Trust C</v>
          </cell>
          <cell r="H309">
            <v>5030700</v>
          </cell>
          <cell r="AK309" t="str">
            <v>Cristina Arechaga</v>
          </cell>
        </row>
        <row r="310">
          <cell r="C310" t="str">
            <v>AE_Financial Reporting Nilson</v>
          </cell>
          <cell r="H310">
            <v>5010889</v>
          </cell>
          <cell r="AK310" t="str">
            <v>DELETED USER</v>
          </cell>
        </row>
        <row r="311">
          <cell r="C311" t="str">
            <v>BMO Harris_M&amp;I Conversion-Reg</v>
          </cell>
          <cell r="H311">
            <v>5012260</v>
          </cell>
          <cell r="AK311" t="str">
            <v>DELETED USER</v>
          </cell>
        </row>
        <row r="312">
          <cell r="C312" t="str">
            <v>Damascus-MQC</v>
          </cell>
          <cell r="H312">
            <v>5029593</v>
          </cell>
          <cell r="AK312" t="str">
            <v>Cristina Arechaga</v>
          </cell>
        </row>
        <row r="313">
          <cell r="C313" t="str">
            <v>FM_CIPO Governance Support amd</v>
          </cell>
          <cell r="H313">
            <v>5012023</v>
          </cell>
          <cell r="AK313" t="str">
            <v>DELETED USER</v>
          </cell>
        </row>
        <row r="314">
          <cell r="C314" t="str">
            <v>4201-RAS-Northumberland Nation</v>
          </cell>
          <cell r="H314">
            <v>5030603</v>
          </cell>
          <cell r="AK314" t="str">
            <v>Cristina Arechaga</v>
          </cell>
        </row>
        <row r="315">
          <cell r="C315" t="str">
            <v>JPMC_DerivsMigration_Gonlag</v>
          </cell>
          <cell r="H315">
            <v>5012240</v>
          </cell>
          <cell r="AK315" t="str">
            <v>DELETED USER</v>
          </cell>
        </row>
        <row r="316">
          <cell r="C316" t="str">
            <v>DB_Loans Processing</v>
          </cell>
          <cell r="H316">
            <v>5011919</v>
          </cell>
          <cell r="AK316" t="str">
            <v>DELETED USER</v>
          </cell>
        </row>
        <row r="317">
          <cell r="C317" t="str">
            <v>KB_HSBC conversion support</v>
          </cell>
          <cell r="H317">
            <v>5012233</v>
          </cell>
          <cell r="AK317" t="str">
            <v>DELETED USER</v>
          </cell>
        </row>
        <row r="318">
          <cell r="C318" t="str">
            <v>CS_OX Order Router Review</v>
          </cell>
          <cell r="H318">
            <v>5011903</v>
          </cell>
          <cell r="AK318" t="str">
            <v>Richard Mlot</v>
          </cell>
        </row>
        <row r="319">
          <cell r="C319" t="str">
            <v>FNFG _ Test Manager</v>
          </cell>
          <cell r="H319">
            <v>5012329</v>
          </cell>
          <cell r="AK319" t="str">
            <v>DELETED USER</v>
          </cell>
        </row>
        <row r="320">
          <cell r="C320" t="str">
            <v>MS_CCP Extension KevinChan</v>
          </cell>
          <cell r="H320">
            <v>5011768</v>
          </cell>
          <cell r="AK320" t="str">
            <v>Angela McGregor</v>
          </cell>
        </row>
        <row r="321">
          <cell r="C321" t="str">
            <v>AllyFin_Operations Assesment</v>
          </cell>
          <cell r="H321">
            <v>5012333</v>
          </cell>
          <cell r="AK321" t="str">
            <v>DELETED USER</v>
          </cell>
        </row>
        <row r="322">
          <cell r="C322" t="str">
            <v>GS_Cross Div Projects Ext</v>
          </cell>
          <cell r="H322">
            <v>5011499</v>
          </cell>
          <cell r="AK322" t="str">
            <v>DELETED USER</v>
          </cell>
        </row>
        <row r="323">
          <cell r="C323" t="str">
            <v>3723-RAS-Mississippi River Ban</v>
          </cell>
          <cell r="H323">
            <v>5030548</v>
          </cell>
          <cell r="AK323" t="str">
            <v>Cristina Arechaga</v>
          </cell>
        </row>
        <row r="324">
          <cell r="C324" t="str">
            <v>WFC_GET Tech PMM Kline</v>
          </cell>
          <cell r="H324">
            <v>5012126</v>
          </cell>
          <cell r="AK324" t="str">
            <v>Jacqueline Dullin-Fox</v>
          </cell>
        </row>
        <row r="325">
          <cell r="C325" t="str">
            <v>FM_Testing Equator/Dallas</v>
          </cell>
          <cell r="H325">
            <v>5011939</v>
          </cell>
          <cell r="AK325" t="str">
            <v>DELETED USER</v>
          </cell>
        </row>
        <row r="326">
          <cell r="C326" t="str">
            <v>FM_Unified Pl. Bus</v>
          </cell>
          <cell r="H326">
            <v>5012290</v>
          </cell>
          <cell r="AK326" t="str">
            <v>Jack Mulqueen</v>
          </cell>
        </row>
        <row r="327">
          <cell r="C327" t="str">
            <v>BMO Harris_CapitalMgmt</v>
          </cell>
          <cell r="H327">
            <v>5012263</v>
          </cell>
          <cell r="AK327" t="str">
            <v>Michelle Fambro</v>
          </cell>
        </row>
        <row r="328">
          <cell r="C328" t="str">
            <v>7619-RAS-Home Bank &amp; Trust Com</v>
          </cell>
          <cell r="H328">
            <v>5030672</v>
          </cell>
          <cell r="AK328" t="str">
            <v>Cristina Arechaga</v>
          </cell>
        </row>
        <row r="329">
          <cell r="C329" t="str">
            <v>FM_Unified Pl. Tech</v>
          </cell>
          <cell r="H329">
            <v>5012049</v>
          </cell>
          <cell r="AK329" t="str">
            <v>DELETED USER</v>
          </cell>
        </row>
        <row r="330">
          <cell r="C330" t="str">
            <v>TD_AMCB_Fraud Ph 2A</v>
          </cell>
          <cell r="H330">
            <v>5012282</v>
          </cell>
          <cell r="AK330" t="str">
            <v>Gregg Henzel</v>
          </cell>
        </row>
        <row r="331">
          <cell r="C331" t="str">
            <v>Equator_Testing Services</v>
          </cell>
          <cell r="H331">
            <v>5012597</v>
          </cell>
          <cell r="AK331" t="str">
            <v>DELETED USER</v>
          </cell>
        </row>
        <row r="332">
          <cell r="C332" t="str">
            <v>FM_ULDD Release 12-13</v>
          </cell>
          <cell r="H332">
            <v>5012401</v>
          </cell>
          <cell r="AK332" t="str">
            <v>DELETED USER</v>
          </cell>
        </row>
        <row r="333">
          <cell r="C333" t="str">
            <v>GS_Global Tax Ops Ext</v>
          </cell>
          <cell r="H333">
            <v>5012442</v>
          </cell>
          <cell r="AK333" t="str">
            <v>DELETED USER</v>
          </cell>
        </row>
        <row r="334">
          <cell r="C334" t="str">
            <v>SVB_Mobile Strategy - DraftDev</v>
          </cell>
          <cell r="H334">
            <v>5012415</v>
          </cell>
          <cell r="AK334" t="str">
            <v>DELETED USER</v>
          </cell>
        </row>
        <row r="335">
          <cell r="C335" t="str">
            <v>MorgaStanley_Vendor Management</v>
          </cell>
          <cell r="H335">
            <v>5012398</v>
          </cell>
          <cell r="AK335" t="str">
            <v>Mike Bertran</v>
          </cell>
        </row>
        <row r="336">
          <cell r="C336" t="str">
            <v>WF_Abbot Downing Invest (Ext)</v>
          </cell>
          <cell r="H336">
            <v>5010589</v>
          </cell>
          <cell r="AK336" t="str">
            <v>DELETED USER</v>
          </cell>
        </row>
        <row r="337">
          <cell r="C337" t="str">
            <v>JPMC_DerivsMigration_PawanAdur</v>
          </cell>
          <cell r="H337">
            <v>5012409</v>
          </cell>
          <cell r="AK337" t="str">
            <v>DELETED USER</v>
          </cell>
        </row>
        <row r="338">
          <cell r="C338" t="str">
            <v>BMO Harris_RegRprtngAutomatn-2</v>
          </cell>
          <cell r="H338">
            <v>5012064</v>
          </cell>
          <cell r="AK338" t="str">
            <v>Michelle Fambro</v>
          </cell>
        </row>
        <row r="339">
          <cell r="C339" t="str">
            <v>FM_ReconciliatnExtensionsPh2</v>
          </cell>
          <cell r="H339">
            <v>5011118</v>
          </cell>
          <cell r="AK339" t="str">
            <v>DELETED USER</v>
          </cell>
        </row>
        <row r="340">
          <cell r="C340" t="str">
            <v>399-RAS-Main Bank</v>
          </cell>
          <cell r="H340">
            <v>5030417</v>
          </cell>
          <cell r="AK340" t="str">
            <v>Cristina Arechaga</v>
          </cell>
        </row>
        <row r="341">
          <cell r="C341" t="str">
            <v>KB_CRM Requirements Stage 1</v>
          </cell>
          <cell r="H341">
            <v>5012242</v>
          </cell>
          <cell r="AK341" t="str">
            <v>DELETED USER</v>
          </cell>
        </row>
        <row r="342">
          <cell r="C342" t="str">
            <v>3268-RAS-1st Colonial Communit</v>
          </cell>
          <cell r="H342">
            <v>5030523</v>
          </cell>
          <cell r="AK342" t="str">
            <v>Cristina Arechaga</v>
          </cell>
        </row>
        <row r="343">
          <cell r="C343" t="str">
            <v>FNB_FNFG ACBS</v>
          </cell>
          <cell r="H343">
            <v>5012330</v>
          </cell>
          <cell r="AK343" t="str">
            <v>DELETED USER</v>
          </cell>
        </row>
        <row r="344">
          <cell r="C344" t="str">
            <v>KB_CRM CCV Project Manager</v>
          </cell>
          <cell r="H344">
            <v>5012249</v>
          </cell>
          <cell r="AK344" t="str">
            <v>DELETED USER</v>
          </cell>
        </row>
        <row r="345">
          <cell r="C345" t="str">
            <v>AI_Mkt Data strategy phase 2</v>
          </cell>
          <cell r="H345">
            <v>5010951</v>
          </cell>
          <cell r="AK345" t="str">
            <v>DELETED USER</v>
          </cell>
        </row>
        <row r="346">
          <cell r="C346" t="str">
            <v>JPMC_DerivsMgrt_ElaineZheng</v>
          </cell>
          <cell r="H346">
            <v>5012466</v>
          </cell>
          <cell r="AK346" t="str">
            <v>DELETED USER</v>
          </cell>
        </row>
        <row r="347">
          <cell r="C347" t="str">
            <v>5572-RAS-State Bank of Florenc</v>
          </cell>
          <cell r="H347">
            <v>5030632</v>
          </cell>
          <cell r="AK347" t="str">
            <v>Cristina Arechaga</v>
          </cell>
        </row>
        <row r="348">
          <cell r="C348" t="str">
            <v>3482-RAS-Citizens Bank of Fors</v>
          </cell>
          <cell r="H348">
            <v>5030534</v>
          </cell>
          <cell r="AK348" t="str">
            <v>Cristina Arechaga</v>
          </cell>
        </row>
        <row r="349">
          <cell r="C349" t="str">
            <v>10642-RAS-CommunityBank of Tex</v>
          </cell>
          <cell r="H349">
            <v>5030809</v>
          </cell>
          <cell r="AK349" t="str">
            <v>Cristina Arechaga</v>
          </cell>
        </row>
        <row r="350">
          <cell r="C350" t="str">
            <v>4376-RAS-United Business Bank</v>
          </cell>
          <cell r="H350">
            <v>5030567</v>
          </cell>
          <cell r="AK350" t="str">
            <v>Cristina Arechaga</v>
          </cell>
        </row>
        <row r="351">
          <cell r="C351" t="str">
            <v>FM_TEC ADI PM Support 2012</v>
          </cell>
          <cell r="H351">
            <v>5012495</v>
          </cell>
          <cell r="AK351" t="str">
            <v>Sarah Cameron</v>
          </cell>
        </row>
        <row r="352">
          <cell r="C352" t="str">
            <v>CS_Data Sourcing Bambo</v>
          </cell>
          <cell r="H352">
            <v>5011502</v>
          </cell>
          <cell r="AK352" t="str">
            <v>Mike Bertran</v>
          </cell>
        </row>
        <row r="353">
          <cell r="C353" t="str">
            <v>FM_Change MGMT Workstreams</v>
          </cell>
          <cell r="H353">
            <v>5012111</v>
          </cell>
          <cell r="AK353" t="str">
            <v>DELETED USER</v>
          </cell>
        </row>
        <row r="354">
          <cell r="C354" t="str">
            <v>JPMC_AssetServicing_BA</v>
          </cell>
          <cell r="H354">
            <v>5012303</v>
          </cell>
          <cell r="AK354" t="str">
            <v>Kapin Vora</v>
          </cell>
        </row>
        <row r="355">
          <cell r="C355" t="str">
            <v>FM_Service Platform2012Apr-Sep</v>
          </cell>
          <cell r="H355">
            <v>5012407</v>
          </cell>
          <cell r="AK355" t="str">
            <v>Sarah Cameron</v>
          </cell>
        </row>
        <row r="356">
          <cell r="C356" t="str">
            <v>USBancorp_USBankRetailSupFusn</v>
          </cell>
          <cell r="H356">
            <v>5012451</v>
          </cell>
          <cell r="AK356" t="str">
            <v>Karl Augenstein</v>
          </cell>
        </row>
        <row r="357">
          <cell r="C357" t="str">
            <v>FM_TEC SOA Governance 2012</v>
          </cell>
          <cell r="H357">
            <v>5012434</v>
          </cell>
          <cell r="AK357" t="str">
            <v>Sarah Cameron</v>
          </cell>
        </row>
        <row r="358">
          <cell r="C358" t="str">
            <v>FR_TOM &amp; Middleware StrategyP2</v>
          </cell>
          <cell r="H358">
            <v>5012096</v>
          </cell>
          <cell r="AK358" t="str">
            <v>DELETED USER</v>
          </cell>
        </row>
        <row r="359">
          <cell r="C359" t="str">
            <v>Invesco_Profitability Planning</v>
          </cell>
          <cell r="H359">
            <v>5012449</v>
          </cell>
          <cell r="AK359" t="str">
            <v>DELETED USER</v>
          </cell>
        </row>
        <row r="360">
          <cell r="C360" t="str">
            <v>27908-RAS-First Community Fina</v>
          </cell>
          <cell r="H360">
            <v>5030350</v>
          </cell>
          <cell r="AK360" t="str">
            <v>Cristina Arechaga</v>
          </cell>
        </row>
        <row r="361">
          <cell r="C361" t="str">
            <v>13475-RAS-Fayette Savings Bank</v>
          </cell>
          <cell r="H361">
            <v>5030912</v>
          </cell>
          <cell r="AK361" t="str">
            <v>Cristina Arechaga</v>
          </cell>
        </row>
        <row r="362">
          <cell r="C362" t="str">
            <v>KB_Credit Phase 2</v>
          </cell>
          <cell r="H362">
            <v>5011733</v>
          </cell>
          <cell r="AK362" t="str">
            <v>DELETED USER</v>
          </cell>
        </row>
        <row r="363">
          <cell r="C363" t="str">
            <v>TD AMCB_Fraud Business Analyst</v>
          </cell>
          <cell r="H363">
            <v>5012480</v>
          </cell>
          <cell r="AK363" t="str">
            <v>Mike Bertran</v>
          </cell>
        </row>
        <row r="364">
          <cell r="C364" t="str">
            <v>KB_Debit Phase 2</v>
          </cell>
          <cell r="H364">
            <v>5011735</v>
          </cell>
          <cell r="AK364" t="str">
            <v>DELETED USER</v>
          </cell>
        </row>
        <row r="365">
          <cell r="C365" t="str">
            <v>12950-RAS-MetaBank</v>
          </cell>
          <cell r="H365">
            <v>5030889</v>
          </cell>
          <cell r="AK365" t="str">
            <v>Cristina Arechaga</v>
          </cell>
        </row>
        <row r="366">
          <cell r="C366" t="str">
            <v>Aviva Core Extension</v>
          </cell>
          <cell r="H366">
            <v>5012574</v>
          </cell>
          <cell r="AK366" t="str">
            <v>DELETED USER</v>
          </cell>
        </row>
        <row r="367">
          <cell r="C367" t="str">
            <v>FM_Industry Solutions-Veros</v>
          </cell>
          <cell r="H367">
            <v>5011462</v>
          </cell>
          <cell r="AK367" t="str">
            <v>DELETED USER</v>
          </cell>
        </row>
        <row r="368">
          <cell r="C368" t="str">
            <v>Citi_RTDMS Engancement</v>
          </cell>
          <cell r="H368">
            <v>5011096</v>
          </cell>
          <cell r="AK368" t="str">
            <v>DELETED USER</v>
          </cell>
        </row>
        <row r="369">
          <cell r="C369" t="str">
            <v>FM_Shared Services Recon Suppo</v>
          </cell>
          <cell r="H369">
            <v>5012565</v>
          </cell>
          <cell r="AK369" t="str">
            <v>DELETED USER</v>
          </cell>
        </row>
        <row r="370">
          <cell r="C370" t="str">
            <v>Jefferies_Dodd-Frank</v>
          </cell>
          <cell r="H370">
            <v>5012397</v>
          </cell>
          <cell r="AK370" t="str">
            <v>Richard Mlot</v>
          </cell>
        </row>
        <row r="371">
          <cell r="C371" t="str">
            <v>2552-RAS-Richland State Bank</v>
          </cell>
          <cell r="H371">
            <v>5030468</v>
          </cell>
          <cell r="AK371" t="str">
            <v>Cristina Arechaga</v>
          </cell>
        </row>
        <row r="372">
          <cell r="C372" t="str">
            <v>BARC_IMS Extension</v>
          </cell>
          <cell r="H372">
            <v>5012708</v>
          </cell>
          <cell r="AK372" t="str">
            <v>DELETED USER</v>
          </cell>
        </row>
        <row r="373">
          <cell r="C373" t="str">
            <v>11331-RAS-Classic Bank  NA</v>
          </cell>
          <cell r="H373">
            <v>5030837</v>
          </cell>
          <cell r="AK373" t="str">
            <v>Cristina Arechaga</v>
          </cell>
        </row>
        <row r="374">
          <cell r="C374" t="str">
            <v>Citi_Rnbw Non-Fund Prfmnc Assm</v>
          </cell>
          <cell r="H374">
            <v>5011749</v>
          </cell>
          <cell r="AK374" t="str">
            <v>DELETED USER</v>
          </cell>
        </row>
        <row r="375">
          <cell r="C375" t="str">
            <v>TD AMCB_TestMgrSppt-MayOct</v>
          </cell>
          <cell r="H375">
            <v>5012618</v>
          </cell>
          <cell r="AK375" t="str">
            <v>DELETED USER</v>
          </cell>
        </row>
        <row r="376">
          <cell r="C376" t="str">
            <v>FM_EnterpriseDataArchAssessmnt</v>
          </cell>
          <cell r="H376">
            <v>5012507</v>
          </cell>
          <cell r="AK376" t="str">
            <v>DELETED USER</v>
          </cell>
        </row>
        <row r="377">
          <cell r="C377" t="str">
            <v>FNB_Pcard-Phase 1 Strategy</v>
          </cell>
          <cell r="H377">
            <v>5012146</v>
          </cell>
          <cell r="AK377" t="str">
            <v>Vince Forte</v>
          </cell>
        </row>
        <row r="378">
          <cell r="C378" t="str">
            <v>MS_OTC Trade Processing BA</v>
          </cell>
          <cell r="H378">
            <v>5012599</v>
          </cell>
          <cell r="AK378" t="str">
            <v>DELETED USER</v>
          </cell>
        </row>
        <row r="379">
          <cell r="C379" t="str">
            <v>FR_Non-production Envir Set-Up</v>
          </cell>
          <cell r="H379">
            <v>5012147</v>
          </cell>
          <cell r="AK379" t="str">
            <v>Richard Rhodes</v>
          </cell>
        </row>
        <row r="380">
          <cell r="C380" t="str">
            <v>FM_Mortgage Ops mtg/ops arch</v>
          </cell>
          <cell r="H380">
            <v>5012504</v>
          </cell>
          <cell r="AK380" t="str">
            <v>DELETED USER</v>
          </cell>
        </row>
        <row r="381">
          <cell r="C381" t="str">
            <v>FM_Capitol Markets PM (Vivian)</v>
          </cell>
          <cell r="H381">
            <v>5012683</v>
          </cell>
          <cell r="AK381" t="str">
            <v>DELETED USER</v>
          </cell>
        </row>
        <row r="382">
          <cell r="C382" t="str">
            <v>Bank of Oklahoma_CPDM ETL</v>
          </cell>
          <cell r="H382">
            <v>5012738</v>
          </cell>
          <cell r="AK382" t="str">
            <v>DELETED USER</v>
          </cell>
        </row>
        <row r="383">
          <cell r="C383" t="str">
            <v>FM_Phase 1 - SDLC Assessment</v>
          </cell>
          <cell r="H383">
            <v>5012686</v>
          </cell>
          <cell r="AK383" t="str">
            <v>Kevin Wells</v>
          </cell>
        </row>
        <row r="384">
          <cell r="C384" t="str">
            <v>USBancorp_USBankRetailSupFsn2</v>
          </cell>
          <cell r="H384">
            <v>5012734</v>
          </cell>
          <cell r="AK384" t="str">
            <v>Karl Augenstein</v>
          </cell>
        </row>
        <row r="385">
          <cell r="C385" t="str">
            <v>Key Bank_CRISP Automation</v>
          </cell>
          <cell r="H385">
            <v>5012737</v>
          </cell>
          <cell r="AK385" t="str">
            <v>DELETED USER</v>
          </cell>
        </row>
        <row r="386">
          <cell r="C386" t="str">
            <v>Key Bank_KEF Definition</v>
          </cell>
          <cell r="H386">
            <v>5012616</v>
          </cell>
          <cell r="AK386" t="str">
            <v>DELETED USER</v>
          </cell>
        </row>
        <row r="387">
          <cell r="C387" t="str">
            <v>2523-RAS-First Security Bank</v>
          </cell>
          <cell r="H387">
            <v>5030466</v>
          </cell>
          <cell r="AK387" t="str">
            <v>Cristina Arechaga</v>
          </cell>
        </row>
        <row r="388">
          <cell r="C388" t="str">
            <v>4361-RAS-East Cambridge Saving</v>
          </cell>
          <cell r="H388">
            <v>5030565</v>
          </cell>
          <cell r="AK388" t="str">
            <v>Cristina Arechaga</v>
          </cell>
        </row>
        <row r="389">
          <cell r="C389" t="str">
            <v>TD AMCB_DC Dlvry Mgmt</v>
          </cell>
          <cell r="H389">
            <v>5012648</v>
          </cell>
          <cell r="AK389" t="str">
            <v>Kevin Wells</v>
          </cell>
        </row>
        <row r="390">
          <cell r="C390" t="str">
            <v>SVB_FX Ops Risk Review</v>
          </cell>
          <cell r="H390">
            <v>5012213</v>
          </cell>
          <cell r="AK390" t="str">
            <v>DELETED USER</v>
          </cell>
        </row>
        <row r="391">
          <cell r="C391" t="str">
            <v>10166-RAS-Nantahala Bank &amp; Tru</v>
          </cell>
          <cell r="H391">
            <v>5030782</v>
          </cell>
          <cell r="AK391" t="str">
            <v>Cristina Arechaga</v>
          </cell>
        </row>
        <row r="392">
          <cell r="C392" t="str">
            <v>Jefferies_Complaince Support</v>
          </cell>
          <cell r="H392">
            <v>5012873</v>
          </cell>
          <cell r="AK392" t="str">
            <v>DELETED USER</v>
          </cell>
        </row>
        <row r="393">
          <cell r="C393" t="str">
            <v>JPMC_Asset Servicing BA</v>
          </cell>
          <cell r="H393">
            <v>5012637</v>
          </cell>
          <cell r="AK393" t="str">
            <v>Kapin Vora</v>
          </cell>
        </row>
        <row r="394">
          <cell r="C394" t="str">
            <v>4649-RAS-First National Bank o</v>
          </cell>
          <cell r="H394">
            <v>5030578</v>
          </cell>
          <cell r="AK394" t="str">
            <v>Cristina Arechaga</v>
          </cell>
        </row>
        <row r="395">
          <cell r="C395" t="str">
            <v>3245-RAS-Seaway Bank and Trust</v>
          </cell>
          <cell r="H395">
            <v>5030521</v>
          </cell>
          <cell r="AK395" t="str">
            <v>Cristina Arechaga</v>
          </cell>
        </row>
        <row r="396">
          <cell r="C396" t="str">
            <v>9171-RAS-BankFirst</v>
          </cell>
          <cell r="H396">
            <v>5030740</v>
          </cell>
          <cell r="AK396" t="str">
            <v>Cristina Arechaga</v>
          </cell>
        </row>
        <row r="397">
          <cell r="C397" t="str">
            <v>12740-RAS-United Fidelity Bank</v>
          </cell>
          <cell r="H397">
            <v>5030879</v>
          </cell>
          <cell r="AK397" t="str">
            <v>Cristina Arechaga</v>
          </cell>
        </row>
        <row r="398">
          <cell r="C398" t="str">
            <v>BMO Harris_ACH Conversion 1</v>
          </cell>
          <cell r="H398">
            <v>5012874</v>
          </cell>
          <cell r="AK398" t="str">
            <v>Dan Tamblyn</v>
          </cell>
        </row>
        <row r="399">
          <cell r="C399" t="str">
            <v>RI_Index Data Pricing Strategy</v>
          </cell>
          <cell r="H399">
            <v>5012172</v>
          </cell>
          <cell r="AK399" t="str">
            <v>Kapin Vora</v>
          </cell>
        </row>
        <row r="400">
          <cell r="C400" t="str">
            <v>USBank_Small Business</v>
          </cell>
          <cell r="H400">
            <v>5010949</v>
          </cell>
          <cell r="AK400" t="str">
            <v>Michael Tao</v>
          </cell>
        </row>
        <row r="401">
          <cell r="C401" t="str">
            <v>9965-RAS-Washington Trust Bank</v>
          </cell>
          <cell r="H401">
            <v>5030776</v>
          </cell>
          <cell r="AK401" t="str">
            <v>Cristina Arechaga</v>
          </cell>
        </row>
        <row r="402">
          <cell r="C402" t="str">
            <v>FM_Equator Oct extension</v>
          </cell>
          <cell r="H402">
            <v>5012707</v>
          </cell>
          <cell r="AK402" t="str">
            <v>DELETED USER</v>
          </cell>
        </row>
        <row r="403">
          <cell r="C403" t="str">
            <v>AXAR_ICC Services</v>
          </cell>
          <cell r="H403">
            <v>5009992</v>
          </cell>
          <cell r="AK403" t="str">
            <v>DELETED USER</v>
          </cell>
        </row>
        <row r="404">
          <cell r="C404" t="str">
            <v>FM_Equator Testing Amd</v>
          </cell>
          <cell r="H404">
            <v>5013074</v>
          </cell>
          <cell r="AK404" t="str">
            <v>DELETED USER</v>
          </cell>
        </row>
        <row r="405">
          <cell r="C405" t="str">
            <v>FM_Securitization Test Lead</v>
          </cell>
          <cell r="H405">
            <v>5012687</v>
          </cell>
          <cell r="AK405" t="str">
            <v>DELETED USER</v>
          </cell>
        </row>
        <row r="406">
          <cell r="C406" t="str">
            <v>Aviva Operations Program Lead</v>
          </cell>
          <cell r="H406">
            <v>5012808</v>
          </cell>
          <cell r="AK406" t="str">
            <v>DELETED USER</v>
          </cell>
        </row>
        <row r="407">
          <cell r="C407" t="str">
            <v>Element 22_Content Roadmap</v>
          </cell>
          <cell r="H407">
            <v>5012806</v>
          </cell>
          <cell r="AK407" t="str">
            <v>DELETED USER</v>
          </cell>
        </row>
        <row r="408">
          <cell r="C408" t="str">
            <v>8152-RAS-Silvergate Bank</v>
          </cell>
          <cell r="H408">
            <v>5030695</v>
          </cell>
          <cell r="AK408" t="str">
            <v>Cristina Arechaga</v>
          </cell>
        </row>
        <row r="409">
          <cell r="C409" t="str">
            <v>FM_TEC SOA Service Factory2012</v>
          </cell>
          <cell r="H409">
            <v>5012408</v>
          </cell>
          <cell r="AK409" t="str">
            <v>Sarah Cameron</v>
          </cell>
        </row>
        <row r="410">
          <cell r="C410" t="str">
            <v>AI_Aviva BA Support</v>
          </cell>
          <cell r="H410">
            <v>5012809</v>
          </cell>
          <cell r="AK410" t="str">
            <v>DELETED USER</v>
          </cell>
        </row>
        <row r="411">
          <cell r="C411" t="str">
            <v>33218-RAS-Andrews Hooper Pavli</v>
          </cell>
          <cell r="H411">
            <v>5030364</v>
          </cell>
          <cell r="AK411" t="str">
            <v>Cristina Arechaga</v>
          </cell>
        </row>
        <row r="412">
          <cell r="C412" t="str">
            <v>FM_Service Platform amd1</v>
          </cell>
          <cell r="H412">
            <v>5012782</v>
          </cell>
          <cell r="AK412" t="str">
            <v>Sarah Cameron</v>
          </cell>
        </row>
        <row r="413">
          <cell r="C413" t="str">
            <v>Private_FT process review</v>
          </cell>
          <cell r="H413">
            <v>5012664</v>
          </cell>
          <cell r="AK413" t="str">
            <v>DELETED USER</v>
          </cell>
        </row>
        <row r="414">
          <cell r="C414" t="str">
            <v>FRB Mobile Strategy - Phase 1</v>
          </cell>
          <cell r="H414">
            <v>5012823</v>
          </cell>
          <cell r="AK414" t="str">
            <v>DELETED USER</v>
          </cell>
        </row>
        <row r="415">
          <cell r="C415" t="str">
            <v>Aviva_JK extension</v>
          </cell>
          <cell r="H415">
            <v>5012751</v>
          </cell>
          <cell r="AK415" t="str">
            <v>DELETED USER</v>
          </cell>
        </row>
        <row r="416">
          <cell r="C416" t="str">
            <v>10869-RAS-Scott Valley Bank</v>
          </cell>
          <cell r="H416">
            <v>5030812</v>
          </cell>
          <cell r="AK416" t="str">
            <v>Cristina Arechaga</v>
          </cell>
        </row>
        <row r="417">
          <cell r="C417" t="str">
            <v>Jefferies_RISK IT</v>
          </cell>
          <cell r="H417">
            <v>5012511</v>
          </cell>
          <cell r="AK417" t="str">
            <v>DELETED USER</v>
          </cell>
        </row>
        <row r="418">
          <cell r="C418" t="str">
            <v>11092-RAS-Bank of Erath</v>
          </cell>
          <cell r="H418">
            <v>5030819</v>
          </cell>
          <cell r="AK418" t="str">
            <v>Cristina Arechaga</v>
          </cell>
        </row>
        <row r="419">
          <cell r="C419" t="str">
            <v>FNFG_Lease Test Mgr</v>
          </cell>
          <cell r="H419">
            <v>5012914</v>
          </cell>
          <cell r="AK419" t="str">
            <v>DELETED USER</v>
          </cell>
        </row>
        <row r="420">
          <cell r="C420" t="str">
            <v>Key Bank_CRM Reqts Phase 2</v>
          </cell>
          <cell r="H420">
            <v>5012614</v>
          </cell>
          <cell r="AK420" t="str">
            <v>DELETED USER</v>
          </cell>
        </row>
        <row r="421">
          <cell r="C421" t="str">
            <v>2467-RAS-Fidelity Bank</v>
          </cell>
          <cell r="H421">
            <v>5030458</v>
          </cell>
          <cell r="AK421" t="str">
            <v>Cristina Arechaga</v>
          </cell>
        </row>
        <row r="422">
          <cell r="C422" t="str">
            <v>29522-RAS-Parkside Financial B</v>
          </cell>
          <cell r="H422">
            <v>5030360</v>
          </cell>
          <cell r="AK422" t="str">
            <v>Cristina Arechaga</v>
          </cell>
        </row>
        <row r="423">
          <cell r="C423" t="str">
            <v>BARC_GOS Prime Intl</v>
          </cell>
          <cell r="H423">
            <v>5013114</v>
          </cell>
          <cell r="AK423" t="str">
            <v>DELETED USER</v>
          </cell>
        </row>
        <row r="424">
          <cell r="C424" t="str">
            <v>FM_Architecture Support Phase1</v>
          </cell>
          <cell r="H424">
            <v>5012840</v>
          </cell>
          <cell r="AK424" t="str">
            <v>DELETED USER</v>
          </cell>
        </row>
        <row r="425">
          <cell r="C425" t="str">
            <v>2405-RAS-Bank of the Ozarks</v>
          </cell>
          <cell r="H425">
            <v>5030453</v>
          </cell>
          <cell r="AK425" t="str">
            <v>Cristina Arechaga</v>
          </cell>
        </row>
        <row r="426">
          <cell r="C426" t="str">
            <v>CA_Burkey Loan Operational Mod</v>
          </cell>
          <cell r="H426">
            <v>5012788</v>
          </cell>
          <cell r="AK426" t="str">
            <v>DELETED USER</v>
          </cell>
        </row>
        <row r="427">
          <cell r="C427" t="str">
            <v>Syncada_SCF readiness</v>
          </cell>
          <cell r="H427">
            <v>5012666</v>
          </cell>
          <cell r="AK427" t="str">
            <v>DELETED USER</v>
          </cell>
        </row>
        <row r="428">
          <cell r="C428" t="str">
            <v>BOKF_Profit Vendor Analysis</v>
          </cell>
          <cell r="H428">
            <v>5012974</v>
          </cell>
          <cell r="AK428" t="str">
            <v>DELETED USER</v>
          </cell>
        </row>
        <row r="429">
          <cell r="C429" t="str">
            <v>JPMC_GaussMigration_JessieNing</v>
          </cell>
          <cell r="H429">
            <v>5012636</v>
          </cell>
          <cell r="AK429" t="str">
            <v>DELETED USER</v>
          </cell>
        </row>
        <row r="430">
          <cell r="C430" t="str">
            <v>10187-RAS-Hanmi Bank</v>
          </cell>
          <cell r="H430">
            <v>5030785</v>
          </cell>
          <cell r="AK430" t="str">
            <v>Cristina Arechaga</v>
          </cell>
        </row>
        <row r="431">
          <cell r="C431" t="str">
            <v>62478-RAS-Regulatory Managemen</v>
          </cell>
          <cell r="H431">
            <v>5030385</v>
          </cell>
          <cell r="AK431" t="str">
            <v>Cristina Arechaga</v>
          </cell>
        </row>
        <row r="432">
          <cell r="C432" t="str">
            <v>Fannie Mae_Billing O&amp;T</v>
          </cell>
          <cell r="H432">
            <v>5011872</v>
          </cell>
          <cell r="AK432" t="str">
            <v>DELETED USER</v>
          </cell>
        </row>
        <row r="433">
          <cell r="C433" t="str">
            <v>Citi_Consumer COB</v>
          </cell>
          <cell r="H433">
            <v>5012869</v>
          </cell>
          <cell r="AK433" t="str">
            <v>Ramnish Gupta</v>
          </cell>
        </row>
        <row r="434">
          <cell r="C434" t="str">
            <v>3663-RAS-Cross Keys Bank</v>
          </cell>
          <cell r="H434">
            <v>5030543</v>
          </cell>
          <cell r="AK434" t="str">
            <v>Cristina Arechaga</v>
          </cell>
        </row>
        <row r="435">
          <cell r="C435" t="str">
            <v>FM_CDDS Performance</v>
          </cell>
          <cell r="H435">
            <v>5013061</v>
          </cell>
          <cell r="AK435" t="str">
            <v>DELETED USER</v>
          </cell>
        </row>
        <row r="436">
          <cell r="C436" t="str">
            <v>Performance Testing</v>
          </cell>
          <cell r="H436">
            <v>5013072</v>
          </cell>
          <cell r="AK436" t="str">
            <v>DELETED USER</v>
          </cell>
        </row>
        <row r="437">
          <cell r="C437" t="str">
            <v>4282-RAS-F &amp; M Bank</v>
          </cell>
          <cell r="H437">
            <v>5030611</v>
          </cell>
          <cell r="AK437" t="str">
            <v>Cristina Arechaga</v>
          </cell>
        </row>
        <row r="438">
          <cell r="C438" t="str">
            <v>12913-RAS-Tomahawk Community B</v>
          </cell>
          <cell r="H438">
            <v>5030886</v>
          </cell>
          <cell r="AK438" t="str">
            <v>Cristina Arechaga</v>
          </cell>
        </row>
        <row r="439">
          <cell r="C439" t="str">
            <v>FNFG_ACBS Program Ldrship</v>
          </cell>
          <cell r="H439">
            <v>5013053</v>
          </cell>
          <cell r="AK439" t="str">
            <v>Thomas Wilson</v>
          </cell>
        </row>
        <row r="440">
          <cell r="C440" t="str">
            <v>2489-RAS-First Community Bank</v>
          </cell>
          <cell r="H440">
            <v>5030463</v>
          </cell>
          <cell r="AK440" t="str">
            <v>Cristina Arechaga</v>
          </cell>
        </row>
        <row r="441">
          <cell r="C441" t="str">
            <v>25589-RAS-Seattle Metropolitan</v>
          </cell>
          <cell r="H441">
            <v>5030342</v>
          </cell>
          <cell r="AK441" t="str">
            <v>Cristina Arechaga</v>
          </cell>
        </row>
        <row r="442">
          <cell r="C442" t="str">
            <v>Jefferies_Dodd Frank PMO Impnt</v>
          </cell>
          <cell r="H442">
            <v>5013009</v>
          </cell>
          <cell r="AK442" t="str">
            <v>Richard Mlot</v>
          </cell>
        </row>
        <row r="443">
          <cell r="C443" t="str">
            <v>4277-RAS-Geo. D. Warthen Bank</v>
          </cell>
          <cell r="H443">
            <v>5030609</v>
          </cell>
          <cell r="AK443" t="str">
            <v>Cristina Arechaga</v>
          </cell>
        </row>
        <row r="444">
          <cell r="C444" t="str">
            <v>2881-RAS-Grand Valley Bank</v>
          </cell>
          <cell r="H444">
            <v>5030493</v>
          </cell>
          <cell r="AK444" t="str">
            <v>Cristina Arechaga</v>
          </cell>
        </row>
        <row r="445">
          <cell r="C445" t="str">
            <v>FM_Shared Service Recon amd1</v>
          </cell>
          <cell r="H445">
            <v>5013010</v>
          </cell>
          <cell r="AK445" t="str">
            <v>DELETED USER</v>
          </cell>
        </row>
        <row r="446">
          <cell r="C446" t="str">
            <v>FNFG_Test Mgr ext</v>
          </cell>
          <cell r="H446">
            <v>5012517</v>
          </cell>
          <cell r="AK446" t="str">
            <v>DELETED USER</v>
          </cell>
        </row>
        <row r="447">
          <cell r="C447" t="str">
            <v>GS_Crew Extension</v>
          </cell>
          <cell r="H447">
            <v>5013032</v>
          </cell>
          <cell r="AK447" t="str">
            <v>DELETED USER</v>
          </cell>
        </row>
        <row r="448">
          <cell r="C448" t="str">
            <v>GS_Tax Ops</v>
          </cell>
          <cell r="H448">
            <v>5013031</v>
          </cell>
          <cell r="AK448" t="str">
            <v>DELETED USER</v>
          </cell>
        </row>
        <row r="449">
          <cell r="C449" t="str">
            <v>AE_Customer Experience MR</v>
          </cell>
          <cell r="H449">
            <v>5012781</v>
          </cell>
          <cell r="AK449" t="str">
            <v>DELETED USER</v>
          </cell>
        </row>
        <row r="450">
          <cell r="C450" t="str">
            <v>CS_COA Phase 1</v>
          </cell>
          <cell r="H450">
            <v>5012852</v>
          </cell>
          <cell r="AK450" t="str">
            <v>DELETED USER</v>
          </cell>
        </row>
        <row r="451">
          <cell r="C451" t="str">
            <v>Citi_Consumer Bicknel extensio</v>
          </cell>
          <cell r="H451">
            <v>5012587</v>
          </cell>
          <cell r="AK451" t="str">
            <v>Ramnish Gupta</v>
          </cell>
        </row>
        <row r="452">
          <cell r="C452" t="str">
            <v>MS_OTC_CCP_McGregor Extension</v>
          </cell>
          <cell r="H452">
            <v>5011766</v>
          </cell>
          <cell r="AK452" t="str">
            <v>Angela McGregor</v>
          </cell>
        </row>
        <row r="453">
          <cell r="C453" t="str">
            <v>BMO Harris_CapitalMgmt-2</v>
          </cell>
          <cell r="H453">
            <v>5013096</v>
          </cell>
          <cell r="AK453" t="str">
            <v>Michelle Fambro</v>
          </cell>
        </row>
        <row r="454">
          <cell r="C454" t="str">
            <v>FM_ALM Program Management amd1</v>
          </cell>
          <cell r="H454">
            <v>5012790</v>
          </cell>
          <cell r="AK454" t="str">
            <v>DELETED USER</v>
          </cell>
        </row>
        <row r="455">
          <cell r="C455" t="str">
            <v>BARC_IMS Phase 4</v>
          </cell>
          <cell r="H455">
            <v>5013115</v>
          </cell>
          <cell r="AK455" t="str">
            <v>DELETED USER</v>
          </cell>
        </row>
        <row r="456">
          <cell r="C456" t="str">
            <v>WF_AbbotDowningPhase2</v>
          </cell>
          <cell r="H456">
            <v>5011184</v>
          </cell>
          <cell r="AK456" t="str">
            <v>DELETED USER</v>
          </cell>
        </row>
        <row r="457">
          <cell r="C457" t="str">
            <v>TIAA Cref_MSCI</v>
          </cell>
          <cell r="H457">
            <v>5013073</v>
          </cell>
          <cell r="AK457" t="str">
            <v>DELETED USER</v>
          </cell>
        </row>
        <row r="458">
          <cell r="C458" t="str">
            <v>KB_Oracle Imp Phase 2</v>
          </cell>
          <cell r="H458">
            <v>5011422</v>
          </cell>
          <cell r="AK458" t="str">
            <v>DELETED USER</v>
          </cell>
        </row>
        <row r="459">
          <cell r="C459" t="str">
            <v>FM_AdvanceSolutionsDatabaseAmd</v>
          </cell>
          <cell r="H459">
            <v>5012644</v>
          </cell>
          <cell r="AK459" t="str">
            <v>DELETED USER</v>
          </cell>
        </row>
        <row r="460">
          <cell r="C460" t="str">
            <v>289-RAS-Flushing Bank</v>
          </cell>
          <cell r="H460">
            <v>5030416</v>
          </cell>
          <cell r="AK460" t="str">
            <v>Cristina Arechaga</v>
          </cell>
        </row>
        <row r="461">
          <cell r="C461" t="str">
            <v>FM_UP Delivery Boot Camp</v>
          </cell>
          <cell r="H461">
            <v>5012506</v>
          </cell>
          <cell r="AK461" t="str">
            <v>DELETED USER</v>
          </cell>
        </row>
        <row r="462">
          <cell r="C462" t="str">
            <v>FM_ODS Systems Intergration</v>
          </cell>
          <cell r="H462">
            <v>5013079</v>
          </cell>
          <cell r="AK462" t="str">
            <v>DELETED USER</v>
          </cell>
        </row>
        <row r="463">
          <cell r="C463" t="str">
            <v>MS_Resolution Planning Phase 1</v>
          </cell>
          <cell r="H463">
            <v>5011079</v>
          </cell>
          <cell r="AK463" t="str">
            <v>Mike Bertran</v>
          </cell>
        </row>
        <row r="464">
          <cell r="C464" t="str">
            <v>MS_TestingResourceSingapore</v>
          </cell>
          <cell r="H464">
            <v>5012959</v>
          </cell>
          <cell r="AK464" t="str">
            <v>Mark Reeves</v>
          </cell>
        </row>
        <row r="465">
          <cell r="C465" t="str">
            <v>TD AMCB_FraudBA-TestCases</v>
          </cell>
          <cell r="H465">
            <v>5012969</v>
          </cell>
          <cell r="AK465" t="str">
            <v>Gregg Henzel</v>
          </cell>
        </row>
        <row r="466">
          <cell r="C466" t="str">
            <v>15375-RAS-First Co Bancorp</v>
          </cell>
          <cell r="H466">
            <v>5030922</v>
          </cell>
          <cell r="AK466" t="str">
            <v>Cristina Arechaga</v>
          </cell>
        </row>
        <row r="467">
          <cell r="C467" t="str">
            <v>Private Bank_FT charter</v>
          </cell>
          <cell r="H467">
            <v>5013125</v>
          </cell>
          <cell r="AK467" t="str">
            <v>DELETED USER</v>
          </cell>
        </row>
        <row r="468">
          <cell r="C468" t="str">
            <v>FM_UP Strategic Initiative</v>
          </cell>
          <cell r="H468">
            <v>5012943</v>
          </cell>
          <cell r="AK468" t="str">
            <v>DELETED USER</v>
          </cell>
        </row>
        <row r="469">
          <cell r="C469" t="str">
            <v>Aviva_Derivatives Requirements</v>
          </cell>
          <cell r="H469">
            <v>5013146</v>
          </cell>
          <cell r="AK469" t="str">
            <v>DELETED USER</v>
          </cell>
        </row>
        <row r="470">
          <cell r="C470" t="str">
            <v>2241-RAS-Pacific Mercantile Ba</v>
          </cell>
          <cell r="H470">
            <v>5030435</v>
          </cell>
          <cell r="AK470" t="str">
            <v>Cristina Arechaga</v>
          </cell>
        </row>
        <row r="471">
          <cell r="C471" t="str">
            <v>254-RAS-First Piedmont Federal</v>
          </cell>
          <cell r="H471">
            <v>5030413</v>
          </cell>
          <cell r="AK471" t="str">
            <v>Cristina Arechaga</v>
          </cell>
        </row>
        <row r="472">
          <cell r="C472" t="str">
            <v>2912-RAS-Citizens National Ban</v>
          </cell>
          <cell r="H472">
            <v>5030496</v>
          </cell>
          <cell r="AK472" t="str">
            <v>Cristina Arechaga</v>
          </cell>
        </row>
        <row r="473">
          <cell r="C473" t="str">
            <v>Freddie Mac_Data &amp; BA Roadmap</v>
          </cell>
          <cell r="H473">
            <v>5012792</v>
          </cell>
          <cell r="AK473" t="str">
            <v>DELETED USER</v>
          </cell>
        </row>
        <row r="474">
          <cell r="C474" t="str">
            <v>UB_SBA Lending Assessment</v>
          </cell>
          <cell r="H474">
            <v>5013215</v>
          </cell>
          <cell r="AK474" t="str">
            <v>DELETED USER</v>
          </cell>
        </row>
        <row r="475">
          <cell r="C475" t="str">
            <v>JPMC_Gauss_1 ATP Resource</v>
          </cell>
          <cell r="H475">
            <v>5012958</v>
          </cell>
          <cell r="AK475" t="str">
            <v>DELETED USER</v>
          </cell>
        </row>
        <row r="476">
          <cell r="C476" t="str">
            <v>FrMc_Industry Solutions-Veros</v>
          </cell>
          <cell r="H476">
            <v>5012757</v>
          </cell>
          <cell r="AK476" t="str">
            <v>DELETED USER</v>
          </cell>
        </row>
        <row r="477">
          <cell r="C477" t="str">
            <v>FN_Pcard Team</v>
          </cell>
          <cell r="H477">
            <v>5012911</v>
          </cell>
          <cell r="AK477" t="str">
            <v>Vince Forte</v>
          </cell>
        </row>
        <row r="478">
          <cell r="C478" t="str">
            <v>TD AMCB_VectorExceptionsTestWS</v>
          </cell>
          <cell r="H478">
            <v>5013303</v>
          </cell>
          <cell r="AK478" t="str">
            <v>DELETED USER</v>
          </cell>
        </row>
        <row r="479">
          <cell r="C479" t="str">
            <v>1294-RAS-Frost Bank</v>
          </cell>
          <cell r="H479">
            <v>5030428</v>
          </cell>
          <cell r="AK479" t="str">
            <v>Cristina Arechaga</v>
          </cell>
        </row>
        <row r="480">
          <cell r="C480" t="str">
            <v>TD AMCB DCTS PortfolioDlvryMgt</v>
          </cell>
          <cell r="H480">
            <v>5012473</v>
          </cell>
          <cell r="AK480" t="str">
            <v>DELETED USER</v>
          </cell>
        </row>
        <row r="481">
          <cell r="C481" t="str">
            <v>3813-RAS-Astoria Bank</v>
          </cell>
          <cell r="H481">
            <v>5030555</v>
          </cell>
          <cell r="AK481" t="str">
            <v>Cristina Arechaga</v>
          </cell>
        </row>
        <row r="482">
          <cell r="C482" t="str">
            <v>BMO Harris_M&amp;ICnv-RgRpt&amp;Testin</v>
          </cell>
          <cell r="H482">
            <v>5013245</v>
          </cell>
          <cell r="AK482" t="str">
            <v>DELETED USER</v>
          </cell>
        </row>
        <row r="483">
          <cell r="C483" t="str">
            <v>DB_File Remediation 2</v>
          </cell>
          <cell r="H483">
            <v>5013232</v>
          </cell>
          <cell r="AK483" t="str">
            <v>DELETED USER</v>
          </cell>
        </row>
        <row r="484">
          <cell r="C484" t="str">
            <v>67187-RAS-DD &amp; F Consulting Gr</v>
          </cell>
          <cell r="H484">
            <v>5030388</v>
          </cell>
          <cell r="AK484" t="str">
            <v>Cristina Arechaga</v>
          </cell>
        </row>
        <row r="485">
          <cell r="C485" t="str">
            <v>FNFG Claus Staff Augmentation</v>
          </cell>
          <cell r="H485">
            <v>5011083</v>
          </cell>
          <cell r="AK485" t="str">
            <v>DELETED USER</v>
          </cell>
        </row>
        <row r="486">
          <cell r="C486" t="str">
            <v>9756-RAS-Focus Bank</v>
          </cell>
          <cell r="H486">
            <v>5030765</v>
          </cell>
          <cell r="AK486" t="str">
            <v>Cristina Arechaga</v>
          </cell>
        </row>
        <row r="487">
          <cell r="C487" t="str">
            <v>8733-RAS-Starion Financial</v>
          </cell>
          <cell r="H487">
            <v>5030719</v>
          </cell>
          <cell r="AK487" t="str">
            <v>Cristina Arechaga</v>
          </cell>
        </row>
        <row r="488">
          <cell r="C488" t="str">
            <v>8516-RAS-Kirkwood Bank &amp; Trust</v>
          </cell>
          <cell r="H488">
            <v>5030707</v>
          </cell>
          <cell r="AK488" t="str">
            <v>Cristina Arechaga</v>
          </cell>
        </row>
        <row r="489">
          <cell r="C489" t="str">
            <v>20572-RAS-Security First Feder</v>
          </cell>
          <cell r="H489">
            <v>5030334</v>
          </cell>
          <cell r="AK489" t="str">
            <v>Cristina Arechaga</v>
          </cell>
        </row>
        <row r="490">
          <cell r="C490" t="str">
            <v>2903-RAS-Bank of Dudley</v>
          </cell>
          <cell r="H490">
            <v>5030495</v>
          </cell>
          <cell r="AK490" t="str">
            <v>Cristina Arechaga</v>
          </cell>
        </row>
        <row r="491">
          <cell r="C491" t="str">
            <v>3012-RAS-Patterson State Bank</v>
          </cell>
          <cell r="H491">
            <v>5030503</v>
          </cell>
          <cell r="AK491" t="str">
            <v>Cristina Arechaga</v>
          </cell>
        </row>
        <row r="492">
          <cell r="C492" t="str">
            <v>3547-RAS-Sooner State Bank</v>
          </cell>
          <cell r="H492">
            <v>5030537</v>
          </cell>
          <cell r="AK492" t="str">
            <v>Cristina Arechaga</v>
          </cell>
        </row>
        <row r="493">
          <cell r="C493" t="str">
            <v>7355-RAS-Central Bank</v>
          </cell>
          <cell r="H493">
            <v>5030628</v>
          </cell>
          <cell r="AK493" t="str">
            <v>Cristina Arechaga</v>
          </cell>
        </row>
        <row r="494">
          <cell r="C494" t="str">
            <v>9706-RAS-Sandy Spring Bank</v>
          </cell>
          <cell r="H494">
            <v>5030763</v>
          </cell>
          <cell r="AK494" t="str">
            <v>Cristina Arechaga</v>
          </cell>
        </row>
        <row r="495">
          <cell r="C495" t="str">
            <v>FIS_RBCGABANKRemediationPlanPM</v>
          </cell>
          <cell r="H495">
            <v>5013246</v>
          </cell>
          <cell r="AK495" t="str">
            <v>DELETED USER</v>
          </cell>
        </row>
        <row r="496">
          <cell r="C496" t="str">
            <v>FM_Rate Lock Development</v>
          </cell>
          <cell r="H496">
            <v>5013161</v>
          </cell>
          <cell r="AK496" t="str">
            <v>DELETED USER</v>
          </cell>
        </row>
        <row r="497">
          <cell r="C497" t="str">
            <v>Equator_SDLC &amp; QA Assessment</v>
          </cell>
          <cell r="H497">
            <v>5013295</v>
          </cell>
          <cell r="AK497" t="str">
            <v>DELETED USER</v>
          </cell>
        </row>
        <row r="498">
          <cell r="C498" t="str">
            <v>Equator_Flex Testing Project</v>
          </cell>
          <cell r="H498">
            <v>5013064</v>
          </cell>
          <cell r="AK498" t="str">
            <v>DELETED USER</v>
          </cell>
        </row>
        <row r="499">
          <cell r="C499" t="str">
            <v>FannieMae_PM Services</v>
          </cell>
          <cell r="H499">
            <v>5011640</v>
          </cell>
          <cell r="AK499" t="str">
            <v>DELETED USER</v>
          </cell>
        </row>
        <row r="500">
          <cell r="C500" t="str">
            <v>FM_UP Tech ext 1</v>
          </cell>
          <cell r="H500">
            <v>5012960</v>
          </cell>
          <cell r="AK500" t="str">
            <v>DELETED USER</v>
          </cell>
        </row>
        <row r="501">
          <cell r="C501" t="str">
            <v>18863-RAS-1st United Services</v>
          </cell>
          <cell r="H501">
            <v>5030331</v>
          </cell>
          <cell r="AK501" t="str">
            <v>Cristina Arechaga</v>
          </cell>
        </row>
        <row r="502">
          <cell r="C502" t="str">
            <v>TD AMCB_FraudBA SC - Aug</v>
          </cell>
          <cell r="H502">
            <v>5012912</v>
          </cell>
          <cell r="AK502" t="str">
            <v>Gregg Henzel</v>
          </cell>
        </row>
        <row r="503">
          <cell r="C503" t="str">
            <v>BMO Harris_CapitalMgmt-3</v>
          </cell>
          <cell r="H503">
            <v>5013102</v>
          </cell>
          <cell r="AK503" t="str">
            <v>DELETED USER</v>
          </cell>
        </row>
        <row r="504">
          <cell r="C504" t="str">
            <v>9939-RAS-Texas Champion Bank</v>
          </cell>
          <cell r="H504">
            <v>5030774</v>
          </cell>
          <cell r="AK504" t="str">
            <v>Cristina Arechaga</v>
          </cell>
        </row>
        <row r="505">
          <cell r="C505" t="str">
            <v>6011-RAS-First Security Bank o</v>
          </cell>
          <cell r="H505">
            <v>5030644</v>
          </cell>
          <cell r="AK505" t="str">
            <v>Cristina Arechaga</v>
          </cell>
        </row>
        <row r="506">
          <cell r="C506" t="str">
            <v>11864-RAS-Stockman Bank of Mon</v>
          </cell>
          <cell r="H506">
            <v>5030857</v>
          </cell>
          <cell r="AK506" t="str">
            <v>Cristina Arechaga</v>
          </cell>
        </row>
        <row r="507">
          <cell r="C507" t="str">
            <v>FM_UP Delivery</v>
          </cell>
          <cell r="H507">
            <v>5013041</v>
          </cell>
          <cell r="AK507" t="str">
            <v>Jack Mulqueen</v>
          </cell>
        </row>
        <row r="508">
          <cell r="C508" t="str">
            <v>Key Bank_Credit Phase 3</v>
          </cell>
          <cell r="H508">
            <v>5011732</v>
          </cell>
          <cell r="AK508" t="str">
            <v>DELETED USER</v>
          </cell>
        </row>
        <row r="509">
          <cell r="C509" t="str">
            <v>Syncada SCF Strategy</v>
          </cell>
          <cell r="H509">
            <v>5012665</v>
          </cell>
          <cell r="AK509" t="str">
            <v>DELETED USER</v>
          </cell>
        </row>
        <row r="510">
          <cell r="C510" t="str">
            <v>4638-RAS-Traders and Farmers B</v>
          </cell>
          <cell r="H510">
            <v>5030575</v>
          </cell>
          <cell r="AK510" t="str">
            <v>Cristina Arechaga</v>
          </cell>
        </row>
        <row r="511">
          <cell r="C511" t="str">
            <v>CS_Ops Risk Framework Exec</v>
          </cell>
          <cell r="H511">
            <v>5010372</v>
          </cell>
          <cell r="AK511" t="str">
            <v>DELETED USER</v>
          </cell>
        </row>
        <row r="512">
          <cell r="C512" t="str">
            <v>FM_Mortgage Ops PMO Support</v>
          </cell>
          <cell r="H512">
            <v>5013278</v>
          </cell>
          <cell r="AK512" t="str">
            <v>DELETED USER</v>
          </cell>
        </row>
        <row r="513">
          <cell r="C513" t="str">
            <v>7494-RAS-First State Bank of C</v>
          </cell>
          <cell r="H513">
            <v>5030668</v>
          </cell>
          <cell r="AK513" t="str">
            <v>Cristina Arechaga</v>
          </cell>
        </row>
        <row r="514">
          <cell r="C514" t="str">
            <v>GS_Global Tax Ops Rlf at Sourc</v>
          </cell>
          <cell r="H514">
            <v>5011415</v>
          </cell>
          <cell r="AK514" t="str">
            <v>DELETED USER</v>
          </cell>
        </row>
        <row r="515">
          <cell r="C515" t="str">
            <v>FirstNiagra_IT Cost Validation</v>
          </cell>
          <cell r="H515">
            <v>5013374</v>
          </cell>
          <cell r="AK515" t="str">
            <v>DELETED USER</v>
          </cell>
        </row>
        <row r="516">
          <cell r="C516" t="str">
            <v>13712-RAS-Ames National Corpor</v>
          </cell>
          <cell r="H516">
            <v>5030917</v>
          </cell>
          <cell r="AK516" t="str">
            <v>Cristina Arechaga</v>
          </cell>
        </row>
        <row r="517">
          <cell r="C517" t="str">
            <v>13027-RAS-Northfield Bank</v>
          </cell>
          <cell r="H517">
            <v>5030892</v>
          </cell>
          <cell r="AK517" t="str">
            <v>Cristina Arechaga</v>
          </cell>
        </row>
        <row r="518">
          <cell r="C518" t="str">
            <v>Key Bank_CRM Phase 3</v>
          </cell>
          <cell r="H518">
            <v>5013396</v>
          </cell>
          <cell r="AK518" t="str">
            <v>DELETED USER</v>
          </cell>
        </row>
        <row r="519">
          <cell r="C519" t="str">
            <v>FM_AUT Assessment Roadmap</v>
          </cell>
          <cell r="H519">
            <v>5013294</v>
          </cell>
          <cell r="AK519" t="str">
            <v>Matt Markham</v>
          </cell>
        </row>
        <row r="520">
          <cell r="C520" t="str">
            <v>Jefferies_Repository</v>
          </cell>
          <cell r="H520">
            <v>5013261</v>
          </cell>
          <cell r="AK520" t="str">
            <v>Mike Drews</v>
          </cell>
        </row>
        <row r="521">
          <cell r="C521" t="str">
            <v>MS_Listed NY Resource CO</v>
          </cell>
          <cell r="H521">
            <v>5013067</v>
          </cell>
          <cell r="AK521" t="str">
            <v>Angela McGregor</v>
          </cell>
        </row>
        <row r="522">
          <cell r="C522" t="str">
            <v>CA_BurkeyLoan Solution Design</v>
          </cell>
          <cell r="H522">
            <v>5013200</v>
          </cell>
          <cell r="AK522" t="str">
            <v>Alan Chiang</v>
          </cell>
        </row>
        <row r="523">
          <cell r="C523" t="str">
            <v>KB_Pvt Bank assessment</v>
          </cell>
          <cell r="H523">
            <v>5012870</v>
          </cell>
          <cell r="AK523" t="str">
            <v>DELETED USER</v>
          </cell>
        </row>
        <row r="524">
          <cell r="C524" t="str">
            <v>2697-RAS-Security Service Fede</v>
          </cell>
          <cell r="H524">
            <v>5030479</v>
          </cell>
          <cell r="AK524" t="str">
            <v>Cristina Arechaga</v>
          </cell>
        </row>
        <row r="525">
          <cell r="C525" t="str">
            <v>FNFG_IT Costing P2</v>
          </cell>
          <cell r="H525">
            <v>5013441</v>
          </cell>
          <cell r="AK525" t="str">
            <v>DELETED USER</v>
          </cell>
        </row>
        <row r="526">
          <cell r="C526" t="str">
            <v>BMO Harris_CapitalMgmt-4-GM</v>
          </cell>
          <cell r="H526">
            <v>5013237</v>
          </cell>
          <cell r="AK526" t="str">
            <v>DELETED USER</v>
          </cell>
        </row>
        <row r="527">
          <cell r="C527" t="str">
            <v>FNFG Mobile Test ext 1</v>
          </cell>
          <cell r="H527">
            <v>5013428</v>
          </cell>
          <cell r="AK527" t="str">
            <v>DELETED USER</v>
          </cell>
        </row>
        <row r="528">
          <cell r="C528" t="str">
            <v>1302-RAS-Southeastern Bank</v>
          </cell>
          <cell r="H528">
            <v>5030429</v>
          </cell>
          <cell r="AK528" t="str">
            <v>Cristina Arechaga</v>
          </cell>
        </row>
        <row r="529">
          <cell r="C529" t="str">
            <v>OT Strategy Support</v>
          </cell>
          <cell r="H529">
            <v>5013339</v>
          </cell>
          <cell r="AK529" t="str">
            <v>Iruka Brown</v>
          </cell>
        </row>
        <row r="530">
          <cell r="C530" t="str">
            <v>FM_Rate Lock PM</v>
          </cell>
          <cell r="H530">
            <v>5013439</v>
          </cell>
          <cell r="AK530" t="str">
            <v>DELETED USER</v>
          </cell>
        </row>
        <row r="531">
          <cell r="C531" t="str">
            <v>FM_IT/Ops MetricsProgramPhase1</v>
          </cell>
          <cell r="H531">
            <v>5013343</v>
          </cell>
          <cell r="AK531" t="str">
            <v>DELETED USER</v>
          </cell>
        </row>
        <row r="532">
          <cell r="C532" t="str">
            <v>2320-RAS-ANZ Guam  Inc.</v>
          </cell>
          <cell r="H532">
            <v>5030439</v>
          </cell>
          <cell r="AK532" t="str">
            <v>Cristina Arechaga</v>
          </cell>
        </row>
        <row r="533">
          <cell r="C533" t="str">
            <v>2685-RAS-Rockland Trust</v>
          </cell>
          <cell r="H533">
            <v>5030478</v>
          </cell>
          <cell r="AK533" t="str">
            <v>Cristina Arechaga</v>
          </cell>
        </row>
        <row r="534">
          <cell r="C534" t="str">
            <v>FIS_RBCGABANKRemediatnPlanPM-2</v>
          </cell>
          <cell r="H534">
            <v>5013399</v>
          </cell>
          <cell r="AK534" t="str">
            <v>Kaylin Kugler</v>
          </cell>
        </row>
        <row r="535">
          <cell r="C535" t="str">
            <v>16643-RAS-Longview Capital Cor</v>
          </cell>
          <cell r="H535">
            <v>5030925</v>
          </cell>
          <cell r="AK535" t="str">
            <v>Cristina Arechaga</v>
          </cell>
        </row>
        <row r="536">
          <cell r="C536" t="str">
            <v>9830-RAS-Lumbee Guaranty Bank</v>
          </cell>
          <cell r="H536">
            <v>5030768</v>
          </cell>
          <cell r="AK536" t="str">
            <v>Cristina Arechaga</v>
          </cell>
        </row>
        <row r="537">
          <cell r="C537" t="str">
            <v>MS_OTC/LD Collateral Margin</v>
          </cell>
          <cell r="H537">
            <v>5013401</v>
          </cell>
          <cell r="AK537" t="str">
            <v>Angela McGregor</v>
          </cell>
        </row>
        <row r="538">
          <cell r="C538" t="str">
            <v>Abacus Federal Savings Ban_RAS</v>
          </cell>
          <cell r="H538">
            <v>5039575</v>
          </cell>
          <cell r="AK538" t="str">
            <v>Diane Banks</v>
          </cell>
        </row>
        <row r="539">
          <cell r="C539" t="str">
            <v>Citi_CCA Divesting</v>
          </cell>
          <cell r="H539">
            <v>5012447</v>
          </cell>
          <cell r="AK539" t="str">
            <v>Robert Norris</v>
          </cell>
        </row>
        <row r="540">
          <cell r="C540" t="str">
            <v>KB_Debit Phase 3</v>
          </cell>
          <cell r="H540">
            <v>5011734</v>
          </cell>
          <cell r="AK540" t="str">
            <v>John Hickman</v>
          </cell>
        </row>
        <row r="541">
          <cell r="C541" t="str">
            <v>BankPlus_RAS</v>
          </cell>
          <cell r="H541">
            <v>5039597</v>
          </cell>
          <cell r="AK541" t="str">
            <v>Travis Peraza</v>
          </cell>
        </row>
        <row r="542">
          <cell r="C542" t="str">
            <v>Tustin Community Bank_RAS</v>
          </cell>
          <cell r="H542">
            <v>5039737</v>
          </cell>
          <cell r="AK542" t="str">
            <v>Rebecca Breland</v>
          </cell>
        </row>
        <row r="543">
          <cell r="C543" t="str">
            <v>US Bank_Teller CapEx</v>
          </cell>
          <cell r="H543">
            <v>5005127</v>
          </cell>
          <cell r="AK543" t="str">
            <v>Lane Martin</v>
          </cell>
        </row>
        <row r="544">
          <cell r="C544" t="str">
            <v>FM_PM Support</v>
          </cell>
          <cell r="H544">
            <v>5013427</v>
          </cell>
          <cell r="AK544" t="str">
            <v>DELETED USER</v>
          </cell>
        </row>
        <row r="545">
          <cell r="C545" t="str">
            <v>BW_EDW Phase 1</v>
          </cell>
          <cell r="H545">
            <v>5012853</v>
          </cell>
          <cell r="AK545" t="str">
            <v>DELETED USER</v>
          </cell>
        </row>
        <row r="546">
          <cell r="C546" t="str">
            <v>FM_BA Boot Camp</v>
          </cell>
          <cell r="H546">
            <v>5013305</v>
          </cell>
          <cell r="AK546" t="str">
            <v>DELETED USER</v>
          </cell>
        </row>
        <row r="547">
          <cell r="C547" t="str">
            <v>FM_Collateral Business</v>
          </cell>
          <cell r="H547">
            <v>5013398</v>
          </cell>
          <cell r="AK547" t="str">
            <v>DELETED USER</v>
          </cell>
        </row>
        <row r="548">
          <cell r="C548" t="str">
            <v>BMO Harris_ACH Conversion Sppt</v>
          </cell>
          <cell r="H548">
            <v>5012875</v>
          </cell>
          <cell r="AK548" t="str">
            <v>Dan Tamblyn</v>
          </cell>
        </row>
        <row r="549">
          <cell r="C549" t="str">
            <v>TD AMCB_FraudBA SC - Sep AMD2</v>
          </cell>
          <cell r="H549">
            <v>5013475</v>
          </cell>
          <cell r="AK549" t="str">
            <v>Gregg Henzel</v>
          </cell>
        </row>
        <row r="550">
          <cell r="C550" t="str">
            <v>First Niagara_FNFG Traffic Cop</v>
          </cell>
          <cell r="H550">
            <v>5013503</v>
          </cell>
          <cell r="AK550" t="str">
            <v>DELETED USER</v>
          </cell>
        </row>
        <row r="551">
          <cell r="C551" t="str">
            <v>1505-RAS-St. Landry Bank &amp; Tru</v>
          </cell>
          <cell r="H551">
            <v>5030432</v>
          </cell>
          <cell r="AK551" t="str">
            <v>Cristina Arechaga</v>
          </cell>
        </row>
        <row r="552">
          <cell r="C552" t="str">
            <v>Aviva_Riverroad Definition</v>
          </cell>
          <cell r="H552">
            <v>5013507</v>
          </cell>
          <cell r="AK552" t="str">
            <v>DELETED USER</v>
          </cell>
        </row>
        <row r="553">
          <cell r="C553" t="str">
            <v>CS_IT Risk Framework</v>
          </cell>
          <cell r="H553">
            <v>5013342</v>
          </cell>
          <cell r="AK553" t="str">
            <v>DELETED USER</v>
          </cell>
        </row>
        <row r="554">
          <cell r="C554" t="str">
            <v>TD AMCB_FraudBA SC - Sep AMD3</v>
          </cell>
          <cell r="H554">
            <v>5013534</v>
          </cell>
          <cell r="AK554" t="str">
            <v>Gregg Henzel</v>
          </cell>
        </row>
        <row r="555">
          <cell r="C555" t="str">
            <v>Barclays_Wealth Slava</v>
          </cell>
          <cell r="H555">
            <v>5013511</v>
          </cell>
          <cell r="AK555" t="str">
            <v>Kapin Vora</v>
          </cell>
        </row>
        <row r="556">
          <cell r="C556" t="str">
            <v>10359-RAS-Central Bank &amp; Trust</v>
          </cell>
          <cell r="H556">
            <v>5030794</v>
          </cell>
          <cell r="AK556" t="str">
            <v>Cristina Arechaga</v>
          </cell>
        </row>
        <row r="557">
          <cell r="C557" t="str">
            <v>3652-RAS-Rabun County Bank</v>
          </cell>
          <cell r="H557">
            <v>5030541</v>
          </cell>
          <cell r="AK557" t="str">
            <v>Cristina Arechaga</v>
          </cell>
        </row>
        <row r="558">
          <cell r="C558" t="str">
            <v>UMB_Corp Bank Strategy</v>
          </cell>
          <cell r="H558">
            <v>5013563</v>
          </cell>
          <cell r="AK558" t="str">
            <v>DELETED USER</v>
          </cell>
        </row>
        <row r="559">
          <cell r="C559" t="str">
            <v>FM_UP Delivery Release 1A</v>
          </cell>
          <cell r="H559">
            <v>5012060</v>
          </cell>
          <cell r="AK559" t="str">
            <v>DELETED USER</v>
          </cell>
        </row>
        <row r="560">
          <cell r="C560" t="str">
            <v>FM_Cap Markets Ops BAU</v>
          </cell>
          <cell r="H560">
            <v>5013484</v>
          </cell>
          <cell r="AK560" t="str">
            <v>Jack Mulqueen</v>
          </cell>
        </row>
        <row r="561">
          <cell r="C561" t="str">
            <v>FM_Blackrock (Steve)</v>
          </cell>
          <cell r="H561">
            <v>5013438</v>
          </cell>
          <cell r="AK561" t="str">
            <v>DELETED USER</v>
          </cell>
        </row>
        <row r="562">
          <cell r="C562" t="str">
            <v>7648-RAS-Peoples Bank Mt. Wash</v>
          </cell>
          <cell r="H562">
            <v>5030673</v>
          </cell>
          <cell r="AK562" t="str">
            <v>Cristina Arechaga</v>
          </cell>
        </row>
        <row r="563">
          <cell r="C563" t="str">
            <v>MS_Yi Wang Extension</v>
          </cell>
          <cell r="H563">
            <v>5013564</v>
          </cell>
          <cell r="AK563" t="str">
            <v>Angela McGregor</v>
          </cell>
        </row>
        <row r="564">
          <cell r="C564" t="str">
            <v>8525-RAS-Choice Financial Grou</v>
          </cell>
          <cell r="H564">
            <v>5030708</v>
          </cell>
          <cell r="AK564" t="str">
            <v>Cristina Arechaga</v>
          </cell>
        </row>
        <row r="565">
          <cell r="C565" t="str">
            <v>JPM_AssetServicing2BAs</v>
          </cell>
          <cell r="H565">
            <v>5012306</v>
          </cell>
          <cell r="AK565" t="str">
            <v>Kapin Vora</v>
          </cell>
        </row>
        <row r="566">
          <cell r="C566" t="str">
            <v>Aviva_Aladdin Delivery Program</v>
          </cell>
          <cell r="H566">
            <v>5013668</v>
          </cell>
          <cell r="AK566" t="str">
            <v>DELETED USER</v>
          </cell>
        </row>
        <row r="567">
          <cell r="C567" t="str">
            <v>28452-RAS-Blackridge Bank</v>
          </cell>
          <cell r="H567">
            <v>5030355</v>
          </cell>
          <cell r="AK567" t="str">
            <v>Cristina Arechaga</v>
          </cell>
        </row>
        <row r="568">
          <cell r="C568" t="str">
            <v>108-RAS-Capital Bank</v>
          </cell>
          <cell r="H568">
            <v>5030410</v>
          </cell>
          <cell r="AK568" t="str">
            <v>Cristina Arechaga</v>
          </cell>
        </row>
        <row r="569">
          <cell r="C569" t="str">
            <v>8209-RAS-PrimeSouth Bank</v>
          </cell>
          <cell r="H569">
            <v>5030698</v>
          </cell>
          <cell r="AK569" t="str">
            <v>Cristina Arechaga</v>
          </cell>
        </row>
        <row r="570">
          <cell r="C570" t="str">
            <v>8066-RAS-Community Shores Bank</v>
          </cell>
          <cell r="H570">
            <v>5030693</v>
          </cell>
          <cell r="AK570" t="str">
            <v>Cristina Arechaga</v>
          </cell>
        </row>
        <row r="571">
          <cell r="C571" t="str">
            <v>SVB_EA Strategy Extension</v>
          </cell>
          <cell r="H571">
            <v>5012573</v>
          </cell>
          <cell r="AK571" t="str">
            <v>DELETED USER</v>
          </cell>
        </row>
        <row r="572">
          <cell r="C572" t="str">
            <v>FM_Infrastructure - PM Service</v>
          </cell>
          <cell r="H572">
            <v>5013702</v>
          </cell>
          <cell r="AK572" t="str">
            <v>DELETED USER</v>
          </cell>
        </row>
        <row r="573">
          <cell r="C573" t="str">
            <v>MS_OTC Trade Processing</v>
          </cell>
          <cell r="H573">
            <v>5013569</v>
          </cell>
          <cell r="AK573" t="str">
            <v>Angela McGregor</v>
          </cell>
        </row>
        <row r="574">
          <cell r="C574" t="str">
            <v>CS_ERM framework extension</v>
          </cell>
          <cell r="H574">
            <v>5013340</v>
          </cell>
          <cell r="AK574" t="str">
            <v>DELETED USER</v>
          </cell>
        </row>
        <row r="575">
          <cell r="C575" t="str">
            <v>Jefferies_Dodd Frank ph2</v>
          </cell>
          <cell r="H575">
            <v>5013509</v>
          </cell>
          <cell r="AK575" t="str">
            <v>Richard Mlot</v>
          </cell>
        </row>
        <row r="576">
          <cell r="C576" t="str">
            <v>FM_COE</v>
          </cell>
          <cell r="H576">
            <v>5013561</v>
          </cell>
          <cell r="AK576" t="str">
            <v>DELETED USER</v>
          </cell>
        </row>
        <row r="577">
          <cell r="C577" t="str">
            <v>Commerce State Bank_RAS</v>
          </cell>
          <cell r="H577">
            <v>5039615</v>
          </cell>
          <cell r="AK577" t="str">
            <v>Travis Peraza</v>
          </cell>
        </row>
        <row r="578">
          <cell r="C578" t="str">
            <v>KB CARTS Phase 1</v>
          </cell>
          <cell r="H578">
            <v>5013728</v>
          </cell>
          <cell r="AK578" t="str">
            <v>DELETED USER</v>
          </cell>
        </row>
        <row r="579">
          <cell r="C579" t="str">
            <v>TIAA Market Pln &amp; Pension Sppt</v>
          </cell>
          <cell r="H579">
            <v>5013727</v>
          </cell>
          <cell r="AK579" t="str">
            <v>DELETED USER</v>
          </cell>
        </row>
        <row r="580">
          <cell r="C580" t="str">
            <v>FIS_RBCGABANKRemediatnPlanPM-3</v>
          </cell>
          <cell r="H580">
            <v>5013649</v>
          </cell>
          <cell r="AK580" t="str">
            <v>Kaylin Kugler</v>
          </cell>
        </row>
        <row r="581">
          <cell r="C581" t="str">
            <v>WF_Adowning Inv Delivery CO#4</v>
          </cell>
          <cell r="H581">
            <v>5013693</v>
          </cell>
          <cell r="AK581" t="str">
            <v>DELETED USER</v>
          </cell>
        </row>
        <row r="582">
          <cell r="C582" t="str">
            <v>TD AMCB_FraudBA SC - Oct AMD4</v>
          </cell>
          <cell r="H582">
            <v>5013732</v>
          </cell>
          <cell r="AK582" t="str">
            <v>Gregg Henzel</v>
          </cell>
        </row>
        <row r="583">
          <cell r="C583" t="str">
            <v>Barclays_CFT Phase 1</v>
          </cell>
          <cell r="H583">
            <v>5013600</v>
          </cell>
          <cell r="AK583" t="str">
            <v>DELETED USER</v>
          </cell>
        </row>
        <row r="584">
          <cell r="C584" t="str">
            <v>TD AMCB_DC ATM Cheque Imaging</v>
          </cell>
          <cell r="H584">
            <v>5013623</v>
          </cell>
          <cell r="AK584" t="str">
            <v>Dan Tamblyn</v>
          </cell>
        </row>
        <row r="585">
          <cell r="C585" t="str">
            <v>5753-RAS-Salyersville National</v>
          </cell>
          <cell r="H585">
            <v>5030642</v>
          </cell>
          <cell r="AK585" t="str">
            <v>Cristina Arechaga</v>
          </cell>
        </row>
        <row r="586">
          <cell r="C586" t="str">
            <v>4606-RAS-Sweet Water State Ban</v>
          </cell>
          <cell r="H586">
            <v>5030572</v>
          </cell>
          <cell r="AK586" t="str">
            <v>Cristina Arechaga</v>
          </cell>
        </row>
        <row r="587">
          <cell r="C587" t="str">
            <v>TD AMCB_ForeclosureDocument</v>
          </cell>
          <cell r="H587">
            <v>5013722</v>
          </cell>
          <cell r="AK587" t="str">
            <v>Gregg Henzel</v>
          </cell>
        </row>
        <row r="588">
          <cell r="C588" t="str">
            <v>23647-RAS-Park City Credit Uni</v>
          </cell>
          <cell r="H588">
            <v>5030340</v>
          </cell>
          <cell r="AK588" t="str">
            <v>Cristina Arechaga</v>
          </cell>
        </row>
        <row r="589">
          <cell r="C589" t="str">
            <v>2472-RAS-First Arkansas Bank &amp;</v>
          </cell>
          <cell r="H589">
            <v>5030459</v>
          </cell>
          <cell r="AK589" t="str">
            <v>Cristina Arechaga</v>
          </cell>
        </row>
        <row r="590">
          <cell r="C590" t="str">
            <v>RBCGABank_OpsReadinessReview</v>
          </cell>
          <cell r="H590">
            <v>5011039</v>
          </cell>
          <cell r="AK590" t="str">
            <v>Kaylin Kugler</v>
          </cell>
        </row>
        <row r="591">
          <cell r="C591" t="str">
            <v>2864-RAS-Marion Bank &amp; Trust C</v>
          </cell>
          <cell r="H591">
            <v>5030491</v>
          </cell>
          <cell r="AK591" t="str">
            <v>Cristina Arechaga</v>
          </cell>
        </row>
        <row r="592">
          <cell r="C592" t="str">
            <v>11307-RAS-Anderson Brothers Ba</v>
          </cell>
          <cell r="H592">
            <v>5030836</v>
          </cell>
          <cell r="AK592" t="str">
            <v>Cristina Arechaga</v>
          </cell>
        </row>
        <row r="593">
          <cell r="C593" t="str">
            <v>11262-RAS-First International</v>
          </cell>
          <cell r="H593">
            <v>5030834</v>
          </cell>
          <cell r="AK593" t="str">
            <v>Cristina Arechaga</v>
          </cell>
        </row>
        <row r="594">
          <cell r="C594" t="str">
            <v>13633-RAS-Alliance Financial S</v>
          </cell>
          <cell r="H594">
            <v>5030916</v>
          </cell>
          <cell r="AK594" t="str">
            <v>Cristina Arechaga</v>
          </cell>
        </row>
        <row r="595">
          <cell r="C595" t="str">
            <v>2659-RAS-Relyance Bank  N.A.</v>
          </cell>
          <cell r="H595">
            <v>5030476</v>
          </cell>
          <cell r="AK595" t="str">
            <v>Cristina Arechaga</v>
          </cell>
        </row>
        <row r="596">
          <cell r="C596" t="str">
            <v>38837-RAS-L.A. Amundson Invest</v>
          </cell>
          <cell r="H596">
            <v>5030375</v>
          </cell>
          <cell r="AK596" t="str">
            <v>Cristina Arechaga</v>
          </cell>
        </row>
        <row r="597">
          <cell r="C597" t="str">
            <v>FRB_Online Conversion Support</v>
          </cell>
          <cell r="H597">
            <v>5013770</v>
          </cell>
          <cell r="AK597" t="str">
            <v>DELETED USER</v>
          </cell>
        </row>
        <row r="598">
          <cell r="C598" t="str">
            <v>JPM_Asset Servicing 1 BA</v>
          </cell>
          <cell r="H598">
            <v>5013681</v>
          </cell>
          <cell r="AK598" t="str">
            <v>Kapin Vora</v>
          </cell>
        </row>
        <row r="599">
          <cell r="C599" t="str">
            <v>Barclays_CFT Phase 2</v>
          </cell>
          <cell r="H599">
            <v>5013767</v>
          </cell>
          <cell r="AK599" t="str">
            <v>DELETED USER</v>
          </cell>
        </row>
        <row r="600">
          <cell r="C600" t="str">
            <v>12836-RAS-Haven Savings Bank</v>
          </cell>
          <cell r="H600">
            <v>5030881</v>
          </cell>
          <cell r="AK600" t="str">
            <v>Cristina Arechaga</v>
          </cell>
        </row>
        <row r="601">
          <cell r="C601" t="str">
            <v>6256-RAS-First State Bank &amp; Tr</v>
          </cell>
          <cell r="H601">
            <v>5030651</v>
          </cell>
          <cell r="AK601" t="str">
            <v>Cristina Arechaga</v>
          </cell>
        </row>
        <row r="602">
          <cell r="C602" t="str">
            <v>16860-RAS-Byline Bankcorp  Inc</v>
          </cell>
          <cell r="H602">
            <v>5030323</v>
          </cell>
          <cell r="AK602" t="str">
            <v>Cristina Arechaga</v>
          </cell>
        </row>
        <row r="603">
          <cell r="C603" t="str">
            <v>4052-RAS-New Peoples Bank  Inc</v>
          </cell>
          <cell r="H603">
            <v>5030513</v>
          </cell>
          <cell r="AK603" t="str">
            <v>Cristina Arechaga</v>
          </cell>
        </row>
        <row r="604">
          <cell r="C604" t="str">
            <v>12068-RAS-Oregon Community Ban</v>
          </cell>
          <cell r="H604">
            <v>5030863</v>
          </cell>
          <cell r="AK604" t="str">
            <v>Cristina Arechaga</v>
          </cell>
        </row>
        <row r="605">
          <cell r="C605" t="str">
            <v>4209-RAS-Iberiabank</v>
          </cell>
          <cell r="H605">
            <v>5030604</v>
          </cell>
          <cell r="AK605" t="str">
            <v>Cristina Arechaga</v>
          </cell>
        </row>
        <row r="606">
          <cell r="C606" t="str">
            <v>8860-RAS-Merchants and Farmers</v>
          </cell>
          <cell r="H606">
            <v>5030725</v>
          </cell>
          <cell r="AK606" t="str">
            <v>Cristina Arechaga</v>
          </cell>
        </row>
        <row r="607">
          <cell r="C607" t="str">
            <v>8319-RAS-Sloan State Bank</v>
          </cell>
          <cell r="H607">
            <v>5030704</v>
          </cell>
          <cell r="AK607" t="str">
            <v>Cristina Arechaga</v>
          </cell>
        </row>
        <row r="608">
          <cell r="C608" t="str">
            <v>5623-RAS-Rocky Mountain Bank</v>
          </cell>
          <cell r="H608">
            <v>5030634</v>
          </cell>
          <cell r="AK608" t="str">
            <v>Cristina Arechaga</v>
          </cell>
        </row>
        <row r="609">
          <cell r="C609" t="str">
            <v>KGS_Process</v>
          </cell>
          <cell r="H609">
            <v>5013792</v>
          </cell>
          <cell r="AK609" t="str">
            <v>DELETED USER</v>
          </cell>
        </row>
        <row r="610">
          <cell r="C610" t="str">
            <v>9531-RAS-Bank of Star City</v>
          </cell>
          <cell r="H610">
            <v>5030751</v>
          </cell>
          <cell r="AK610" t="str">
            <v>Cristina Arechaga</v>
          </cell>
        </row>
        <row r="611">
          <cell r="C611" t="str">
            <v>9340-RAS-CNB Bank  Inc.</v>
          </cell>
          <cell r="H611">
            <v>5030743</v>
          </cell>
          <cell r="AK611" t="str">
            <v>Cristina Arechaga</v>
          </cell>
        </row>
        <row r="612">
          <cell r="C612" t="str">
            <v>MS_OTC Derivatives CCP</v>
          </cell>
          <cell r="H612">
            <v>5013568</v>
          </cell>
          <cell r="AK612" t="str">
            <v>Angela McGregor</v>
          </cell>
        </row>
        <row r="613">
          <cell r="C613" t="str">
            <v>TD_AMCB_DCTS CIO Advisor</v>
          </cell>
          <cell r="H613">
            <v>5013870</v>
          </cell>
          <cell r="AK613" t="str">
            <v>John Murdoch</v>
          </cell>
        </row>
        <row r="614">
          <cell r="C614" t="str">
            <v>Syncada_RFI_Vendor Select</v>
          </cell>
          <cell r="H614">
            <v>5013885</v>
          </cell>
          <cell r="AK614" t="str">
            <v>DELETED USER</v>
          </cell>
        </row>
        <row r="615">
          <cell r="C615" t="str">
            <v>US Bank_Digital Wealth</v>
          </cell>
          <cell r="H615">
            <v>5012366</v>
          </cell>
          <cell r="AK615" t="str">
            <v>Michael Tao</v>
          </cell>
        </row>
        <row r="616">
          <cell r="C616" t="str">
            <v>AI Projct Ldrshp &amp; Plnng</v>
          </cell>
          <cell r="H616">
            <v>5013785</v>
          </cell>
          <cell r="AK616" t="str">
            <v>DELETED USER</v>
          </cell>
        </row>
        <row r="617">
          <cell r="C617" t="str">
            <v>Aviva_Front Office Compliance</v>
          </cell>
          <cell r="H617">
            <v>5013813</v>
          </cell>
          <cell r="AK617" t="str">
            <v>DELETED USER</v>
          </cell>
        </row>
        <row r="618">
          <cell r="C618" t="str">
            <v>2799-RAS-First Financial Banks</v>
          </cell>
          <cell r="H618">
            <v>5030487</v>
          </cell>
          <cell r="AK618" t="str">
            <v>Cristina Arechaga</v>
          </cell>
        </row>
        <row r="619">
          <cell r="C619" t="str">
            <v>10210-RAS-Sabadell United Bank</v>
          </cell>
          <cell r="H619">
            <v>5030786</v>
          </cell>
          <cell r="AK619" t="str">
            <v>Cristina Arechaga</v>
          </cell>
        </row>
        <row r="620">
          <cell r="C620" t="str">
            <v>8809-RAS-Century Bank of Kentu</v>
          </cell>
          <cell r="H620">
            <v>5030722</v>
          </cell>
          <cell r="AK620" t="str">
            <v>Cristina Arechaga</v>
          </cell>
        </row>
        <row r="621">
          <cell r="C621" t="str">
            <v>FN_CreditRiskDataRepository te</v>
          </cell>
          <cell r="H621">
            <v>5013786</v>
          </cell>
          <cell r="AK621" t="str">
            <v>TJ Campbell</v>
          </cell>
        </row>
        <row r="622">
          <cell r="C622" t="str">
            <v>Credit Risk Data Repository</v>
          </cell>
          <cell r="H622">
            <v>5013786</v>
          </cell>
          <cell r="AK622" t="str">
            <v>TJ Campbell</v>
          </cell>
        </row>
        <row r="623">
          <cell r="C623" t="str">
            <v>13374-RAS-North Easton Savings</v>
          </cell>
          <cell r="H623">
            <v>5030905</v>
          </cell>
          <cell r="AK623" t="str">
            <v>Cristina Arechaga</v>
          </cell>
        </row>
        <row r="624">
          <cell r="C624" t="str">
            <v>8223-RAS-First State Bank of B</v>
          </cell>
          <cell r="H624">
            <v>5030699</v>
          </cell>
          <cell r="AK624" t="str">
            <v>Cristina Arechaga</v>
          </cell>
        </row>
        <row r="625">
          <cell r="C625" t="str">
            <v>10955-RAS-Illini Bank</v>
          </cell>
          <cell r="H625">
            <v>5030817</v>
          </cell>
          <cell r="AK625" t="str">
            <v>Cristina Arechaga</v>
          </cell>
        </row>
        <row r="626">
          <cell r="C626" t="str">
            <v>CM BAU QA Support</v>
          </cell>
          <cell r="H626">
            <v>5013891</v>
          </cell>
          <cell r="AK626" t="str">
            <v>Jack Mulqueen</v>
          </cell>
        </row>
        <row r="627">
          <cell r="C627" t="str">
            <v>FM_CMI - Dean</v>
          </cell>
          <cell r="H627">
            <v>5013872</v>
          </cell>
          <cell r="AK627" t="str">
            <v>DELETED USER</v>
          </cell>
        </row>
        <row r="628">
          <cell r="C628" t="str">
            <v>8904-RAS-Municipal Trust and S</v>
          </cell>
          <cell r="H628">
            <v>5030729</v>
          </cell>
          <cell r="AK628" t="str">
            <v>Cristina Arechaga</v>
          </cell>
        </row>
        <row r="629">
          <cell r="C629" t="str">
            <v>4380-RAS-MidSouth Bank</v>
          </cell>
          <cell r="H629">
            <v>5030568</v>
          </cell>
          <cell r="AK629" t="str">
            <v>Cristina Arechaga</v>
          </cell>
        </row>
        <row r="630">
          <cell r="C630" t="str">
            <v>US Bank_OLB Conversion</v>
          </cell>
          <cell r="H630">
            <v>5013814</v>
          </cell>
          <cell r="AK630" t="str">
            <v>Jeffrey Bordan</v>
          </cell>
        </row>
        <row r="631">
          <cell r="C631" t="str">
            <v>BMO Harris_CapitalMgmt-5</v>
          </cell>
          <cell r="H631">
            <v>5013423</v>
          </cell>
          <cell r="AK631" t="str">
            <v>DELETED USER</v>
          </cell>
        </row>
        <row r="632">
          <cell r="C632" t="str">
            <v>7998-RAS-Bank of the West</v>
          </cell>
          <cell r="H632">
            <v>5030690</v>
          </cell>
          <cell r="AK632" t="str">
            <v>Cristina Arechaga</v>
          </cell>
        </row>
        <row r="633">
          <cell r="C633" t="str">
            <v>11522-RAS-Main Street Bank</v>
          </cell>
          <cell r="H633">
            <v>5030842</v>
          </cell>
          <cell r="AK633" t="str">
            <v>Cristina Arechaga</v>
          </cell>
        </row>
        <row r="634">
          <cell r="C634" t="str">
            <v>41835-RAS-S. R. Snodgrass  A.C</v>
          </cell>
          <cell r="H634">
            <v>5030378</v>
          </cell>
          <cell r="AK634" t="str">
            <v>Cristina Arechaga</v>
          </cell>
        </row>
        <row r="635">
          <cell r="C635" t="str">
            <v>4745-RAS-Kitsap Bank</v>
          </cell>
          <cell r="H635">
            <v>5030584</v>
          </cell>
          <cell r="AK635" t="str">
            <v>Cristina Arechaga</v>
          </cell>
        </row>
        <row r="636">
          <cell r="C636" t="str">
            <v>TD AMCB_TestMgrSpt-KS-NovApr</v>
          </cell>
          <cell r="H636">
            <v>5013996</v>
          </cell>
          <cell r="AK636" t="str">
            <v>DELETED USER</v>
          </cell>
        </row>
        <row r="637">
          <cell r="C637" t="str">
            <v>TD AMCB_FraudBA SC-AMD5</v>
          </cell>
          <cell r="H637">
            <v>5013584</v>
          </cell>
          <cell r="AK637" t="str">
            <v>Gregg Henzel</v>
          </cell>
        </row>
        <row r="638">
          <cell r="C638" t="str">
            <v>TD AMCB_DC Delivery-NovFeb</v>
          </cell>
          <cell r="H638">
            <v>5013238</v>
          </cell>
          <cell r="AK638" t="str">
            <v>DELETED USER</v>
          </cell>
        </row>
        <row r="639">
          <cell r="C639" t="str">
            <v>FM  CBRS Loan Delivery</v>
          </cell>
          <cell r="H639">
            <v>5013874</v>
          </cell>
          <cell r="AK639" t="str">
            <v>DELETED USER</v>
          </cell>
        </row>
        <row r="640">
          <cell r="C640" t="str">
            <v>KGS_IT Documentation</v>
          </cell>
          <cell r="H640">
            <v>5013997</v>
          </cell>
          <cell r="AK640" t="str">
            <v>DELETED USER</v>
          </cell>
        </row>
        <row r="641">
          <cell r="C641" t="str">
            <v>CNB_EA Business Architectures</v>
          </cell>
          <cell r="H641">
            <v>5013772</v>
          </cell>
          <cell r="AK641" t="str">
            <v>DELETED USER</v>
          </cell>
        </row>
        <row r="642">
          <cell r="C642" t="str">
            <v>FM_M&amp;A Data Arch - Margaret</v>
          </cell>
          <cell r="H642">
            <v>5013910</v>
          </cell>
          <cell r="AK642" t="str">
            <v>DELETED USER</v>
          </cell>
        </row>
        <row r="643">
          <cell r="C643" t="str">
            <v>FM_PM Services - Doug Steele</v>
          </cell>
          <cell r="H643">
            <v>5013862</v>
          </cell>
          <cell r="AK643" t="str">
            <v>DELETED USER</v>
          </cell>
        </row>
        <row r="644">
          <cell r="C644" t="str">
            <v>FM_PMO as a Service Dan Lader</v>
          </cell>
          <cell r="H644">
            <v>5013864</v>
          </cell>
          <cell r="AK644" t="str">
            <v>Sarah Cameron</v>
          </cell>
        </row>
        <row r="645">
          <cell r="C645" t="str">
            <v>KB CARTS Phase 2</v>
          </cell>
          <cell r="H645">
            <v>5013729</v>
          </cell>
          <cell r="AK645" t="str">
            <v>DELETED USER</v>
          </cell>
        </row>
        <row r="646">
          <cell r="C646" t="str">
            <v>9424-RAS-Citizens First Bank</v>
          </cell>
          <cell r="H646">
            <v>5030746</v>
          </cell>
          <cell r="AK646" t="str">
            <v>Cristina Arechaga</v>
          </cell>
        </row>
        <row r="647">
          <cell r="C647" t="str">
            <v>9530-RAS-First National Bank</v>
          </cell>
          <cell r="H647">
            <v>5030750</v>
          </cell>
          <cell r="AK647" t="str">
            <v>Cristina Arechaga</v>
          </cell>
        </row>
        <row r="648">
          <cell r="C648" t="str">
            <v>10167-RAS-Palmetto Heritage Ba</v>
          </cell>
          <cell r="H648">
            <v>5030783</v>
          </cell>
          <cell r="AK648" t="str">
            <v>Cristina Arechaga</v>
          </cell>
        </row>
        <row r="649">
          <cell r="C649" t="str">
            <v>9972-RAS-United Bank</v>
          </cell>
          <cell r="H649">
            <v>5030778</v>
          </cell>
          <cell r="AK649" t="str">
            <v>Cristina Arechaga</v>
          </cell>
        </row>
        <row r="650">
          <cell r="C650" t="str">
            <v>10313-RAS-Valley State Bank</v>
          </cell>
          <cell r="H650">
            <v>5030791</v>
          </cell>
          <cell r="AK650" t="str">
            <v>Cristina Arechaga</v>
          </cell>
        </row>
        <row r="651">
          <cell r="C651" t="str">
            <v>13573-RAS-215 Holding Company</v>
          </cell>
          <cell r="H651">
            <v>5030915</v>
          </cell>
          <cell r="AK651" t="str">
            <v>Cristina Arechaga</v>
          </cell>
        </row>
        <row r="652">
          <cell r="C652" t="str">
            <v>2397-RAS-Bank of Louisiana</v>
          </cell>
          <cell r="H652">
            <v>5030450</v>
          </cell>
          <cell r="AK652" t="str">
            <v>Cristina Arechaga</v>
          </cell>
        </row>
        <row r="653">
          <cell r="C653" t="str">
            <v>TD AMCB_Fraud BA-IDS</v>
          </cell>
          <cell r="H653">
            <v>5014034</v>
          </cell>
          <cell r="AK653" t="str">
            <v>Gregg Henzel</v>
          </cell>
        </row>
        <row r="654">
          <cell r="C654" t="str">
            <v>MS_OTC Trade_Suraj</v>
          </cell>
          <cell r="H654">
            <v>5013929</v>
          </cell>
          <cell r="AK654" t="str">
            <v>Angela McGregor</v>
          </cell>
        </row>
        <row r="655">
          <cell r="C655" t="str">
            <v>FM_Rules DEC (UP DEL. PH2A)</v>
          </cell>
          <cell r="H655">
            <v>5013078</v>
          </cell>
          <cell r="AK655" t="str">
            <v>DELETED USER</v>
          </cell>
        </row>
        <row r="656">
          <cell r="C656" t="str">
            <v>First Niagara_EDW SA Kapur</v>
          </cell>
          <cell r="H656">
            <v>5014040</v>
          </cell>
          <cell r="AK656" t="str">
            <v>DELETED USER</v>
          </cell>
        </row>
        <row r="657">
          <cell r="C657" t="str">
            <v>BNYM_Ops_Strategy</v>
          </cell>
          <cell r="H657">
            <v>5013958</v>
          </cell>
          <cell r="AK657" t="str">
            <v>DELETED USER</v>
          </cell>
        </row>
        <row r="658">
          <cell r="C658" t="str">
            <v>US Bancorp_US Bank RMS Review</v>
          </cell>
          <cell r="H658">
            <v>5013309</v>
          </cell>
          <cell r="AK658" t="str">
            <v>DELETED USER</v>
          </cell>
        </row>
        <row r="659">
          <cell r="C659" t="str">
            <v>FM_TEC SOA Governance</v>
          </cell>
          <cell r="H659">
            <v>5014059</v>
          </cell>
          <cell r="AK659" t="str">
            <v>Sarah Cameron</v>
          </cell>
        </row>
        <row r="660">
          <cell r="C660" t="str">
            <v>13338-RAS-East Boston Savings</v>
          </cell>
          <cell r="H660">
            <v>5030901</v>
          </cell>
          <cell r="AK660" t="str">
            <v>Cristina Arechaga</v>
          </cell>
        </row>
        <row r="661">
          <cell r="C661" t="str">
            <v>4382-RAS-Metro Bank</v>
          </cell>
          <cell r="H661">
            <v>5030569</v>
          </cell>
          <cell r="AK661" t="str">
            <v>Cristina Arechaga</v>
          </cell>
        </row>
        <row r="662">
          <cell r="C662" t="str">
            <v>6979-RAS-Halstead Bank</v>
          </cell>
          <cell r="H662">
            <v>5030662</v>
          </cell>
          <cell r="AK662" t="str">
            <v>Cristina Arechaga</v>
          </cell>
        </row>
        <row r="663">
          <cell r="C663" t="str">
            <v>MS_PMBAOCCExpiry</v>
          </cell>
          <cell r="H663">
            <v>5013909</v>
          </cell>
          <cell r="AK663" t="str">
            <v>DELETED USER</v>
          </cell>
        </row>
        <row r="664">
          <cell r="C664" t="str">
            <v>8578-RAS-First National Commun</v>
          </cell>
          <cell r="H664">
            <v>5030712</v>
          </cell>
          <cell r="AK664" t="str">
            <v>Cristina Arechaga</v>
          </cell>
        </row>
        <row r="665">
          <cell r="C665" t="str">
            <v>7991-RAS-Bank of Jackson Hole</v>
          </cell>
          <cell r="H665">
            <v>5030689</v>
          </cell>
          <cell r="AK665" t="str">
            <v>Cristina Arechaga</v>
          </cell>
        </row>
        <row r="666">
          <cell r="C666" t="str">
            <v>7797-RAS-The First National Ba</v>
          </cell>
          <cell r="H666">
            <v>5030680</v>
          </cell>
          <cell r="AK666" t="str">
            <v>Cristina Arechaga</v>
          </cell>
        </row>
        <row r="667">
          <cell r="C667" t="str">
            <v>28441-RAS-Atlantic Capital Ban</v>
          </cell>
          <cell r="H667">
            <v>5030354</v>
          </cell>
          <cell r="AK667" t="str">
            <v>Cristina Arechaga</v>
          </cell>
        </row>
        <row r="668">
          <cell r="C668" t="str">
            <v>9381-RAS-First Bank Richmond</v>
          </cell>
          <cell r="H668">
            <v>5030745</v>
          </cell>
          <cell r="AK668" t="str">
            <v>Cristina Arechaga</v>
          </cell>
        </row>
        <row r="669">
          <cell r="C669" t="str">
            <v>6778-RAS-Sunflower Bank  NA</v>
          </cell>
          <cell r="H669">
            <v>5030655</v>
          </cell>
          <cell r="AK669" t="str">
            <v>Cristina Arechaga</v>
          </cell>
        </row>
        <row r="670">
          <cell r="C670" t="str">
            <v>MS_Sec Ops</v>
          </cell>
          <cell r="H670">
            <v>5014379</v>
          </cell>
          <cell r="AK670" t="str">
            <v>Owen Priestley</v>
          </cell>
        </row>
        <row r="671">
          <cell r="C671" t="str">
            <v>Barclays_Clearview</v>
          </cell>
          <cell r="H671">
            <v>5013506</v>
          </cell>
          <cell r="AK671" t="str">
            <v>Kapin Vora</v>
          </cell>
        </row>
        <row r="672">
          <cell r="C672" t="str">
            <v>FM_UP Pricing (Phase1)</v>
          </cell>
          <cell r="H672">
            <v>5013626</v>
          </cell>
          <cell r="AK672" t="str">
            <v>DELETED USER</v>
          </cell>
        </row>
        <row r="673">
          <cell r="C673" t="str">
            <v>Aviva Proj Lead and Plan II</v>
          </cell>
          <cell r="H673">
            <v>5013670</v>
          </cell>
          <cell r="AK673" t="str">
            <v>DELETED USER</v>
          </cell>
        </row>
        <row r="674">
          <cell r="C674" t="str">
            <v>USAA_Project Initiation</v>
          </cell>
          <cell r="H674">
            <v>5014039</v>
          </cell>
          <cell r="AK674" t="str">
            <v>DELETED USER</v>
          </cell>
        </row>
        <row r="675">
          <cell r="C675" t="str">
            <v>Fannie Mae_Senior Risk Profess</v>
          </cell>
          <cell r="H675">
            <v>5014117</v>
          </cell>
          <cell r="AK675" t="str">
            <v>DELETED USER</v>
          </cell>
        </row>
        <row r="676">
          <cell r="C676" t="str">
            <v>SVB_EDW Roadmap</v>
          </cell>
          <cell r="H676">
            <v>5013940</v>
          </cell>
          <cell r="AK676" t="str">
            <v>Mangesh Katarkar</v>
          </cell>
        </row>
        <row r="677">
          <cell r="C677" t="str">
            <v>MS_SSBO Bertels</v>
          </cell>
          <cell r="H677">
            <v>5014293</v>
          </cell>
          <cell r="AK677" t="str">
            <v>Owen Priestley</v>
          </cell>
        </row>
        <row r="678">
          <cell r="C678" t="str">
            <v>RBCGABANK_OpExcellenceReview</v>
          </cell>
          <cell r="H678">
            <v>5014083</v>
          </cell>
          <cell r="AK678" t="str">
            <v>Kaylin Kugler</v>
          </cell>
        </row>
        <row r="679">
          <cell r="C679" t="str">
            <v>3027-RAS-Bank of Eastern Orego</v>
          </cell>
          <cell r="H679">
            <v>5030504</v>
          </cell>
          <cell r="AK679" t="str">
            <v>Cristina Arechaga</v>
          </cell>
        </row>
        <row r="680">
          <cell r="C680" t="str">
            <v>2993-RAS-Somerset Trust Compan</v>
          </cell>
          <cell r="H680">
            <v>5030500</v>
          </cell>
          <cell r="AK680" t="str">
            <v>Cristina Arechaga</v>
          </cell>
        </row>
        <row r="681">
          <cell r="C681" t="str">
            <v>KGS Phase 2</v>
          </cell>
          <cell r="H681">
            <v>5014226</v>
          </cell>
          <cell r="AK681" t="str">
            <v>Sandra Paris</v>
          </cell>
        </row>
        <row r="682">
          <cell r="C682" t="str">
            <v>4239-RAS-Clearfield Bank &amp; Tru</v>
          </cell>
          <cell r="H682">
            <v>5030606</v>
          </cell>
          <cell r="AK682" t="str">
            <v>Cristina Arechaga</v>
          </cell>
        </row>
        <row r="683">
          <cell r="C683" t="str">
            <v>9087-RAS-Farmers and Merchants</v>
          </cell>
          <cell r="H683">
            <v>5030736</v>
          </cell>
          <cell r="AK683" t="str">
            <v>Cristina Arechaga</v>
          </cell>
        </row>
        <row r="684">
          <cell r="C684" t="str">
            <v>8979-RAS-Community Savings Ban</v>
          </cell>
          <cell r="H684">
            <v>5030731</v>
          </cell>
          <cell r="AK684" t="str">
            <v>Cristina Arechaga</v>
          </cell>
        </row>
        <row r="685">
          <cell r="C685" t="str">
            <v>7162-RAS-Five Star Bank</v>
          </cell>
          <cell r="H685">
            <v>5030619</v>
          </cell>
          <cell r="AK685" t="str">
            <v>Cristina Arechaga</v>
          </cell>
        </row>
        <row r="686">
          <cell r="C686" t="str">
            <v>2957-RAS-Arthur State Bank</v>
          </cell>
          <cell r="H686">
            <v>5030499</v>
          </cell>
          <cell r="AK686" t="str">
            <v>Cristina Arechaga</v>
          </cell>
        </row>
        <row r="687">
          <cell r="C687" t="str">
            <v>7285-RAS-Texas Bank</v>
          </cell>
          <cell r="H687">
            <v>5030624</v>
          </cell>
          <cell r="AK687" t="str">
            <v>Cristina Arechaga</v>
          </cell>
        </row>
        <row r="688">
          <cell r="C688" t="str">
            <v>9869-RAS-NexTier Bank  NA</v>
          </cell>
          <cell r="H688">
            <v>5030769</v>
          </cell>
          <cell r="AK688" t="str">
            <v>Cristina Arechaga</v>
          </cell>
        </row>
        <row r="689">
          <cell r="C689" t="str">
            <v>8012-RAS-Old Line Bank</v>
          </cell>
          <cell r="H689">
            <v>5030691</v>
          </cell>
          <cell r="AK689" t="str">
            <v>Cristina Arechaga</v>
          </cell>
        </row>
        <row r="690">
          <cell r="C690" t="str">
            <v>9613-RAS-Merchants Bank of Ind</v>
          </cell>
          <cell r="H690">
            <v>5030759</v>
          </cell>
          <cell r="AK690" t="str">
            <v>Cristina Arechaga</v>
          </cell>
        </row>
        <row r="691">
          <cell r="C691" t="str">
            <v>3340-RAS-Traditions First Bank</v>
          </cell>
          <cell r="H691">
            <v>5030524</v>
          </cell>
          <cell r="AK691" t="str">
            <v>Cristina Arechaga</v>
          </cell>
        </row>
        <row r="692">
          <cell r="C692" t="str">
            <v>JPMC_GaussMigrationExtension</v>
          </cell>
          <cell r="H692">
            <v>5013411</v>
          </cell>
          <cell r="AK692" t="str">
            <v>DELETED USER</v>
          </cell>
        </row>
        <row r="693">
          <cell r="C693" t="str">
            <v>MetLife Murex Upgrade - Detai</v>
          </cell>
          <cell r="H693">
            <v>5013930</v>
          </cell>
          <cell r="AK693" t="str">
            <v>DELETED USER</v>
          </cell>
        </row>
        <row r="694">
          <cell r="C694" t="str">
            <v>11216-RAS-Banner Capital Bank</v>
          </cell>
          <cell r="H694">
            <v>5030832</v>
          </cell>
          <cell r="AK694" t="str">
            <v>Cristina Arechaga</v>
          </cell>
        </row>
        <row r="695">
          <cell r="C695" t="str">
            <v>13528-RAS-Mutual of Omaha Bank</v>
          </cell>
          <cell r="H695">
            <v>5030914</v>
          </cell>
          <cell r="AK695" t="str">
            <v>Cristina Arechaga</v>
          </cell>
        </row>
        <row r="696">
          <cell r="C696" t="str">
            <v>7754-RAS-Bank of Old Monroe</v>
          </cell>
          <cell r="H696">
            <v>5030679</v>
          </cell>
          <cell r="AK696" t="str">
            <v>Cristina Arechaga</v>
          </cell>
        </row>
        <row r="697">
          <cell r="C697" t="str">
            <v>MS_CTB_InScope_Transition</v>
          </cell>
          <cell r="H697">
            <v>5014429</v>
          </cell>
          <cell r="AK697" t="str">
            <v>DELETED USER</v>
          </cell>
        </row>
        <row r="698">
          <cell r="C698" t="str">
            <v>2208-RAS-Citizens First Nation</v>
          </cell>
          <cell r="H698">
            <v>5030434</v>
          </cell>
          <cell r="AK698" t="str">
            <v>Cristina Arechaga</v>
          </cell>
        </row>
        <row r="699">
          <cell r="C699" t="str">
            <v>3720-RAS-Rayne State Bank &amp; Tr</v>
          </cell>
          <cell r="H699">
            <v>5030546</v>
          </cell>
          <cell r="AK699" t="str">
            <v>Cristina Arechaga</v>
          </cell>
        </row>
        <row r="700">
          <cell r="C700" t="str">
            <v>7974-RAS-Bank of Luxemburg</v>
          </cell>
          <cell r="H700">
            <v>5030688</v>
          </cell>
          <cell r="AK700" t="str">
            <v>Cristina Arechaga</v>
          </cell>
        </row>
        <row r="701">
          <cell r="C701" t="str">
            <v>5454-RAS-First National Bank o</v>
          </cell>
          <cell r="H701">
            <v>5030595</v>
          </cell>
          <cell r="AK701" t="str">
            <v>Cristina Arechaga</v>
          </cell>
        </row>
        <row r="702">
          <cell r="C702" t="str">
            <v>5458-RAS-Arkansas County Bank</v>
          </cell>
          <cell r="H702">
            <v>5030596</v>
          </cell>
          <cell r="AK702" t="str">
            <v>Cristina Arechaga</v>
          </cell>
        </row>
        <row r="703">
          <cell r="C703" t="str">
            <v>30-RAS-Atlantic Stewardship Ba</v>
          </cell>
          <cell r="H703">
            <v>5030408</v>
          </cell>
          <cell r="AK703" t="str">
            <v>Cristina Arechaga</v>
          </cell>
        </row>
        <row r="704">
          <cell r="C704" t="str">
            <v>AI_Testing</v>
          </cell>
          <cell r="H704">
            <v>5010950</v>
          </cell>
          <cell r="AK704" t="str">
            <v>DELETED USER</v>
          </cell>
        </row>
        <row r="705">
          <cell r="C705" t="str">
            <v>13378-RAS-Salem Five Cents Sav</v>
          </cell>
          <cell r="H705">
            <v>5030906</v>
          </cell>
          <cell r="AK705" t="str">
            <v>Cristina Arechaga</v>
          </cell>
        </row>
        <row r="706">
          <cell r="C706" t="str">
            <v>7815-RAS-Horizon Financial Ban</v>
          </cell>
          <cell r="H706">
            <v>5030681</v>
          </cell>
          <cell r="AK706" t="str">
            <v>Cristina Arechaga</v>
          </cell>
        </row>
        <row r="707">
          <cell r="C707" t="str">
            <v>5525-RAS-BTC Bank</v>
          </cell>
          <cell r="H707">
            <v>5030599</v>
          </cell>
          <cell r="AK707" t="str">
            <v>Cristina Arechaga</v>
          </cell>
        </row>
        <row r="708">
          <cell r="C708" t="str">
            <v>11591-RAS-Colorado East Bank &amp;</v>
          </cell>
          <cell r="H708">
            <v>5030846</v>
          </cell>
          <cell r="AK708" t="str">
            <v>Cristina Arechaga</v>
          </cell>
        </row>
        <row r="709">
          <cell r="C709" t="str">
            <v>3826-RAS-Clinton Savings Bank</v>
          </cell>
          <cell r="H709">
            <v>5030556</v>
          </cell>
          <cell r="AK709" t="str">
            <v>Cristina Arechaga</v>
          </cell>
        </row>
        <row r="710">
          <cell r="C710" t="str">
            <v>3827-RAS-Eagle Bank</v>
          </cell>
          <cell r="H710">
            <v>5030557</v>
          </cell>
          <cell r="AK710" t="str">
            <v>Cristina Arechaga</v>
          </cell>
        </row>
        <row r="711">
          <cell r="C711" t="str">
            <v>FM_O&amp;T PMO Jump Start Team</v>
          </cell>
          <cell r="H711">
            <v>5014060</v>
          </cell>
          <cell r="AK711" t="str">
            <v>DELETED USER</v>
          </cell>
        </row>
        <row r="712">
          <cell r="C712" t="str">
            <v>7443-RAS-Sanibel Captiva Commu</v>
          </cell>
          <cell r="H712">
            <v>5030631</v>
          </cell>
          <cell r="AK712" t="str">
            <v>Cristina Arechaga</v>
          </cell>
        </row>
        <row r="713">
          <cell r="C713" t="str">
            <v>2366-RAS-Albina Community Bank</v>
          </cell>
          <cell r="H713">
            <v>5030444</v>
          </cell>
          <cell r="AK713" t="str">
            <v>Cristina Arechaga</v>
          </cell>
        </row>
        <row r="714">
          <cell r="C714" t="str">
            <v>2402-RAS-Bank of Tennessee</v>
          </cell>
          <cell r="H714">
            <v>5030452</v>
          </cell>
          <cell r="AK714" t="str">
            <v>Cristina Arechaga</v>
          </cell>
        </row>
        <row r="715">
          <cell r="C715" t="str">
            <v>2360-RAS-Elmira Savings Bank</v>
          </cell>
          <cell r="H715">
            <v>5030443</v>
          </cell>
          <cell r="AK715" t="str">
            <v>Cristina Arechaga</v>
          </cell>
        </row>
        <row r="716">
          <cell r="C716" t="str">
            <v>3683-RAS-Community First Bank</v>
          </cell>
          <cell r="H716">
            <v>5030544</v>
          </cell>
          <cell r="AK716" t="str">
            <v>Cristina Arechaga</v>
          </cell>
        </row>
        <row r="717">
          <cell r="C717" t="str">
            <v>2583-RAS-Gorham Savings Bank</v>
          </cell>
          <cell r="H717">
            <v>5030469</v>
          </cell>
          <cell r="AK717" t="str">
            <v>Cristina Arechaga</v>
          </cell>
        </row>
        <row r="718">
          <cell r="C718" t="str">
            <v>28519-RAS-Virginia Partners Ba</v>
          </cell>
          <cell r="H718">
            <v>5030356</v>
          </cell>
          <cell r="AK718" t="str">
            <v>Cristina Arechaga</v>
          </cell>
        </row>
        <row r="719">
          <cell r="C719" t="str">
            <v>7927-RAS-Ciera Bank</v>
          </cell>
          <cell r="H719">
            <v>5030686</v>
          </cell>
          <cell r="AK719" t="str">
            <v>Cristina Arechaga</v>
          </cell>
        </row>
        <row r="720">
          <cell r="C720" t="str">
            <v>7895-RAS-First National Bank i</v>
          </cell>
          <cell r="H720">
            <v>5030684</v>
          </cell>
          <cell r="AK720" t="str">
            <v>Cristina Arechaga</v>
          </cell>
        </row>
        <row r="721">
          <cell r="C721" t="str">
            <v>2383-RAS-Auburn Bank</v>
          </cell>
          <cell r="H721">
            <v>5030447</v>
          </cell>
          <cell r="AK721" t="str">
            <v>Cristina Arechaga</v>
          </cell>
        </row>
        <row r="722">
          <cell r="C722" t="str">
            <v>10186-RAS-Fremont Bank</v>
          </cell>
          <cell r="H722">
            <v>5030784</v>
          </cell>
          <cell r="AK722" t="str">
            <v>Cristina Arechaga</v>
          </cell>
        </row>
        <row r="723">
          <cell r="C723" t="str">
            <v>4314-RAS-1st Trust Bank</v>
          </cell>
          <cell r="H723">
            <v>5030564</v>
          </cell>
          <cell r="AK723" t="str">
            <v>Cristina Arechaga</v>
          </cell>
        </row>
        <row r="724">
          <cell r="C724" t="str">
            <v>10518-RAS-Steuben Trust Compan</v>
          </cell>
          <cell r="H724">
            <v>5030800</v>
          </cell>
          <cell r="AK724" t="str">
            <v>Cristina Arechaga</v>
          </cell>
        </row>
        <row r="725">
          <cell r="C725" t="str">
            <v>7452-RAS-Timberline Bank</v>
          </cell>
          <cell r="H725">
            <v>5030667</v>
          </cell>
          <cell r="AK725" t="str">
            <v>Cristina Arechaga</v>
          </cell>
        </row>
        <row r="726">
          <cell r="C726" t="str">
            <v>1079-RAS-Bank Star</v>
          </cell>
          <cell r="H726">
            <v>5030427</v>
          </cell>
          <cell r="AK726" t="str">
            <v>Cristina Arechaga</v>
          </cell>
        </row>
        <row r="727">
          <cell r="C727" t="str">
            <v>28585-RAS-Prime Meridian Bank</v>
          </cell>
          <cell r="H727">
            <v>5030357</v>
          </cell>
          <cell r="AK727" t="str">
            <v>Cristina Arechaga</v>
          </cell>
        </row>
        <row r="728">
          <cell r="C728" t="str">
            <v>2205-RAS-Commerce Bank &amp; Trust</v>
          </cell>
          <cell r="H728">
            <v>5030433</v>
          </cell>
          <cell r="AK728" t="str">
            <v>Cristina Arechaga</v>
          </cell>
        </row>
        <row r="729">
          <cell r="C729" t="str">
            <v>KB_CC_2013_Q1</v>
          </cell>
          <cell r="H729">
            <v>5014343</v>
          </cell>
          <cell r="AK729" t="str">
            <v>DELETED USER</v>
          </cell>
        </row>
        <row r="730">
          <cell r="C730" t="str">
            <v>MS_CTB_RUN_UK</v>
          </cell>
          <cell r="H730">
            <v>5014900</v>
          </cell>
          <cell r="AK730" t="str">
            <v>Chris Johnston</v>
          </cell>
        </row>
        <row r="731">
          <cell r="C731" t="str">
            <v>KB_DEBIT_2013_Q1</v>
          </cell>
          <cell r="H731">
            <v>5014355</v>
          </cell>
          <cell r="AK731" t="str">
            <v>Bryce VanDiver</v>
          </cell>
        </row>
        <row r="732">
          <cell r="C732" t="str">
            <v>FM_CBRS extension 2 (PH)</v>
          </cell>
          <cell r="H732">
            <v>5013373</v>
          </cell>
          <cell r="AK732" t="str">
            <v>DELETED USER</v>
          </cell>
        </row>
        <row r="733">
          <cell r="C733" t="str">
            <v>MetLife AD Assistance</v>
          </cell>
          <cell r="H733">
            <v>5014592</v>
          </cell>
          <cell r="AK733" t="str">
            <v>DELETED USER</v>
          </cell>
        </row>
        <row r="734">
          <cell r="C734" t="str">
            <v>JPM asset servicing</v>
          </cell>
          <cell r="H734">
            <v>5014294</v>
          </cell>
          <cell r="AK734" t="str">
            <v>DELETED USER</v>
          </cell>
        </row>
        <row r="735">
          <cell r="C735" t="str">
            <v>Citi_Convergence_Intermilan</v>
          </cell>
          <cell r="H735">
            <v>5014683</v>
          </cell>
          <cell r="AK735" t="str">
            <v>Robert Norris</v>
          </cell>
        </row>
        <row r="736">
          <cell r="C736" t="str">
            <v>FNB Bank-Compl Montr-TrvlTime</v>
          </cell>
          <cell r="H736">
            <v>5029989</v>
          </cell>
          <cell r="AK736" t="str">
            <v>Jeanette Wampler</v>
          </cell>
        </row>
        <row r="737">
          <cell r="C737" t="str">
            <v>WF_PortMgmt Q2 Ext</v>
          </cell>
          <cell r="H737">
            <v>5014567</v>
          </cell>
          <cell r="AK737" t="str">
            <v>DELETED USER</v>
          </cell>
        </row>
        <row r="738">
          <cell r="C738" t="str">
            <v>Wells Fargo_PortfolioManagemen</v>
          </cell>
          <cell r="H738">
            <v>5014567</v>
          </cell>
          <cell r="AK738" t="str">
            <v>DELETED USER</v>
          </cell>
        </row>
        <row r="739">
          <cell r="C739" t="str">
            <v>Jefferies_Risk Phase 2</v>
          </cell>
          <cell r="H739">
            <v>5014605</v>
          </cell>
          <cell r="AK739" t="str">
            <v>DELETED USER</v>
          </cell>
        </row>
        <row r="740">
          <cell r="C740" t="str">
            <v>Aviva Aladdin BA</v>
          </cell>
          <cell r="H740">
            <v>5014488</v>
          </cell>
          <cell r="AK740" t="str">
            <v>DELETED USER</v>
          </cell>
        </row>
        <row r="741">
          <cell r="C741" t="str">
            <v>Aviva Reporting Analysis FM</v>
          </cell>
          <cell r="H741">
            <v>5014481</v>
          </cell>
          <cell r="AK741" t="str">
            <v>DELETED USER</v>
          </cell>
        </row>
        <row r="742">
          <cell r="C742" t="str">
            <v>KB CARTS 2013</v>
          </cell>
          <cell r="H742">
            <v>5013730</v>
          </cell>
          <cell r="AK742" t="str">
            <v>DELETED USER</v>
          </cell>
        </row>
        <row r="743">
          <cell r="C743" t="str">
            <v>164-RAS-Commercial Bank</v>
          </cell>
          <cell r="H743">
            <v>5030411</v>
          </cell>
          <cell r="AK743" t="str">
            <v>Cristina Arechaga</v>
          </cell>
        </row>
        <row r="744">
          <cell r="C744" t="str">
            <v>10599-RAS-Merchants &amp; Planters</v>
          </cell>
          <cell r="H744">
            <v>5030806</v>
          </cell>
          <cell r="AK744" t="str">
            <v>Cristina Arechaga</v>
          </cell>
        </row>
        <row r="745">
          <cell r="C745" t="str">
            <v>7057-RAS-Bank Midwest</v>
          </cell>
          <cell r="H745">
            <v>5030615</v>
          </cell>
          <cell r="AK745" t="str">
            <v>Cristina Arechaga</v>
          </cell>
        </row>
        <row r="746">
          <cell r="C746" t="str">
            <v>28255-RAS-CrossFirst Bank</v>
          </cell>
          <cell r="H746">
            <v>5030351</v>
          </cell>
          <cell r="AK746" t="str">
            <v>Cristina Arechaga</v>
          </cell>
        </row>
        <row r="747">
          <cell r="C747" t="str">
            <v>12501-RAS-Gate City Bank</v>
          </cell>
          <cell r="H747">
            <v>5030826</v>
          </cell>
          <cell r="AK747" t="str">
            <v>Cristina Arechaga</v>
          </cell>
        </row>
        <row r="748">
          <cell r="C748" t="str">
            <v>28406-RAS-Empire National Bank</v>
          </cell>
          <cell r="H748">
            <v>5030352</v>
          </cell>
          <cell r="AK748" t="str">
            <v>Cristina Arechaga</v>
          </cell>
        </row>
        <row r="749">
          <cell r="C749" t="str">
            <v>4645-RAS-Great Southern Nation</v>
          </cell>
          <cell r="H749">
            <v>5030577</v>
          </cell>
          <cell r="AK749" t="str">
            <v>Cristina Arechaga</v>
          </cell>
        </row>
        <row r="750">
          <cell r="C750" t="str">
            <v>10374-RAS-Commercial Bank</v>
          </cell>
          <cell r="H750">
            <v>5030796</v>
          </cell>
          <cell r="AK750" t="str">
            <v>Cristina Arechaga</v>
          </cell>
        </row>
        <row r="751">
          <cell r="C751" t="str">
            <v>Citi_PayNet Initiative</v>
          </cell>
          <cell r="H751">
            <v>5014537</v>
          </cell>
          <cell r="AK751" t="str">
            <v>DELETED USER</v>
          </cell>
        </row>
        <row r="752">
          <cell r="C752" t="str">
            <v>FM_TEC Repository 2013</v>
          </cell>
          <cell r="H752">
            <v>5014431</v>
          </cell>
          <cell r="AK752" t="str">
            <v>Sarah Cameron</v>
          </cell>
        </row>
        <row r="753">
          <cell r="C753" t="str">
            <v>FM_TEC ADI 2013</v>
          </cell>
          <cell r="H753">
            <v>5014425</v>
          </cell>
          <cell r="AK753" t="str">
            <v>Sarah Cameron</v>
          </cell>
        </row>
        <row r="754">
          <cell r="C754" t="str">
            <v>JPMC_Asset Servicing Bhatt</v>
          </cell>
          <cell r="H754">
            <v>5014727</v>
          </cell>
          <cell r="AK754" t="str">
            <v>Kapin Vora</v>
          </cell>
        </row>
        <row r="755">
          <cell r="C755" t="str">
            <v>FM_TEC Platform 2013</v>
          </cell>
          <cell r="H755">
            <v>5014409</v>
          </cell>
          <cell r="AK755" t="str">
            <v>Sarah Cameron</v>
          </cell>
        </row>
        <row r="756">
          <cell r="C756" t="str">
            <v>FM_COE 2013</v>
          </cell>
          <cell r="H756">
            <v>5014405</v>
          </cell>
          <cell r="AK756" t="str">
            <v>DELETED USER</v>
          </cell>
        </row>
        <row r="757">
          <cell r="C757" t="str">
            <v>KB_Oracle Implemntn P2 Ext</v>
          </cell>
          <cell r="H757">
            <v>5014660</v>
          </cell>
          <cell r="AK757" t="str">
            <v>DELETED USER</v>
          </cell>
        </row>
        <row r="758">
          <cell r="C758" t="str">
            <v>FM_TEC Factory 2013</v>
          </cell>
          <cell r="H758">
            <v>5014404</v>
          </cell>
          <cell r="AK758" t="str">
            <v>Sarah Cameron</v>
          </cell>
        </row>
        <row r="759">
          <cell r="C759" t="str">
            <v>FM_Data Team 2013</v>
          </cell>
          <cell r="H759">
            <v>5013881</v>
          </cell>
          <cell r="AK759" t="str">
            <v>DELETED USER</v>
          </cell>
        </row>
        <row r="760">
          <cell r="C760" t="str">
            <v>MS_Resolution Phase 2</v>
          </cell>
          <cell r="H760">
            <v>5013570</v>
          </cell>
          <cell r="AK760" t="str">
            <v>Mike Bertran</v>
          </cell>
        </row>
        <row r="761">
          <cell r="C761" t="str">
            <v>JPMC_CWM OnlineBrokerage</v>
          </cell>
          <cell r="H761">
            <v>5014354</v>
          </cell>
          <cell r="AK761" t="str">
            <v>Kapin Vora</v>
          </cell>
        </row>
        <row r="762">
          <cell r="C762" t="str">
            <v>BNYM_Ops Strategy Extension</v>
          </cell>
          <cell r="H762">
            <v>5014662</v>
          </cell>
          <cell r="AK762" t="str">
            <v>DELETED USER</v>
          </cell>
        </row>
        <row r="763">
          <cell r="C763" t="str">
            <v>USAA Mortgage Strategy</v>
          </cell>
          <cell r="H763">
            <v>5014594</v>
          </cell>
          <cell r="AK763" t="str">
            <v>DELETED USER</v>
          </cell>
        </row>
        <row r="764">
          <cell r="C764" t="str">
            <v>9534-RAS-Cathay Bank</v>
          </cell>
          <cell r="H764">
            <v>5030752</v>
          </cell>
          <cell r="AK764" t="str">
            <v>Cristina Arechaga</v>
          </cell>
        </row>
        <row r="765">
          <cell r="C765" t="str">
            <v>125895-RAS-Citywide Mortgage</v>
          </cell>
          <cell r="H765">
            <v>5030405</v>
          </cell>
          <cell r="AK765" t="str">
            <v>Cristina Arechaga</v>
          </cell>
        </row>
        <row r="766">
          <cell r="C766" t="str">
            <v>63-RAS-Bank of Monroe</v>
          </cell>
          <cell r="H766">
            <v>5030409</v>
          </cell>
          <cell r="AK766" t="str">
            <v>Cristina Arechaga</v>
          </cell>
        </row>
        <row r="767">
          <cell r="C767" t="str">
            <v>9908-RAS-Dilley State Bank</v>
          </cell>
          <cell r="H767">
            <v>5030771</v>
          </cell>
          <cell r="AK767" t="str">
            <v>Cristina Arechaga</v>
          </cell>
        </row>
        <row r="768">
          <cell r="C768" t="str">
            <v>SVB_Fed IT Audit</v>
          </cell>
          <cell r="H768">
            <v>5014669</v>
          </cell>
          <cell r="AK768" t="str">
            <v>DELETED USER</v>
          </cell>
        </row>
        <row r="769">
          <cell r="C769" t="str">
            <v>BMO Harris_CapitalMgmt-6</v>
          </cell>
          <cell r="H769">
            <v>5013837</v>
          </cell>
          <cell r="AK769" t="str">
            <v>DELETED USER</v>
          </cell>
        </row>
        <row r="770">
          <cell r="C770" t="str">
            <v>UB_Enterprise Risk Integration</v>
          </cell>
          <cell r="H770">
            <v>5014742</v>
          </cell>
          <cell r="AK770" t="str">
            <v>DELETED USER</v>
          </cell>
        </row>
        <row r="771">
          <cell r="C771" t="str">
            <v>12025-RAS-West Texas National</v>
          </cell>
          <cell r="H771">
            <v>5030861</v>
          </cell>
          <cell r="AK771" t="str">
            <v>Cristina Arechaga</v>
          </cell>
        </row>
        <row r="772">
          <cell r="C772" t="str">
            <v>2282-RAS-Valley Central Saving</v>
          </cell>
          <cell r="H772">
            <v>5030437</v>
          </cell>
          <cell r="AK772" t="str">
            <v>Cristina Arechaga</v>
          </cell>
        </row>
        <row r="773">
          <cell r="C773" t="str">
            <v>11159-RAS-Citizens Bank of Eld</v>
          </cell>
          <cell r="H773">
            <v>5030822</v>
          </cell>
          <cell r="AK773" t="str">
            <v>Cristina Arechaga</v>
          </cell>
        </row>
        <row r="774">
          <cell r="C774" t="str">
            <v>FM_Shared Service Testing</v>
          </cell>
          <cell r="H774">
            <v>5014743</v>
          </cell>
          <cell r="AK774" t="str">
            <v>DELETED USER</v>
          </cell>
        </row>
        <row r="775">
          <cell r="C775" t="str">
            <v>FIS_Global Operating Model</v>
          </cell>
          <cell r="H775">
            <v>5014824</v>
          </cell>
          <cell r="AK775" t="str">
            <v>DELETED USER</v>
          </cell>
        </row>
        <row r="776">
          <cell r="C776" t="str">
            <v>TD AMCB_Fraud BA - AK</v>
          </cell>
          <cell r="H776">
            <v>5012992</v>
          </cell>
          <cell r="AK776" t="str">
            <v>Gregg Henzel</v>
          </cell>
        </row>
        <row r="777">
          <cell r="C777" t="str">
            <v>6849-RAS-Altamaha Bank &amp; Trust</v>
          </cell>
          <cell r="H777">
            <v>5030656</v>
          </cell>
          <cell r="AK777" t="str">
            <v>Cristina Arechaga</v>
          </cell>
        </row>
        <row r="778">
          <cell r="C778" t="str">
            <v>642-RAS-UniBank for Savings</v>
          </cell>
          <cell r="H778">
            <v>5030423</v>
          </cell>
          <cell r="AK778" t="str">
            <v>Cristina Arechaga</v>
          </cell>
        </row>
        <row r="779">
          <cell r="C779" t="str">
            <v>FM_PM Services Dan Lader</v>
          </cell>
          <cell r="H779">
            <v>5014819</v>
          </cell>
          <cell r="AK779" t="str">
            <v>Sarah Cameron</v>
          </cell>
        </row>
        <row r="780">
          <cell r="C780" t="str">
            <v>NYCE_PINless Purchase Services</v>
          </cell>
          <cell r="H780">
            <v>5014888</v>
          </cell>
          <cell r="AK780" t="str">
            <v>DELETED USER</v>
          </cell>
        </row>
        <row r="781">
          <cell r="C781" t="str">
            <v>MetLife PMG Assistance</v>
          </cell>
          <cell r="H781">
            <v>5014593</v>
          </cell>
          <cell r="AK781" t="str">
            <v>DELETED USER</v>
          </cell>
        </row>
        <row r="782">
          <cell r="C782" t="str">
            <v>FM_Gleb PM Service</v>
          </cell>
          <cell r="H782">
            <v>5014731</v>
          </cell>
          <cell r="AK782" t="str">
            <v>Sarah Cameron</v>
          </cell>
        </row>
        <row r="783">
          <cell r="C783" t="str">
            <v>10531-RAS-KodaBank</v>
          </cell>
          <cell r="H783">
            <v>5030802</v>
          </cell>
          <cell r="AK783" t="str">
            <v>Cristina Arechaga</v>
          </cell>
        </row>
        <row r="784">
          <cell r="C784" t="str">
            <v>7683-RAS-Lake Central Bank</v>
          </cell>
          <cell r="H784">
            <v>5030675</v>
          </cell>
          <cell r="AK784" t="str">
            <v>Cristina Arechaga</v>
          </cell>
        </row>
        <row r="785">
          <cell r="C785" t="str">
            <v>Firstrust Savings Bank_RAS</v>
          </cell>
          <cell r="H785">
            <v>5039659</v>
          </cell>
          <cell r="AK785" t="str">
            <v>Diane Banks</v>
          </cell>
        </row>
        <row r="786">
          <cell r="C786" t="str">
            <v>Jeffries_Dodd Frank 2013</v>
          </cell>
          <cell r="H786">
            <v>5014143</v>
          </cell>
          <cell r="AK786" t="str">
            <v>Richard Mlot</v>
          </cell>
        </row>
        <row r="787">
          <cell r="C787" t="str">
            <v>TD AMCB_FraudBAs-CH</v>
          </cell>
          <cell r="H787">
            <v>5014806</v>
          </cell>
          <cell r="AK787" t="str">
            <v>Gregg Henzel</v>
          </cell>
        </row>
        <row r="788">
          <cell r="C788" t="str">
            <v>TD AMCB_FraudBAs-MD</v>
          </cell>
          <cell r="H788">
            <v>5014817</v>
          </cell>
          <cell r="AK788" t="str">
            <v>Gregg Henzel</v>
          </cell>
        </row>
        <row r="789">
          <cell r="C789" t="str">
            <v>FM_Rules Decoupling Phase 1B T</v>
          </cell>
          <cell r="H789">
            <v>5014828</v>
          </cell>
          <cell r="AK789" t="str">
            <v>DELETED USER</v>
          </cell>
        </row>
        <row r="790">
          <cell r="C790" t="str">
            <v>FM_Dallas Ashok</v>
          </cell>
          <cell r="H790">
            <v>5014482</v>
          </cell>
          <cell r="AK790" t="str">
            <v>DELETED USER</v>
          </cell>
        </row>
        <row r="791">
          <cell r="C791" t="str">
            <v>FM_Loan Accounting Tech</v>
          </cell>
          <cell r="H791">
            <v>5014896</v>
          </cell>
          <cell r="AK791" t="str">
            <v>DELETED USER</v>
          </cell>
        </row>
        <row r="792">
          <cell r="C792" t="str">
            <v>UB_Debit Card Discovery</v>
          </cell>
          <cell r="H792">
            <v>5011906</v>
          </cell>
          <cell r="AK792" t="str">
            <v>DELETED USER</v>
          </cell>
        </row>
        <row r="793">
          <cell r="C793" t="str">
            <v>BMO Harris_CapitalMgmt AMD7</v>
          </cell>
          <cell r="H793">
            <v>5014733</v>
          </cell>
          <cell r="AK793" t="str">
            <v>DELETED USER</v>
          </cell>
        </row>
        <row r="794">
          <cell r="C794" t="str">
            <v>FM_PM Service Zucker BAU</v>
          </cell>
          <cell r="H794">
            <v>5014833</v>
          </cell>
          <cell r="AK794" t="str">
            <v>Jack Mulqueen</v>
          </cell>
        </row>
        <row r="795">
          <cell r="C795" t="str">
            <v>Artemis Phase 2</v>
          </cell>
          <cell r="H795">
            <v>5014860</v>
          </cell>
          <cell r="AK795" t="str">
            <v>Kapin Vora</v>
          </cell>
        </row>
        <row r="796">
          <cell r="C796" t="str">
            <v>FM_Forensics Remediation</v>
          </cell>
          <cell r="H796">
            <v>5014869</v>
          </cell>
          <cell r="AK796" t="str">
            <v>DELETED USER</v>
          </cell>
        </row>
        <row r="797">
          <cell r="C797" t="str">
            <v>8153-RAS-Synchrony Bank</v>
          </cell>
          <cell r="H797">
            <v>5030696</v>
          </cell>
          <cell r="AK797" t="str">
            <v>Cristina Arechaga</v>
          </cell>
        </row>
        <row r="798">
          <cell r="C798" t="str">
            <v>TD AMCB_DCTS PortfDlvryMgt-CO2</v>
          </cell>
          <cell r="H798">
            <v>5014816</v>
          </cell>
          <cell r="AK798" t="str">
            <v>DELETED USER</v>
          </cell>
        </row>
        <row r="799">
          <cell r="C799" t="str">
            <v>FM_LLD Remediation</v>
          </cell>
          <cell r="H799">
            <v>5014911</v>
          </cell>
          <cell r="AK799" t="str">
            <v>DELETED USER</v>
          </cell>
        </row>
        <row r="800">
          <cell r="C800" t="str">
            <v>FM_Test Automation Dallas</v>
          </cell>
          <cell r="H800">
            <v>5014809</v>
          </cell>
          <cell r="AK800" t="str">
            <v>DELETED USER</v>
          </cell>
        </row>
        <row r="801">
          <cell r="C801" t="str">
            <v>10119-RAS-Branson Bank</v>
          </cell>
          <cell r="H801">
            <v>5030781</v>
          </cell>
          <cell r="AK801" t="str">
            <v>Cristina Arechaga</v>
          </cell>
        </row>
        <row r="802">
          <cell r="C802" t="str">
            <v>2594-RAS-Heritage Oaks Bank</v>
          </cell>
          <cell r="H802">
            <v>5030471</v>
          </cell>
          <cell r="AK802" t="str">
            <v>Cristina Arechaga</v>
          </cell>
        </row>
        <row r="803">
          <cell r="C803" t="str">
            <v>9562-RAS-Seacoast National Ban</v>
          </cell>
          <cell r="H803">
            <v>5030754</v>
          </cell>
          <cell r="AK803" t="str">
            <v>Cristina Arechaga</v>
          </cell>
        </row>
        <row r="804">
          <cell r="C804" t="str">
            <v>FM_Web Based Training - FIS</v>
          </cell>
          <cell r="H804">
            <v>5014815</v>
          </cell>
          <cell r="AK804" t="str">
            <v>DELETED USER</v>
          </cell>
        </row>
        <row r="805">
          <cell r="C805" t="str">
            <v>BMO Harris_RR Automatn-Impl-DF</v>
          </cell>
          <cell r="H805">
            <v>5015025</v>
          </cell>
          <cell r="AK805" t="str">
            <v>DELETED USER</v>
          </cell>
        </row>
        <row r="806">
          <cell r="C806" t="str">
            <v>BMO Harris_RR Automatn-Impl-AM</v>
          </cell>
          <cell r="H806">
            <v>5015026</v>
          </cell>
          <cell r="AK806" t="str">
            <v>DELETED USER</v>
          </cell>
        </row>
        <row r="807">
          <cell r="C807" t="str">
            <v>MetLife Murex Upgrde Cld Mgrtn</v>
          </cell>
          <cell r="H807">
            <v>5014595</v>
          </cell>
          <cell r="AK807" t="str">
            <v>DELETED USER</v>
          </cell>
        </row>
        <row r="808">
          <cell r="C808" t="str">
            <v>FM_Unified Platform 2A T&amp;M</v>
          </cell>
          <cell r="H808">
            <v>5015032</v>
          </cell>
          <cell r="AK808" t="str">
            <v>DELETED USER</v>
          </cell>
        </row>
        <row r="809">
          <cell r="C809" t="str">
            <v>CS_FTP Systems Walkthrough</v>
          </cell>
          <cell r="H809">
            <v>5013834</v>
          </cell>
          <cell r="AK809" t="str">
            <v>DELETED USER</v>
          </cell>
        </row>
        <row r="810">
          <cell r="C810" t="str">
            <v>MWABank-MQC</v>
          </cell>
          <cell r="H810">
            <v>5029582</v>
          </cell>
          <cell r="AK810" t="str">
            <v>Cristina Arechaga</v>
          </cell>
        </row>
        <row r="811">
          <cell r="C811" t="str">
            <v>MS CTB CCN003</v>
          </cell>
          <cell r="H811">
            <v>5015156</v>
          </cell>
          <cell r="AK811" t="str">
            <v>Angela McGregor</v>
          </cell>
        </row>
        <row r="812">
          <cell r="C812" t="str">
            <v>PocaValley-MQC</v>
          </cell>
          <cell r="H812">
            <v>5029637</v>
          </cell>
          <cell r="AK812" t="str">
            <v>Cristina Arechaga</v>
          </cell>
        </row>
        <row r="813">
          <cell r="C813" t="str">
            <v>Project Blue Print</v>
          </cell>
          <cell r="H813">
            <v>5011920</v>
          </cell>
          <cell r="AK813" t="str">
            <v>DELETED USER</v>
          </cell>
        </row>
        <row r="814">
          <cell r="C814" t="str">
            <v>Res_Plan_Program_Gov_SS</v>
          </cell>
          <cell r="H814">
            <v>5013402</v>
          </cell>
          <cell r="AK814" t="str">
            <v>Mike Bertran</v>
          </cell>
        </row>
        <row r="815">
          <cell r="C815" t="str">
            <v>Aviva Program Mngmt</v>
          </cell>
          <cell r="H815">
            <v>5015093</v>
          </cell>
          <cell r="AK815" t="str">
            <v>DELETED USER</v>
          </cell>
        </row>
        <row r="816">
          <cell r="C816" t="str">
            <v>BW_AaaS</v>
          </cell>
          <cell r="H816">
            <v>5015173</v>
          </cell>
          <cell r="AK816" t="str">
            <v>Matt Markham</v>
          </cell>
        </row>
        <row r="817">
          <cell r="C817" t="str">
            <v>Res_Plan_Gladiator_1month_ext</v>
          </cell>
          <cell r="H817">
            <v>5015162</v>
          </cell>
          <cell r="AK817" t="str">
            <v>Mike Bertran</v>
          </cell>
        </row>
        <row r="818">
          <cell r="C818" t="str">
            <v>BMO Harris_CapitalMgmt AMD8</v>
          </cell>
          <cell r="H818">
            <v>5015178</v>
          </cell>
          <cell r="AK818" t="str">
            <v>DELETED USER</v>
          </cell>
        </row>
        <row r="819">
          <cell r="C819" t="str">
            <v>FM_Loan Sourcing</v>
          </cell>
          <cell r="H819">
            <v>5014831</v>
          </cell>
          <cell r="AK819" t="str">
            <v>DELETED USER</v>
          </cell>
        </row>
        <row r="820">
          <cell r="C820" t="str">
            <v>JPMC_Tri Party PM</v>
          </cell>
          <cell r="H820">
            <v>5014968</v>
          </cell>
          <cell r="AK820" t="str">
            <v>Mitali Drews</v>
          </cell>
        </row>
        <row r="821">
          <cell r="C821" t="str">
            <v>TD AMCB DCTS BillPay QA Review</v>
          </cell>
          <cell r="H821">
            <v>5015159</v>
          </cell>
          <cell r="AK821" t="str">
            <v>DELETED USER</v>
          </cell>
        </row>
        <row r="822">
          <cell r="C822" t="str">
            <v>13097-RAS-Beverly CoOperative</v>
          </cell>
          <cell r="H822">
            <v>5030895</v>
          </cell>
          <cell r="AK822" t="str">
            <v>Cristina Arechaga</v>
          </cell>
        </row>
        <row r="823">
          <cell r="C823" t="str">
            <v>TD AMCB_DCTS BillPayQAReview-2</v>
          </cell>
          <cell r="H823">
            <v>5015221</v>
          </cell>
          <cell r="AK823" t="str">
            <v>DELETED USER</v>
          </cell>
        </row>
        <row r="824">
          <cell r="C824" t="str">
            <v>RBCGABANK_OpsExcellence-2</v>
          </cell>
          <cell r="H824">
            <v>5015281</v>
          </cell>
          <cell r="AK824" t="str">
            <v>Kaylin Kugler</v>
          </cell>
        </row>
        <row r="825">
          <cell r="C825" t="str">
            <v>CWM Workstation</v>
          </cell>
          <cell r="H825">
            <v>5015239</v>
          </cell>
          <cell r="AK825" t="str">
            <v>Kapin Vora</v>
          </cell>
        </row>
        <row r="826">
          <cell r="C826" t="str">
            <v>7960-RAS-Davis Trust Company</v>
          </cell>
          <cell r="H826">
            <v>5030687</v>
          </cell>
          <cell r="AK826" t="str">
            <v>Cristina Arechaga</v>
          </cell>
        </row>
        <row r="827">
          <cell r="C827" t="str">
            <v>9955-RAS-Peoples Intermountain</v>
          </cell>
          <cell r="H827">
            <v>5030775</v>
          </cell>
          <cell r="AK827" t="str">
            <v>Cristina Arechaga</v>
          </cell>
        </row>
        <row r="828">
          <cell r="C828" t="str">
            <v>FM_LLD Remediation 2</v>
          </cell>
          <cell r="H828">
            <v>5015256</v>
          </cell>
          <cell r="AK828" t="str">
            <v>DELETED USER</v>
          </cell>
        </row>
        <row r="829">
          <cell r="C829" t="str">
            <v>BOK_Costing Implementation</v>
          </cell>
          <cell r="H829">
            <v>5014480</v>
          </cell>
          <cell r="AK829" t="str">
            <v>DELETED USER</v>
          </cell>
        </row>
        <row r="830">
          <cell r="C830" t="str">
            <v>SVB_PMTS HUB TECH/BUS ARCH</v>
          </cell>
          <cell r="H830">
            <v>5015135</v>
          </cell>
          <cell r="AK830" t="str">
            <v>DELETED USER</v>
          </cell>
        </row>
        <row r="831">
          <cell r="C831" t="str">
            <v>KB_SBA RFP</v>
          </cell>
          <cell r="H831">
            <v>5015286</v>
          </cell>
          <cell r="AK831" t="str">
            <v>DELETED USER</v>
          </cell>
        </row>
        <row r="832">
          <cell r="C832" t="str">
            <v>Morgan Stanley_ORD</v>
          </cell>
          <cell r="H832">
            <v>5015255</v>
          </cell>
          <cell r="AK832" t="str">
            <v>Iruka Brown</v>
          </cell>
        </row>
        <row r="833">
          <cell r="C833" t="str">
            <v>TD AMCB_DC EPMO Analysis</v>
          </cell>
          <cell r="H833">
            <v>5013886</v>
          </cell>
          <cell r="AK833" t="str">
            <v>DELETED USER</v>
          </cell>
        </row>
        <row r="834">
          <cell r="C834" t="str">
            <v>AI_Aviva Fix Inc Analytics</v>
          </cell>
          <cell r="H834">
            <v>5015303</v>
          </cell>
          <cell r="AK834" t="str">
            <v>DELETED USER</v>
          </cell>
        </row>
        <row r="835">
          <cell r="C835" t="str">
            <v>TD AMCB US NGP Bus Case</v>
          </cell>
          <cell r="H835">
            <v>5015290</v>
          </cell>
          <cell r="AK835" t="str">
            <v>Bhanu Kohli</v>
          </cell>
        </row>
        <row r="836">
          <cell r="C836" t="str">
            <v>WF_IAM- Access Management</v>
          </cell>
          <cell r="H836">
            <v>5015184</v>
          </cell>
          <cell r="AK836" t="str">
            <v>DELETED USER</v>
          </cell>
        </row>
        <row r="837">
          <cell r="C837" t="str">
            <v>BOW_Digital Channel</v>
          </cell>
          <cell r="H837">
            <v>5015096</v>
          </cell>
          <cell r="AK837" t="str">
            <v>Owen Priestley</v>
          </cell>
        </row>
        <row r="838">
          <cell r="C838" t="str">
            <v>Commonfund_Internet&amp;InfoSecuri</v>
          </cell>
          <cell r="H838">
            <v>5014673</v>
          </cell>
          <cell r="AK838" t="str">
            <v>DELETED USER</v>
          </cell>
        </row>
        <row r="839">
          <cell r="C839" t="str">
            <v>MetLife_Mrx Upgrde: Bnry Upgrd</v>
          </cell>
          <cell r="H839">
            <v>5015252</v>
          </cell>
          <cell r="AK839" t="str">
            <v>DELETED USER</v>
          </cell>
        </row>
        <row r="840">
          <cell r="C840" t="str">
            <v>13005-RAS-West Plains Savings</v>
          </cell>
          <cell r="H840">
            <v>5030891</v>
          </cell>
          <cell r="AK840" t="str">
            <v>Cristina Arechaga</v>
          </cell>
        </row>
        <row r="841">
          <cell r="C841" t="str">
            <v>3031-RAS-First Interstate Bank</v>
          </cell>
          <cell r="H841">
            <v>5030505</v>
          </cell>
          <cell r="AK841" t="str">
            <v>Cristina Arechaga</v>
          </cell>
        </row>
        <row r="842">
          <cell r="C842" t="str">
            <v>Jeffereis_Risk SolutionUI</v>
          </cell>
          <cell r="H842">
            <v>5015409</v>
          </cell>
          <cell r="AK842" t="str">
            <v>DELETED USER</v>
          </cell>
        </row>
        <row r="843">
          <cell r="C843" t="str">
            <v>Citi_TTS_Ops_Cost_Efficiency</v>
          </cell>
          <cell r="H843">
            <v>5012752</v>
          </cell>
          <cell r="AK843" t="str">
            <v>DELETED USER</v>
          </cell>
        </row>
        <row r="844">
          <cell r="C844" t="str">
            <v>KB_Credit Risk Reporting-Ph4</v>
          </cell>
          <cell r="H844">
            <v>5015530</v>
          </cell>
          <cell r="AK844" t="str">
            <v>DELETED USER</v>
          </cell>
        </row>
        <row r="845">
          <cell r="C845" t="str">
            <v>MS_Res_Plan_Gladiator_Part B</v>
          </cell>
          <cell r="H845">
            <v>5015231</v>
          </cell>
          <cell r="AK845" t="str">
            <v>Mike Bertran</v>
          </cell>
        </row>
        <row r="846">
          <cell r="C846" t="str">
            <v>KB_CC_2013_Q2</v>
          </cell>
          <cell r="H846">
            <v>5014356</v>
          </cell>
          <cell r="AK846" t="str">
            <v>DELETED USER</v>
          </cell>
        </row>
        <row r="847">
          <cell r="C847" t="str">
            <v>Barclays_Artimis Ext</v>
          </cell>
          <cell r="H847">
            <v>5015512</v>
          </cell>
          <cell r="AK847" t="str">
            <v>Kapin Vora</v>
          </cell>
        </row>
        <row r="848">
          <cell r="C848" t="str">
            <v>BNYMelonOpsStrtegyPMO2013Q2ext</v>
          </cell>
          <cell r="H848">
            <v>5015197</v>
          </cell>
          <cell r="AK848" t="str">
            <v>DELETED USER</v>
          </cell>
        </row>
        <row r="849">
          <cell r="C849" t="str">
            <v>FM_C-BOS Impl</v>
          </cell>
          <cell r="H849">
            <v>5015307</v>
          </cell>
          <cell r="AK849" t="str">
            <v>Michelle Fambro</v>
          </cell>
        </row>
        <row r="850">
          <cell r="C850" t="str">
            <v>KB_DEBIT_2013_Q2_Q4</v>
          </cell>
          <cell r="H850">
            <v>5014360</v>
          </cell>
          <cell r="AK850" t="str">
            <v>Chinmoy Bhatiya</v>
          </cell>
        </row>
        <row r="851">
          <cell r="C851" t="str">
            <v>10348-RAS-Stanley Bank</v>
          </cell>
          <cell r="H851">
            <v>5030793</v>
          </cell>
          <cell r="AK851" t="str">
            <v>Cristina Arechaga</v>
          </cell>
        </row>
        <row r="852">
          <cell r="C852" t="str">
            <v>RBCGABANK_OpExcellence-3</v>
          </cell>
          <cell r="H852">
            <v>5015432</v>
          </cell>
          <cell r="AK852" t="str">
            <v>Kaylin Kugler</v>
          </cell>
        </row>
        <row r="853">
          <cell r="C853" t="str">
            <v>RBCGABANK_OpExcellence-4</v>
          </cell>
          <cell r="H853">
            <v>5015468</v>
          </cell>
          <cell r="AK853" t="str">
            <v>Kaylin Kugler</v>
          </cell>
        </row>
        <row r="854">
          <cell r="C854" t="str">
            <v>MS_Res_Plan_FMU_Support</v>
          </cell>
          <cell r="H854">
            <v>5015525</v>
          </cell>
          <cell r="AK854" t="str">
            <v>Mike Bertran</v>
          </cell>
        </row>
        <row r="855">
          <cell r="C855" t="str">
            <v>MS_CTB_InScope_Transformation</v>
          </cell>
          <cell r="H855">
            <v>5014428</v>
          </cell>
          <cell r="AK855" t="str">
            <v>Mitali Drews</v>
          </cell>
        </row>
        <row r="856">
          <cell r="C856" t="str">
            <v>MS_CTB CCN003 UK</v>
          </cell>
          <cell r="H856">
            <v>5015641</v>
          </cell>
          <cell r="AK856" t="str">
            <v>Chris Johnston</v>
          </cell>
        </row>
        <row r="857">
          <cell r="C857" t="str">
            <v>FM_Arch as a Service - Ken</v>
          </cell>
          <cell r="H857">
            <v>5015233</v>
          </cell>
          <cell r="AK857" t="str">
            <v>Raj Konduru</v>
          </cell>
        </row>
        <row r="858">
          <cell r="C858" t="str">
            <v>7753-RAS-First National Bank o</v>
          </cell>
          <cell r="H858">
            <v>5030678</v>
          </cell>
          <cell r="AK858" t="str">
            <v>Cristina Arechaga</v>
          </cell>
        </row>
        <row r="859">
          <cell r="C859" t="str">
            <v>AI_Aviva Panther PMO</v>
          </cell>
          <cell r="H859">
            <v>5015492</v>
          </cell>
          <cell r="AK859" t="str">
            <v>DELETED USER</v>
          </cell>
        </row>
        <row r="860">
          <cell r="C860" t="str">
            <v>JPMC_Asset Serv Ext</v>
          </cell>
          <cell r="H860">
            <v>5015202</v>
          </cell>
          <cell r="AK860" t="str">
            <v>Mitali Drews</v>
          </cell>
        </row>
        <row r="861">
          <cell r="C861" t="str">
            <v>TD AMCB_SBIB BillPayDataValdtn</v>
          </cell>
          <cell r="H861">
            <v>5015516</v>
          </cell>
          <cell r="AK861" t="str">
            <v>DELETED USER</v>
          </cell>
        </row>
        <row r="862">
          <cell r="C862" t="str">
            <v>FM_Arch aa Service DS</v>
          </cell>
          <cell r="H862">
            <v>5015497</v>
          </cell>
          <cell r="AK862" t="str">
            <v>DELETED USER</v>
          </cell>
        </row>
        <row r="863">
          <cell r="C863" t="str">
            <v>Jefferies_Compliance</v>
          </cell>
          <cell r="H863">
            <v>5015594</v>
          </cell>
          <cell r="AK863" t="str">
            <v>Mike Drews</v>
          </cell>
        </row>
        <row r="864">
          <cell r="C864" t="str">
            <v>2517-RAS-SouthCrest Bank</v>
          </cell>
          <cell r="H864">
            <v>5030465</v>
          </cell>
          <cell r="AK864" t="str">
            <v>Cristina Arechaga</v>
          </cell>
        </row>
        <row r="865">
          <cell r="C865" t="str">
            <v>99225-RAS-Floco Data</v>
          </cell>
          <cell r="H865">
            <v>5030392</v>
          </cell>
          <cell r="AK865" t="str">
            <v>Cristina Arechaga</v>
          </cell>
        </row>
        <row r="866">
          <cell r="C866" t="str">
            <v>2483-RAS-First Citizens Nation</v>
          </cell>
          <cell r="H866">
            <v>5030461</v>
          </cell>
          <cell r="AK866" t="str">
            <v>Cristina Arechaga</v>
          </cell>
        </row>
        <row r="867">
          <cell r="C867" t="str">
            <v>Jefferies_Risk Solution_2013</v>
          </cell>
          <cell r="H867">
            <v>5014820</v>
          </cell>
          <cell r="AK867" t="str">
            <v>DELETED USER</v>
          </cell>
        </row>
        <row r="868">
          <cell r="C868" t="str">
            <v>Jefferies Vendor Assessment</v>
          </cell>
          <cell r="H868">
            <v>5015227</v>
          </cell>
          <cell r="AK868" t="str">
            <v>DELETED USER</v>
          </cell>
        </row>
        <row r="869">
          <cell r="C869" t="str">
            <v>BMO Harris_CapitalMgmt-AMD9</v>
          </cell>
          <cell r="H869">
            <v>5015573</v>
          </cell>
          <cell r="AK869" t="str">
            <v>DELETED USER</v>
          </cell>
        </row>
        <row r="870">
          <cell r="C870" t="str">
            <v>ML_Murex Upgrd:BnryUpgrd&amp;Tst</v>
          </cell>
          <cell r="H870">
            <v>5015257</v>
          </cell>
          <cell r="AK870" t="str">
            <v>DELETED USER</v>
          </cell>
        </row>
        <row r="871">
          <cell r="C871" t="str">
            <v>FNFG IT Planning Framework</v>
          </cell>
          <cell r="H871">
            <v>5015757</v>
          </cell>
          <cell r="AK871" t="str">
            <v>Bryce VanDiver</v>
          </cell>
        </row>
        <row r="872">
          <cell r="C872" t="str">
            <v>FM_Dashboard</v>
          </cell>
          <cell r="H872">
            <v>5015758</v>
          </cell>
          <cell r="AK872" t="str">
            <v>DELETED USER</v>
          </cell>
        </row>
        <row r="873">
          <cell r="C873" t="str">
            <v>Jefferies On-boarding</v>
          </cell>
          <cell r="H873">
            <v>5015676</v>
          </cell>
          <cell r="AK873" t="str">
            <v>DELETED USER</v>
          </cell>
        </row>
        <row r="874">
          <cell r="C874" t="str">
            <v>FIS_GlobalOperating Model - P2</v>
          </cell>
          <cell r="H874">
            <v>5015756</v>
          </cell>
          <cell r="AK874" t="str">
            <v>DELETED USER</v>
          </cell>
        </row>
        <row r="875">
          <cell r="C875" t="str">
            <v>TD AMCB_TestMgrSpt-KS-MayJul</v>
          </cell>
          <cell r="H875">
            <v>5015406</v>
          </cell>
          <cell r="AK875" t="str">
            <v>DELETED USER</v>
          </cell>
        </row>
        <row r="876">
          <cell r="C876" t="str">
            <v>7244-RAS-First National Bank A</v>
          </cell>
          <cell r="H876">
            <v>5030623</v>
          </cell>
          <cell r="AK876" t="str">
            <v>Cristina Arechaga</v>
          </cell>
        </row>
        <row r="877">
          <cell r="C877" t="str">
            <v>6996-RAS-Clinton Bank</v>
          </cell>
          <cell r="H877">
            <v>5030663</v>
          </cell>
          <cell r="AK877" t="str">
            <v>Cristina Arechaga</v>
          </cell>
        </row>
        <row r="878">
          <cell r="C878" t="str">
            <v>FMc_IMOCreation_Ph 1</v>
          </cell>
          <cell r="H878">
            <v>5015640</v>
          </cell>
          <cell r="AK878" t="str">
            <v>Kaylin Kugler</v>
          </cell>
        </row>
        <row r="879">
          <cell r="C879" t="str">
            <v>KB_Credit RiskReporting Phase5</v>
          </cell>
          <cell r="H879">
            <v>5015772</v>
          </cell>
          <cell r="AK879" t="str">
            <v>DELETED USER</v>
          </cell>
        </row>
        <row r="880">
          <cell r="C880" t="str">
            <v>Jefferies_FATCA</v>
          </cell>
          <cell r="H880">
            <v>5015168</v>
          </cell>
          <cell r="AK880" t="str">
            <v>Mike Bertran</v>
          </cell>
        </row>
        <row r="881">
          <cell r="C881" t="str">
            <v>5375-RAS-South Side Trust &amp; Sa</v>
          </cell>
          <cell r="H881">
            <v>5030593</v>
          </cell>
          <cell r="AK881" t="str">
            <v>Cristina Arechaga</v>
          </cell>
        </row>
        <row r="882">
          <cell r="C882" t="str">
            <v>2385-RAS-BancorpSouth Bank</v>
          </cell>
          <cell r="H882">
            <v>5030448</v>
          </cell>
          <cell r="AK882" t="str">
            <v>Cristina Arechaga</v>
          </cell>
        </row>
        <row r="883">
          <cell r="C883" t="str">
            <v>2351-RAS-Cross County Bank</v>
          </cell>
          <cell r="H883">
            <v>5030442</v>
          </cell>
          <cell r="AK883" t="str">
            <v>Cristina Arechaga</v>
          </cell>
        </row>
        <row r="884">
          <cell r="C884" t="str">
            <v>TD Bank NA_FTMA BA-VA-MayAug</v>
          </cell>
          <cell r="H884">
            <v>5015840</v>
          </cell>
          <cell r="AK884" t="str">
            <v>Gregg Henzel</v>
          </cell>
        </row>
        <row r="885">
          <cell r="C885" t="str">
            <v>TD Bank NA_FTMA BA-MD-MayAug</v>
          </cell>
          <cell r="H885">
            <v>5015841</v>
          </cell>
          <cell r="AK885" t="str">
            <v>Gregg Henzel</v>
          </cell>
        </row>
        <row r="886">
          <cell r="C886" t="str">
            <v>AXAR_ICC Services</v>
          </cell>
          <cell r="H886">
            <v>5009993</v>
          </cell>
          <cell r="AK886" t="str">
            <v>DELETED USER</v>
          </cell>
        </row>
        <row r="887">
          <cell r="C887" t="str">
            <v>ML_Murex Upgrade Completion</v>
          </cell>
          <cell r="H887">
            <v>5015651</v>
          </cell>
          <cell r="AK887" t="str">
            <v>DELETED USER</v>
          </cell>
        </row>
        <row r="888">
          <cell r="C888" t="str">
            <v>TD Bank NA_FTMA BA -SS-MayAug</v>
          </cell>
          <cell r="H888">
            <v>5015839</v>
          </cell>
          <cell r="AK888" t="str">
            <v>Gregg Henzel</v>
          </cell>
        </row>
        <row r="889">
          <cell r="C889" t="str">
            <v>UB_BBG Staff Augmentation</v>
          </cell>
          <cell r="H889">
            <v>5015945</v>
          </cell>
          <cell r="AK889" t="str">
            <v>Michael Tao</v>
          </cell>
        </row>
        <row r="890">
          <cell r="C890" t="str">
            <v>HSBC_Risk Transfn Progr Supp</v>
          </cell>
          <cell r="H890">
            <v>5015876</v>
          </cell>
          <cell r="AK890" t="str">
            <v>Mike Bertran</v>
          </cell>
        </row>
        <row r="891">
          <cell r="C891" t="str">
            <v>FNF_IT Cost Take Out</v>
          </cell>
          <cell r="H891">
            <v>5015843</v>
          </cell>
          <cell r="AK891" t="str">
            <v>DELETED USER</v>
          </cell>
        </row>
        <row r="892">
          <cell r="C892" t="str">
            <v>Bridgewater_Aaas Ext</v>
          </cell>
          <cell r="H892">
            <v>5016086</v>
          </cell>
          <cell r="AK892" t="str">
            <v>Matt Markham</v>
          </cell>
        </row>
        <row r="893">
          <cell r="C893" t="str">
            <v>Jefferies_Workflow Net</v>
          </cell>
          <cell r="H893">
            <v>5015846</v>
          </cell>
          <cell r="AK893" t="str">
            <v>DELETED USER</v>
          </cell>
        </row>
        <row r="894">
          <cell r="C894" t="str">
            <v>63531-RAS-Staunton Financial</v>
          </cell>
          <cell r="H894">
            <v>5030386</v>
          </cell>
          <cell r="AK894" t="str">
            <v>Cristina Arechaga</v>
          </cell>
        </row>
        <row r="895">
          <cell r="C895" t="str">
            <v>BW_HR OutsourcingAnalysisPhase</v>
          </cell>
          <cell r="H895">
            <v>5015845</v>
          </cell>
          <cell r="AK895" t="str">
            <v>Matt Markham</v>
          </cell>
        </row>
        <row r="896">
          <cell r="C896" t="str">
            <v>BW_Delivery Manager</v>
          </cell>
          <cell r="H896">
            <v>5016117</v>
          </cell>
          <cell r="AK896" t="str">
            <v>Matt Markham</v>
          </cell>
        </row>
        <row r="897">
          <cell r="C897" t="str">
            <v>Penn East-MQC</v>
          </cell>
          <cell r="H897">
            <v>5029604</v>
          </cell>
          <cell r="AK897" t="str">
            <v>Cristina Arechaga</v>
          </cell>
        </row>
        <row r="898">
          <cell r="C898" t="str">
            <v>MS_2013_Res_Plan_Ops Support</v>
          </cell>
          <cell r="H898">
            <v>5016203</v>
          </cell>
          <cell r="AK898" t="str">
            <v>Mike Bertran</v>
          </cell>
        </row>
        <row r="899">
          <cell r="C899" t="str">
            <v>KB_Financial Reporting(Phase1)</v>
          </cell>
          <cell r="H899">
            <v>5016210</v>
          </cell>
          <cell r="AK899" t="str">
            <v>DELETED USER</v>
          </cell>
        </row>
        <row r="900">
          <cell r="C900" t="str">
            <v>JPMC_Mitali Ext</v>
          </cell>
          <cell r="H900">
            <v>5015661</v>
          </cell>
          <cell r="AK900" t="str">
            <v>Mitali Drews</v>
          </cell>
        </row>
        <row r="901">
          <cell r="C901" t="str">
            <v>Jefferies_DoddFrankCompliance</v>
          </cell>
          <cell r="H901">
            <v>5016499</v>
          </cell>
          <cell r="AK901" t="str">
            <v>Mike Drews</v>
          </cell>
        </row>
        <row r="902">
          <cell r="C902" t="str">
            <v>JPMC_Employee Compensation</v>
          </cell>
          <cell r="H902">
            <v>5015729</v>
          </cell>
          <cell r="AK902" t="str">
            <v>Kapin Vora</v>
          </cell>
        </row>
        <row r="903">
          <cell r="C903" t="str">
            <v>8632-RAS-Texas Bank &amp; Trust Co</v>
          </cell>
          <cell r="H903">
            <v>5030714</v>
          </cell>
          <cell r="AK903" t="str">
            <v>Cristina Arechaga</v>
          </cell>
        </row>
        <row r="904">
          <cell r="C904" t="str">
            <v>Jefferies_GMI</v>
          </cell>
          <cell r="H904">
            <v>5016213</v>
          </cell>
          <cell r="AK904" t="str">
            <v>DELETED USER</v>
          </cell>
        </row>
        <row r="905">
          <cell r="C905" t="str">
            <v>FM_Strategic Plan</v>
          </cell>
          <cell r="H905">
            <v>5016048</v>
          </cell>
          <cell r="AK905" t="str">
            <v>DELETED USER</v>
          </cell>
        </row>
        <row r="906">
          <cell r="C906" t="str">
            <v>FM_CEP Auto Test Harness</v>
          </cell>
          <cell r="H906">
            <v>5015954</v>
          </cell>
          <cell r="AK906" t="str">
            <v>DELETED USER</v>
          </cell>
        </row>
        <row r="907">
          <cell r="C907" t="str">
            <v>Jefferies Vendor Assessment</v>
          </cell>
          <cell r="H907">
            <v>5016270</v>
          </cell>
          <cell r="AK907" t="str">
            <v>DELETED USER</v>
          </cell>
        </row>
        <row r="908">
          <cell r="C908" t="str">
            <v>Citi_TTS Extension</v>
          </cell>
          <cell r="H908">
            <v>5016134</v>
          </cell>
          <cell r="AK908" t="str">
            <v>DELETED USER</v>
          </cell>
        </row>
        <row r="909">
          <cell r="C909" t="str">
            <v>FIS_GFI13 ImplementationSupprt</v>
          </cell>
          <cell r="H909">
            <v>5016271</v>
          </cell>
          <cell r="AK909" t="str">
            <v>DELETED USER</v>
          </cell>
        </row>
        <row r="910">
          <cell r="C910" t="str">
            <v>Bridgewater_Recruiting Target</v>
          </cell>
          <cell r="H910">
            <v>5016211</v>
          </cell>
          <cell r="AK910" t="str">
            <v>Matt Markham</v>
          </cell>
        </row>
        <row r="911">
          <cell r="C911" t="str">
            <v>Bridgewater_Support Associate</v>
          </cell>
          <cell r="H911">
            <v>5016369</v>
          </cell>
          <cell r="AK911" t="str">
            <v>Matt Markham</v>
          </cell>
        </row>
        <row r="912">
          <cell r="C912" t="str">
            <v>Barclays_Artemis Phase 3</v>
          </cell>
          <cell r="H912">
            <v>5015738</v>
          </cell>
          <cell r="AK912" t="str">
            <v>Kapin Vora</v>
          </cell>
        </row>
        <row r="913">
          <cell r="C913" t="str">
            <v>ICBC_Deposits Processes</v>
          </cell>
          <cell r="H913">
            <v>5015551</v>
          </cell>
          <cell r="AK913" t="str">
            <v>DELETED USER</v>
          </cell>
        </row>
        <row r="914">
          <cell r="C914" t="str">
            <v>KB Carts IP</v>
          </cell>
          <cell r="H914">
            <v>5016758</v>
          </cell>
          <cell r="AK914" t="str">
            <v>DELETED USER</v>
          </cell>
        </row>
        <row r="915">
          <cell r="C915" t="str">
            <v>KB_CC_2013_Q3</v>
          </cell>
          <cell r="H915">
            <v>5014357</v>
          </cell>
          <cell r="AK915" t="str">
            <v>DELETED USER</v>
          </cell>
        </row>
        <row r="916">
          <cell r="C916" t="str">
            <v>FNFG_Test Mgr ext 2</v>
          </cell>
          <cell r="H916">
            <v>5016441</v>
          </cell>
          <cell r="AK916" t="str">
            <v>DELETED USER</v>
          </cell>
        </row>
        <row r="917">
          <cell r="C917" t="str">
            <v>JPMC_Online Brokerage</v>
          </cell>
          <cell r="H917">
            <v>5015736</v>
          </cell>
          <cell r="AK917" t="str">
            <v>Kapin Vora</v>
          </cell>
        </row>
        <row r="918">
          <cell r="C918" t="str">
            <v>MS_Asset Protection Initiative</v>
          </cell>
          <cell r="H918">
            <v>5016136</v>
          </cell>
          <cell r="AK918" t="str">
            <v>DELETED USER</v>
          </cell>
        </row>
        <row r="919">
          <cell r="C919" t="str">
            <v>MetLife_AD H2 Extension</v>
          </cell>
          <cell r="H919">
            <v>5016244</v>
          </cell>
          <cell r="AK919" t="str">
            <v>DELETED USER</v>
          </cell>
        </row>
        <row r="920">
          <cell r="C920" t="str">
            <v>Aviva Investors_AmericasPMOPh2</v>
          </cell>
          <cell r="H920">
            <v>5039620</v>
          </cell>
          <cell r="AK920" t="str">
            <v>Rebecca Breland</v>
          </cell>
        </row>
        <row r="921">
          <cell r="C921" t="str">
            <v>MS CTB-Additional Qrtrly Roles</v>
          </cell>
          <cell r="H921">
            <v>5016576</v>
          </cell>
          <cell r="AK921" t="str">
            <v>DELETED USER</v>
          </cell>
        </row>
        <row r="922">
          <cell r="C922" t="str">
            <v>Aviva Investors_AmericasPMOPh2</v>
          </cell>
          <cell r="H922">
            <v>5016436</v>
          </cell>
          <cell r="AK922" t="str">
            <v>DELETED USER</v>
          </cell>
        </row>
        <row r="923">
          <cell r="C923" t="str">
            <v>FM_ESS PM Service</v>
          </cell>
          <cell r="H923">
            <v>5016349</v>
          </cell>
          <cell r="AK923" t="str">
            <v>Richard Rhodes</v>
          </cell>
        </row>
        <row r="924">
          <cell r="C924" t="str">
            <v>12975-RAS-HomeTown Bank</v>
          </cell>
          <cell r="H924">
            <v>5030890</v>
          </cell>
          <cell r="AK924" t="str">
            <v>Cristina Arechaga</v>
          </cell>
        </row>
        <row r="925">
          <cell r="C925" t="str">
            <v>Citi_TTS Phase 2</v>
          </cell>
          <cell r="H925">
            <v>5016749</v>
          </cell>
          <cell r="AK925" t="str">
            <v>DELETED USER</v>
          </cell>
        </row>
        <row r="926">
          <cell r="C926" t="str">
            <v>FNF_LPS Synergy Identification</v>
          </cell>
          <cell r="H926">
            <v>5016197</v>
          </cell>
          <cell r="AK926" t="str">
            <v>DELETED USER</v>
          </cell>
        </row>
        <row r="927">
          <cell r="C927" t="str">
            <v>BC_Barclays Operational Risk</v>
          </cell>
          <cell r="H927">
            <v>5016687</v>
          </cell>
          <cell r="AK927" t="str">
            <v>DELETED USER</v>
          </cell>
        </row>
        <row r="928">
          <cell r="C928" t="str">
            <v>FM_IT Governance Rationalizatn</v>
          </cell>
          <cell r="H928">
            <v>5016428</v>
          </cell>
          <cell r="AK928" t="str">
            <v>DELETED USER</v>
          </cell>
        </row>
        <row r="929">
          <cell r="C929" t="str">
            <v>FM_LAI Trans adv p1</v>
          </cell>
          <cell r="H929">
            <v>5016317</v>
          </cell>
          <cell r="AK929" t="str">
            <v>Kevin Wells</v>
          </cell>
        </row>
        <row r="930">
          <cell r="C930" t="str">
            <v>FM_EDR Physical Modeler</v>
          </cell>
          <cell r="H930">
            <v>5016430</v>
          </cell>
          <cell r="AK930" t="str">
            <v>DELETED USER</v>
          </cell>
        </row>
        <row r="931">
          <cell r="C931" t="str">
            <v>Jefferies_DueDilligenceTech</v>
          </cell>
          <cell r="H931">
            <v>5016579</v>
          </cell>
          <cell r="AK931" t="str">
            <v>DELETED USER</v>
          </cell>
        </row>
        <row r="932">
          <cell r="C932" t="str">
            <v>KB_Back-office support</v>
          </cell>
          <cell r="H932">
            <v>5015773</v>
          </cell>
          <cell r="AK932" t="str">
            <v>DELETED USER</v>
          </cell>
        </row>
        <row r="933">
          <cell r="C933" t="str">
            <v>FN_CLOS Performance Testing</v>
          </cell>
          <cell r="H933">
            <v>5016565</v>
          </cell>
          <cell r="AK933" t="str">
            <v>DELETED USER</v>
          </cell>
        </row>
        <row r="934">
          <cell r="C934" t="str">
            <v>BC_Artemis Core Implementation</v>
          </cell>
          <cell r="H934">
            <v>5017095</v>
          </cell>
          <cell r="AK934" t="str">
            <v>DELETED USER</v>
          </cell>
        </row>
        <row r="935">
          <cell r="C935" t="str">
            <v>BarCap_Artemis Backfills</v>
          </cell>
          <cell r="H935">
            <v>5016553</v>
          </cell>
          <cell r="AK935" t="str">
            <v>Kapin Vora</v>
          </cell>
        </row>
        <row r="936">
          <cell r="C936" t="str">
            <v>Jefferies_Due Dilligence Ops</v>
          </cell>
          <cell r="H936">
            <v>5016413</v>
          </cell>
          <cell r="AK936" t="str">
            <v>DELETED USER</v>
          </cell>
        </row>
        <row r="937">
          <cell r="C937" t="str">
            <v>UB_Retail Initiative  Inventor</v>
          </cell>
          <cell r="H937">
            <v>5016224</v>
          </cell>
          <cell r="AK937" t="str">
            <v>DELETED USER</v>
          </cell>
        </row>
        <row r="938">
          <cell r="C938" t="str">
            <v>FNF_Process Automation</v>
          </cell>
          <cell r="H938">
            <v>5016198</v>
          </cell>
          <cell r="AK938" t="str">
            <v>Karl Augenstein</v>
          </cell>
        </row>
        <row r="939">
          <cell r="C939" t="str">
            <v>FM_Loan Sourcing Data</v>
          </cell>
          <cell r="H939">
            <v>5016350</v>
          </cell>
          <cell r="AK939" t="str">
            <v>DELETED USER</v>
          </cell>
        </row>
        <row r="940">
          <cell r="C940" t="str">
            <v>MS_Gladiator 2013 2nd half</v>
          </cell>
          <cell r="H940">
            <v>5015229</v>
          </cell>
          <cell r="AK940" t="str">
            <v>Mike Bertran</v>
          </cell>
        </row>
        <row r="941">
          <cell r="C941" t="str">
            <v>Jefferies_GMI UAT</v>
          </cell>
          <cell r="H941">
            <v>5016782</v>
          </cell>
          <cell r="AK941" t="str">
            <v>DELETED USER</v>
          </cell>
        </row>
        <row r="942">
          <cell r="C942" t="str">
            <v>JPMC_CWM Workstation Ext</v>
          </cell>
          <cell r="H942">
            <v>5016794</v>
          </cell>
          <cell r="AK942" t="str">
            <v>Kapin Vora</v>
          </cell>
        </row>
        <row r="943">
          <cell r="C943" t="str">
            <v>UB_Debit Card Migration Implem</v>
          </cell>
          <cell r="H943">
            <v>5011907</v>
          </cell>
          <cell r="AK943" t="str">
            <v>Scott Jurgensen</v>
          </cell>
        </row>
        <row r="944">
          <cell r="C944" t="str">
            <v>WF_Credit Risk Model Doc</v>
          </cell>
          <cell r="H944">
            <v>5016651</v>
          </cell>
          <cell r="AK944" t="str">
            <v>DELETED USER</v>
          </cell>
        </row>
        <row r="945">
          <cell r="C945" t="str">
            <v>Jefferies_Client Onboarding</v>
          </cell>
          <cell r="H945">
            <v>5016516</v>
          </cell>
          <cell r="AK945" t="str">
            <v>DELETED USER</v>
          </cell>
        </row>
        <row r="946">
          <cell r="C946" t="str">
            <v>LPL_Trading Implementation Ph1</v>
          </cell>
          <cell r="H946">
            <v>5016596</v>
          </cell>
          <cell r="AK946" t="str">
            <v>DELETED USER</v>
          </cell>
        </row>
        <row r="947">
          <cell r="C947" t="str">
            <v>Operational Risk PMO</v>
          </cell>
          <cell r="H947">
            <v>5016787</v>
          </cell>
          <cell r="AK947" t="str">
            <v>DELETED USER</v>
          </cell>
        </row>
        <row r="948">
          <cell r="C948" t="str">
            <v>UB_Reg Reporting Req RFP</v>
          </cell>
          <cell r="H948">
            <v>5015158</v>
          </cell>
          <cell r="AK948" t="str">
            <v>DELETED USER</v>
          </cell>
        </row>
        <row r="949">
          <cell r="C949" t="str">
            <v>10593-RAS-Avenue Bank</v>
          </cell>
          <cell r="H949">
            <v>5030805</v>
          </cell>
          <cell r="AK949" t="str">
            <v>Cristina Arechaga</v>
          </cell>
        </row>
        <row r="950">
          <cell r="C950" t="str">
            <v>BMO Harris_CreditRiskRprtngDoc</v>
          </cell>
          <cell r="H950">
            <v>5016830</v>
          </cell>
          <cell r="AK950" t="str">
            <v>DELETED USER</v>
          </cell>
        </row>
        <row r="951">
          <cell r="C951" t="str">
            <v>FM_ESS Process Work</v>
          </cell>
          <cell r="H951">
            <v>5016748</v>
          </cell>
          <cell r="AK951" t="str">
            <v>Richard Rhodes</v>
          </cell>
        </row>
        <row r="952">
          <cell r="C952" t="str">
            <v>FM_MF-PMaaS</v>
          </cell>
          <cell r="H952">
            <v>5016223</v>
          </cell>
          <cell r="AK952" t="str">
            <v>DELETED USER</v>
          </cell>
        </row>
        <row r="953">
          <cell r="C953" t="str">
            <v>FM_CCP Phase 2</v>
          </cell>
          <cell r="H953">
            <v>5014835</v>
          </cell>
          <cell r="AK953" t="str">
            <v>DELETED USER</v>
          </cell>
        </row>
        <row r="954">
          <cell r="C954" t="str">
            <v>FM_Data Team</v>
          </cell>
          <cell r="H954">
            <v>5015931</v>
          </cell>
          <cell r="AK954" t="str">
            <v>DELETED USER</v>
          </cell>
        </row>
        <row r="955">
          <cell r="C955" t="str">
            <v>FM_LD Redesign</v>
          </cell>
          <cell r="H955">
            <v>5015926</v>
          </cell>
          <cell r="AK955" t="str">
            <v>DELETED USER</v>
          </cell>
        </row>
        <row r="956">
          <cell r="C956" t="str">
            <v>TD Bank NA_FTMA BA -MD-AugOct</v>
          </cell>
          <cell r="H956">
            <v>5016756</v>
          </cell>
          <cell r="AK956" t="str">
            <v>Gregg Henzel</v>
          </cell>
        </row>
        <row r="957">
          <cell r="C957" t="str">
            <v>TD Bank NA_FTMA BA -SS-AugOct</v>
          </cell>
          <cell r="H957">
            <v>5016754</v>
          </cell>
          <cell r="AK957" t="str">
            <v>Gregg Henzel</v>
          </cell>
        </row>
        <row r="958">
          <cell r="C958" t="str">
            <v>TD Bank NA_FTMA BA -VA-AugOct</v>
          </cell>
          <cell r="H958">
            <v>5016755</v>
          </cell>
          <cell r="AK958" t="str">
            <v>Gregg Henzel</v>
          </cell>
        </row>
        <row r="959">
          <cell r="C959" t="str">
            <v>12578-RAS-Middlesex Federal Sa</v>
          </cell>
          <cell r="H959">
            <v>5030828</v>
          </cell>
          <cell r="AK959" t="str">
            <v>Cristina Arechaga</v>
          </cell>
        </row>
        <row r="960">
          <cell r="C960" t="str">
            <v>Jefferies_CompliancSurveillanc</v>
          </cell>
          <cell r="H960">
            <v>5016412</v>
          </cell>
          <cell r="AK960" t="str">
            <v>Mike Bertran</v>
          </cell>
        </row>
        <row r="961">
          <cell r="C961" t="str">
            <v>100690-RAS-Springleaf General</v>
          </cell>
          <cell r="H961">
            <v>5030395</v>
          </cell>
          <cell r="AK961" t="str">
            <v>Cristina Arechaga</v>
          </cell>
        </row>
        <row r="962">
          <cell r="C962" t="str">
            <v>Goldman-MQC</v>
          </cell>
          <cell r="H962">
            <v>5029584</v>
          </cell>
          <cell r="AK962" t="str">
            <v>Cristina Arechaga</v>
          </cell>
        </row>
        <row r="963">
          <cell r="C963" t="str">
            <v>Goldman-Special Projects</v>
          </cell>
          <cell r="H963">
            <v>5029790</v>
          </cell>
          <cell r="AK963" t="str">
            <v>DELETED USER</v>
          </cell>
        </row>
        <row r="964">
          <cell r="C964" t="str">
            <v>KB CARTS Phase 6</v>
          </cell>
          <cell r="H964">
            <v>5015776</v>
          </cell>
          <cell r="AK964" t="str">
            <v>DELETED USER</v>
          </cell>
        </row>
        <row r="965">
          <cell r="C965" t="str">
            <v>MS_Gladiator Extension Sept-De</v>
          </cell>
          <cell r="H965">
            <v>5016975</v>
          </cell>
          <cell r="AK965" t="str">
            <v>Mike Bertran</v>
          </cell>
        </row>
        <row r="966">
          <cell r="C966" t="str">
            <v>FM_CTB PM Service</v>
          </cell>
          <cell r="H966">
            <v>5016872</v>
          </cell>
          <cell r="AK966" t="str">
            <v>DELETED USER</v>
          </cell>
        </row>
        <row r="967">
          <cell r="C967" t="str">
            <v>Barclays_ArtemisResourceSuppor</v>
          </cell>
          <cell r="H967">
            <v>5017122</v>
          </cell>
          <cell r="AK967" t="str">
            <v>Kapin Vora</v>
          </cell>
        </row>
        <row r="968">
          <cell r="C968" t="str">
            <v>Jefferies_GMI Extension</v>
          </cell>
          <cell r="H968">
            <v>5016857</v>
          </cell>
          <cell r="AK968" t="str">
            <v>DELETED USER</v>
          </cell>
        </row>
        <row r="969">
          <cell r="C969" t="str">
            <v>FM PM ESS Farzan</v>
          </cell>
          <cell r="H969">
            <v>5016860</v>
          </cell>
          <cell r="AK969" t="str">
            <v>Richard Rhodes</v>
          </cell>
        </row>
        <row r="970">
          <cell r="C970" t="str">
            <v>9445-RAS-Virginia National Ban</v>
          </cell>
          <cell r="H970">
            <v>5030748</v>
          </cell>
          <cell r="AK970" t="str">
            <v>Cristina Arechaga</v>
          </cell>
        </row>
        <row r="971">
          <cell r="C971" t="str">
            <v>8728-RAS-Crescent Bank &amp; Trust</v>
          </cell>
          <cell r="H971">
            <v>5030718</v>
          </cell>
          <cell r="AK971" t="str">
            <v>Cristina Arechaga</v>
          </cell>
        </row>
        <row r="972">
          <cell r="C972" t="str">
            <v>LPL - Resource Center</v>
          </cell>
          <cell r="H972">
            <v>5017136</v>
          </cell>
          <cell r="AK972" t="str">
            <v>Phil Kerkel</v>
          </cell>
        </row>
        <row r="973">
          <cell r="C973" t="str">
            <v>KB_Capital Market Compliance</v>
          </cell>
          <cell r="H973">
            <v>5017147</v>
          </cell>
          <cell r="AK973" t="str">
            <v>DELETED USER</v>
          </cell>
        </row>
        <row r="974">
          <cell r="C974" t="str">
            <v>FM_ESS PM Rogers</v>
          </cell>
          <cell r="H974">
            <v>5016915</v>
          </cell>
          <cell r="AK974" t="str">
            <v>Richard Rhodes</v>
          </cell>
        </row>
        <row r="975">
          <cell r="C975" t="str">
            <v>LPL Trust Platform</v>
          </cell>
          <cell r="H975">
            <v>5017099</v>
          </cell>
          <cell r="AK975" t="str">
            <v>Phil Kerkel</v>
          </cell>
        </row>
        <row r="976">
          <cell r="C976" t="str">
            <v>27357-RAS-First Bank of Greenw</v>
          </cell>
          <cell r="H976">
            <v>5030348</v>
          </cell>
          <cell r="AK976" t="str">
            <v>Cristina Arechaga</v>
          </cell>
        </row>
        <row r="977">
          <cell r="C977" t="str">
            <v>FM_SI&amp;O Integrated Testing RFP</v>
          </cell>
          <cell r="H977">
            <v>5016554</v>
          </cell>
          <cell r="AK977" t="str">
            <v>DELETED USER</v>
          </cell>
        </row>
        <row r="978">
          <cell r="C978" t="str">
            <v>UB_Project Arcee Concept Dsgn</v>
          </cell>
          <cell r="H978">
            <v>5017150</v>
          </cell>
          <cell r="AK978" t="str">
            <v>Michael Tao</v>
          </cell>
        </row>
        <row r="979">
          <cell r="C979" t="str">
            <v>FM_LD Redesign phase 1</v>
          </cell>
          <cell r="H979">
            <v>5016916</v>
          </cell>
          <cell r="AK979" t="str">
            <v>DELETED USER</v>
          </cell>
        </row>
        <row r="980">
          <cell r="C980" t="str">
            <v>FNF- LPS Pre-Intgrtn Planning</v>
          </cell>
          <cell r="H980">
            <v>5016859</v>
          </cell>
          <cell r="AK980" t="str">
            <v>DELETED USER</v>
          </cell>
        </row>
        <row r="981">
          <cell r="C981" t="str">
            <v>12922-RAS-Mayville Savings Ban</v>
          </cell>
          <cell r="H981">
            <v>5030888</v>
          </cell>
          <cell r="AK981" t="str">
            <v>Cristina Arechaga</v>
          </cell>
        </row>
        <row r="982">
          <cell r="C982" t="str">
            <v>9694-RAS-Bank of Jamestown</v>
          </cell>
          <cell r="H982">
            <v>5030762</v>
          </cell>
          <cell r="AK982" t="str">
            <v>Cristina Arechaga</v>
          </cell>
        </row>
        <row r="983">
          <cell r="C983" t="str">
            <v>Barclays _OCPT</v>
          </cell>
          <cell r="H983">
            <v>5015734</v>
          </cell>
          <cell r="AK983" t="str">
            <v>DELETED USER</v>
          </cell>
        </row>
        <row r="984">
          <cell r="C984" t="str">
            <v>MS_Finance IT - FINREP</v>
          </cell>
          <cell r="H984">
            <v>5017119</v>
          </cell>
          <cell r="AK984" t="str">
            <v>DELETED USER</v>
          </cell>
        </row>
        <row r="985">
          <cell r="C985" t="str">
            <v>GS_Mexico BD Compliance</v>
          </cell>
          <cell r="H985">
            <v>5017043</v>
          </cell>
          <cell r="AK985" t="str">
            <v>DELETED USER</v>
          </cell>
        </row>
        <row r="986">
          <cell r="C986" t="str">
            <v>KB_CC_2013_Q4</v>
          </cell>
          <cell r="H986">
            <v>5014358</v>
          </cell>
          <cell r="AK986" t="str">
            <v>DELETED USER</v>
          </cell>
        </row>
        <row r="987">
          <cell r="C987" t="str">
            <v>MS Clearing House</v>
          </cell>
          <cell r="H987">
            <v>5017168</v>
          </cell>
          <cell r="AK987" t="str">
            <v>DELETED USER</v>
          </cell>
        </row>
        <row r="988">
          <cell r="C988" t="str">
            <v>LPL Trade Platform Phase 1 Bus</v>
          </cell>
          <cell r="H988">
            <v>5017194</v>
          </cell>
          <cell r="AK988" t="str">
            <v>DELETED USER</v>
          </cell>
        </row>
        <row r="989">
          <cell r="C989" t="str">
            <v>JPMC_Asset Serv Ext</v>
          </cell>
          <cell r="H989">
            <v>5016856</v>
          </cell>
          <cell r="AK989" t="str">
            <v>Mitali Drews</v>
          </cell>
        </row>
        <row r="990">
          <cell r="C990" t="str">
            <v>2861-RAS-Farmers &amp; Merchants B</v>
          </cell>
          <cell r="H990">
            <v>5030490</v>
          </cell>
          <cell r="AK990" t="str">
            <v>Cristina Arechaga</v>
          </cell>
        </row>
        <row r="991">
          <cell r="C991" t="str">
            <v>5582-RAS-Farmers &amp; Merchants B</v>
          </cell>
          <cell r="H991">
            <v>5030633</v>
          </cell>
          <cell r="AK991" t="str">
            <v>Cristina Arechaga</v>
          </cell>
        </row>
        <row r="992">
          <cell r="C992" t="str">
            <v>11563-RAS-Farmers &amp; Merchants</v>
          </cell>
          <cell r="H992">
            <v>5030843</v>
          </cell>
          <cell r="AK992" t="str">
            <v>Cristina Arechaga</v>
          </cell>
        </row>
        <row r="993">
          <cell r="C993" t="str">
            <v>BW_CoreTech Recruit QA Extxn</v>
          </cell>
          <cell r="H993">
            <v>5017339</v>
          </cell>
          <cell r="AK993" t="str">
            <v>Matt Markham</v>
          </cell>
        </row>
        <row r="994">
          <cell r="C994" t="str">
            <v>BW_CoreTech Recruiting QA</v>
          </cell>
          <cell r="H994">
            <v>5017339</v>
          </cell>
          <cell r="AK994" t="str">
            <v>Matt Markham</v>
          </cell>
        </row>
        <row r="995">
          <cell r="C995" t="str">
            <v>JPMC_Tri-Party Ext</v>
          </cell>
          <cell r="H995">
            <v>5016952</v>
          </cell>
          <cell r="AK995" t="str">
            <v>Mitali Drews</v>
          </cell>
        </row>
        <row r="996">
          <cell r="C996" t="str">
            <v>US Bank Wealth lending re-engi</v>
          </cell>
          <cell r="H996">
            <v>5017085</v>
          </cell>
          <cell r="AK996" t="str">
            <v>DELETED USER</v>
          </cell>
        </row>
        <row r="997">
          <cell r="C997" t="str">
            <v>KB_FRY-14 Reg Reporting</v>
          </cell>
          <cell r="H997">
            <v>5017138</v>
          </cell>
          <cell r="AK997" t="str">
            <v>DELETED USER</v>
          </cell>
        </row>
        <row r="998">
          <cell r="C998" t="str">
            <v>9542-RAS-Liberty Bank</v>
          </cell>
          <cell r="H998">
            <v>5030753</v>
          </cell>
          <cell r="AK998" t="str">
            <v>Cristina Arechaga</v>
          </cell>
        </row>
        <row r="999">
          <cell r="C999" t="str">
            <v>MS_Proj_Gladiator_2013</v>
          </cell>
          <cell r="H999">
            <v>5017404</v>
          </cell>
          <cell r="AK999" t="str">
            <v>Iruka Brown</v>
          </cell>
        </row>
        <row r="1000">
          <cell r="C1000" t="str">
            <v>9827-RAS-Israel Discount Bank</v>
          </cell>
          <cell r="H1000">
            <v>5030767</v>
          </cell>
          <cell r="AK1000" t="str">
            <v>Cristina Arechaga</v>
          </cell>
        </row>
        <row r="1001">
          <cell r="C1001" t="str">
            <v>FM_EPMO Gover &amp; Exec Lead</v>
          </cell>
          <cell r="H1001">
            <v>5017487</v>
          </cell>
          <cell r="AK1001" t="str">
            <v>Michelle Fambro</v>
          </cell>
        </row>
        <row r="1002">
          <cell r="C1002" t="str">
            <v>FrMc CSP Data Dictionary Amd4</v>
          </cell>
          <cell r="H1002">
            <v>5017196</v>
          </cell>
          <cell r="AK1002" t="str">
            <v>Raj Konduru</v>
          </cell>
        </row>
        <row r="1003">
          <cell r="C1003" t="str">
            <v>Citi_Asset Optim (Phase I)</v>
          </cell>
          <cell r="H1003">
            <v>5017453</v>
          </cell>
          <cell r="AK1003" t="str">
            <v>DELETED USER</v>
          </cell>
        </row>
        <row r="1004">
          <cell r="C1004" t="str">
            <v>FIS Infrastructure Strategy</v>
          </cell>
          <cell r="H1004">
            <v>5017401</v>
          </cell>
          <cell r="AK1004" t="str">
            <v>DELETED USER</v>
          </cell>
        </row>
        <row r="1005">
          <cell r="C1005" t="str">
            <v>Freddie_IMO Creation Ph3</v>
          </cell>
          <cell r="H1005">
            <v>5017070</v>
          </cell>
          <cell r="AK1005" t="str">
            <v>John Gubala</v>
          </cell>
        </row>
        <row r="1006">
          <cell r="C1006" t="str">
            <v>CSP LI March - Oct 15 Biz</v>
          </cell>
          <cell r="H1006">
            <v>5017070</v>
          </cell>
          <cell r="AK1006" t="str">
            <v>John Gubala</v>
          </cell>
        </row>
        <row r="1007">
          <cell r="C1007" t="str">
            <v>FrMc CSP Data Dictionary</v>
          </cell>
          <cell r="H1007">
            <v>5017196</v>
          </cell>
          <cell r="AK1007" t="str">
            <v>Raj Konduru</v>
          </cell>
        </row>
        <row r="1008">
          <cell r="C1008" t="str">
            <v>TD Bank NA_FTMA Bus Analyst-MD</v>
          </cell>
          <cell r="H1008">
            <v>5017478</v>
          </cell>
          <cell r="AK1008" t="str">
            <v>Gregg Henzel</v>
          </cell>
        </row>
        <row r="1009">
          <cell r="C1009" t="str">
            <v>FNF_LPS IT Cost TO &amp; Int PMO</v>
          </cell>
          <cell r="H1009">
            <v>5017615</v>
          </cell>
          <cell r="AK1009" t="str">
            <v>DELETED USER</v>
          </cell>
        </row>
        <row r="1010">
          <cell r="C1010" t="str">
            <v>TD Bank NA_FTMA Bus. An VA</v>
          </cell>
          <cell r="H1010">
            <v>5017472</v>
          </cell>
          <cell r="AK1010" t="str">
            <v>Gregg Henzel</v>
          </cell>
        </row>
        <row r="1011">
          <cell r="C1011" t="str">
            <v>TD AMCB_NA_FTMA Bus Analyst-SS</v>
          </cell>
          <cell r="H1011">
            <v>5017481</v>
          </cell>
          <cell r="AK1011" t="str">
            <v>Gregg Henzel</v>
          </cell>
        </row>
        <row r="1012">
          <cell r="C1012" t="str">
            <v>4030-RAS-Regions Bank</v>
          </cell>
          <cell r="H1012">
            <v>5030512</v>
          </cell>
          <cell r="AK1012" t="str">
            <v>Cristina Arechaga</v>
          </cell>
        </row>
        <row r="1013">
          <cell r="C1013" t="str">
            <v>106149-RAS-Harpeth Financial S</v>
          </cell>
          <cell r="H1013">
            <v>5030396</v>
          </cell>
          <cell r="AK1013" t="str">
            <v>Cristina Arechaga</v>
          </cell>
        </row>
        <row r="1014">
          <cell r="C1014" t="str">
            <v>HSBC_CDCo changeSourcing</v>
          </cell>
          <cell r="H1014">
            <v>5017037</v>
          </cell>
          <cell r="AK1014" t="str">
            <v>DELETED USER</v>
          </cell>
        </row>
        <row r="1015">
          <cell r="C1015" t="str">
            <v>HSBC_PMO</v>
          </cell>
          <cell r="H1015">
            <v>5018059</v>
          </cell>
          <cell r="AK1015" t="str">
            <v>Rahul Govada</v>
          </cell>
        </row>
        <row r="1016">
          <cell r="C1016" t="str">
            <v>BMO Harris_RR Automatn-Impl-DF</v>
          </cell>
          <cell r="H1016">
            <v>5018013</v>
          </cell>
          <cell r="AK1016" t="str">
            <v>DELETED USER</v>
          </cell>
        </row>
        <row r="1017">
          <cell r="C1017" t="str">
            <v>JPMC_Tri-Party Saeed</v>
          </cell>
          <cell r="H1017">
            <v>5016949</v>
          </cell>
          <cell r="AK1017" t="str">
            <v>Mitali Drews</v>
          </cell>
        </row>
        <row r="1018">
          <cell r="C1018" t="str">
            <v>Jefferies_Client Onboarding</v>
          </cell>
          <cell r="H1018">
            <v>5017595</v>
          </cell>
          <cell r="AK1018" t="str">
            <v>DELETED USER</v>
          </cell>
        </row>
        <row r="1019">
          <cell r="C1019" t="str">
            <v>FM_CSP Integration Strat AMD6</v>
          </cell>
          <cell r="H1019">
            <v>5017639</v>
          </cell>
          <cell r="AK1019" t="str">
            <v>DELETED USER</v>
          </cell>
        </row>
        <row r="1020">
          <cell r="C1020" t="str">
            <v>KB_Data Architect Rgupta</v>
          </cell>
          <cell r="H1020">
            <v>5017541</v>
          </cell>
          <cell r="AK1020" t="str">
            <v>DELETED USER</v>
          </cell>
        </row>
        <row r="1021">
          <cell r="C1021" t="str">
            <v>FM_CSP Technical Intg Strategy</v>
          </cell>
          <cell r="H1021">
            <v>5017639</v>
          </cell>
          <cell r="AK1021" t="str">
            <v>DELETED USER</v>
          </cell>
        </row>
        <row r="1022">
          <cell r="C1022" t="str">
            <v>Jefferies_Compliance</v>
          </cell>
          <cell r="H1022">
            <v>5017543</v>
          </cell>
          <cell r="AK1022" t="str">
            <v>Mike Drews</v>
          </cell>
        </row>
        <row r="1023">
          <cell r="C1023" t="str">
            <v>3748-RAS-Bank Hapoalim B.M.</v>
          </cell>
          <cell r="H1023">
            <v>5030552</v>
          </cell>
          <cell r="AK1023" t="str">
            <v>Cristina Arechaga</v>
          </cell>
        </row>
        <row r="1024">
          <cell r="C1024" t="str">
            <v>AMPF_Doc Mngmt Search ph 0</v>
          </cell>
          <cell r="H1024">
            <v>5017133</v>
          </cell>
          <cell r="AK1024" t="str">
            <v>DELETED USER</v>
          </cell>
        </row>
        <row r="1025">
          <cell r="C1025" t="str">
            <v>Jefferies_GMI UAT Ext</v>
          </cell>
          <cell r="H1025">
            <v>5017746</v>
          </cell>
          <cell r="AK1025" t="str">
            <v>DELETED USER</v>
          </cell>
        </row>
        <row r="1026">
          <cell r="C1026" t="str">
            <v>GS_Project Tower</v>
          </cell>
          <cell r="H1026">
            <v>5017643</v>
          </cell>
          <cell r="AK1026" t="str">
            <v>DELETED USER</v>
          </cell>
        </row>
        <row r="1027">
          <cell r="C1027" t="str">
            <v>JPMC_CWM KYC Implementation</v>
          </cell>
          <cell r="H1027">
            <v>5017653</v>
          </cell>
          <cell r="AK1027" t="str">
            <v>Kapin Vora</v>
          </cell>
        </row>
        <row r="1028">
          <cell r="C1028" t="str">
            <v>FM - ESS Strategic Assessment</v>
          </cell>
          <cell r="H1028">
            <v>5017930</v>
          </cell>
          <cell r="AK1028" t="str">
            <v>DELETED USER</v>
          </cell>
        </row>
        <row r="1029">
          <cell r="C1029" t="str">
            <v>Jefferies_Digital</v>
          </cell>
          <cell r="H1029">
            <v>5015655</v>
          </cell>
          <cell r="AK1029" t="str">
            <v>Richard Mlot</v>
          </cell>
        </row>
        <row r="1030">
          <cell r="C1030" t="str">
            <v>FM_MBS Reporting</v>
          </cell>
          <cell r="H1030">
            <v>5018055</v>
          </cell>
          <cell r="AK1030" t="str">
            <v>DELETED USER</v>
          </cell>
        </row>
        <row r="1031">
          <cell r="C1031" t="str">
            <v>FM_Cash Management Analysis</v>
          </cell>
          <cell r="H1031">
            <v>5017837</v>
          </cell>
          <cell r="AK1031" t="str">
            <v>DELETED USER</v>
          </cell>
        </row>
        <row r="1032">
          <cell r="C1032" t="str">
            <v>FM_End to End Testing Phase 2</v>
          </cell>
          <cell r="H1032">
            <v>5017819</v>
          </cell>
          <cell r="AK1032" t="str">
            <v>DELETED USER</v>
          </cell>
        </row>
        <row r="1033">
          <cell r="C1033" t="str">
            <v>KB_Digital PT and EMC Prototyp</v>
          </cell>
          <cell r="H1033">
            <v>5017847</v>
          </cell>
          <cell r="AK1033" t="str">
            <v>Owen Priestley</v>
          </cell>
        </row>
        <row r="1034">
          <cell r="C1034" t="str">
            <v>Citi_CGC AssetOpt-Phase I Ext</v>
          </cell>
          <cell r="H1034">
            <v>5017726</v>
          </cell>
          <cell r="AK1034" t="str">
            <v>DELETED USER</v>
          </cell>
        </row>
        <row r="1035">
          <cell r="C1035" t="str">
            <v>BPD_Popularlinea Digital Strat</v>
          </cell>
          <cell r="H1035">
            <v>5017696</v>
          </cell>
          <cell r="AK1035" t="str">
            <v>Jeff Te</v>
          </cell>
        </row>
        <row r="1036">
          <cell r="C1036" t="str">
            <v>Online Sales Work Stream</v>
          </cell>
          <cell r="H1036">
            <v>5017696</v>
          </cell>
          <cell r="AK1036" t="str">
            <v>Jeff Te</v>
          </cell>
        </row>
        <row r="1037">
          <cell r="C1037" t="str">
            <v>3405-RAS-U.S. Century Bank</v>
          </cell>
          <cell r="H1037">
            <v>5030529</v>
          </cell>
          <cell r="AK1037" t="str">
            <v>Cristina Arechaga</v>
          </cell>
        </row>
        <row r="1038">
          <cell r="C1038" t="str">
            <v>8781-RAS-FirstCapital Bank of</v>
          </cell>
          <cell r="H1038">
            <v>5030721</v>
          </cell>
          <cell r="AK1038" t="str">
            <v>Cristina Arechaga</v>
          </cell>
        </row>
        <row r="1039">
          <cell r="C1039" t="str">
            <v>BW_SupportAssoc-NewTermExt</v>
          </cell>
          <cell r="H1039">
            <v>5018058</v>
          </cell>
          <cell r="AK1039" t="str">
            <v>Matt Markham</v>
          </cell>
        </row>
        <row r="1040">
          <cell r="C1040" t="str">
            <v>Jefferies_GMI Team</v>
          </cell>
          <cell r="H1040">
            <v>5017747</v>
          </cell>
          <cell r="AK1040" t="str">
            <v>DELETED USER</v>
          </cell>
        </row>
        <row r="1041">
          <cell r="C1041" t="str">
            <v>10919-RAS-MB Financial Bank  N</v>
          </cell>
          <cell r="H1041">
            <v>5030816</v>
          </cell>
          <cell r="AK1041" t="str">
            <v>Cristina Arechaga</v>
          </cell>
        </row>
        <row r="1042">
          <cell r="C1042" t="str">
            <v>CGC Rainbow 129</v>
          </cell>
          <cell r="H1042">
            <v>5017084</v>
          </cell>
          <cell r="AK1042" t="str">
            <v>DELETED USER</v>
          </cell>
        </row>
        <row r="1043">
          <cell r="C1043" t="str">
            <v>FM CE_ CRT Data Transfrmtn</v>
          </cell>
          <cell r="H1043">
            <v>5018286</v>
          </cell>
          <cell r="AK1043" t="str">
            <v>DELETED USER</v>
          </cell>
        </row>
        <row r="1044">
          <cell r="C1044" t="str">
            <v>JPMC_Gauss Phase 3</v>
          </cell>
          <cell r="H1044">
            <v>5017731</v>
          </cell>
          <cell r="AK1044" t="str">
            <v>DELETED USER</v>
          </cell>
        </row>
        <row r="1045">
          <cell r="C1045" t="str">
            <v>GL_Platform Conversion - Ph1</v>
          </cell>
          <cell r="H1045">
            <v>5018057</v>
          </cell>
          <cell r="AK1045" t="str">
            <v>DELETED USER</v>
          </cell>
        </row>
        <row r="1046">
          <cell r="C1046" t="str">
            <v>Key_digital Consumer</v>
          </cell>
          <cell r="H1046">
            <v>5016564</v>
          </cell>
          <cell r="AK1046" t="str">
            <v>Karl Augenstein</v>
          </cell>
        </row>
        <row r="1047">
          <cell r="C1047" t="str">
            <v>3643-RAS-CresCom Bank</v>
          </cell>
          <cell r="H1047">
            <v>5030540</v>
          </cell>
          <cell r="AK1047" t="str">
            <v>Cristina Arechaga</v>
          </cell>
        </row>
        <row r="1048">
          <cell r="C1048" t="str">
            <v>JPMC_Employee Comp Ext</v>
          </cell>
          <cell r="H1048">
            <v>5017733</v>
          </cell>
          <cell r="AK1048" t="str">
            <v>Kapin Vora</v>
          </cell>
        </row>
        <row r="1049">
          <cell r="C1049" t="str">
            <v>Jeff_COO Annual Report</v>
          </cell>
          <cell r="H1049">
            <v>5018306</v>
          </cell>
          <cell r="AK1049" t="str">
            <v>Ripple Bhullar</v>
          </cell>
        </row>
        <row r="1050">
          <cell r="C1050" t="str">
            <v>8571-RAS-Valley National Bank</v>
          </cell>
          <cell r="H1050">
            <v>5030710</v>
          </cell>
          <cell r="AK1050" t="str">
            <v>Cristina Arechaga</v>
          </cell>
        </row>
        <row r="1051">
          <cell r="C1051" t="str">
            <v>623-RAS-Dallas Capital Bank</v>
          </cell>
          <cell r="H1051">
            <v>5030422</v>
          </cell>
          <cell r="AK1051" t="str">
            <v>Cristina Arechaga</v>
          </cell>
        </row>
        <row r="1052">
          <cell r="C1052" t="str">
            <v>BAML_Struct Notes- Extension</v>
          </cell>
          <cell r="H1052">
            <v>5018415</v>
          </cell>
          <cell r="AK1052" t="str">
            <v>Justin Gonlag</v>
          </cell>
        </row>
        <row r="1053">
          <cell r="C1053" t="str">
            <v>FM_CMDB PM ext1</v>
          </cell>
          <cell r="H1053">
            <v>5017834</v>
          </cell>
          <cell r="AK1053" t="str">
            <v>Richard Rhodes</v>
          </cell>
        </row>
        <row r="1054">
          <cell r="C1054" t="str">
            <v>FM_CMDB Project Management</v>
          </cell>
          <cell r="H1054">
            <v>5017834</v>
          </cell>
          <cell r="AK1054" t="str">
            <v>Richard Rhodes</v>
          </cell>
        </row>
        <row r="1055">
          <cell r="C1055" t="str">
            <v>FM_Customer Engagement PM</v>
          </cell>
          <cell r="H1055">
            <v>5017826</v>
          </cell>
          <cell r="AK1055" t="str">
            <v>DELETED USER</v>
          </cell>
        </row>
        <row r="1056">
          <cell r="C1056" t="str">
            <v>Blackstone_Acquisition Project</v>
          </cell>
          <cell r="H1056">
            <v>5018357</v>
          </cell>
          <cell r="AK1056" t="str">
            <v>DELETED USER</v>
          </cell>
        </row>
        <row r="1057">
          <cell r="C1057" t="str">
            <v>26650-RAS-One Community Federa</v>
          </cell>
          <cell r="H1057">
            <v>5030343</v>
          </cell>
          <cell r="AK1057" t="str">
            <v>Cristina Arechaga</v>
          </cell>
        </row>
        <row r="1058">
          <cell r="C1058" t="str">
            <v>First State-CMSO-TravelTime</v>
          </cell>
          <cell r="H1058">
            <v>5029570</v>
          </cell>
          <cell r="AK1058" t="str">
            <v>Steve Manitzas</v>
          </cell>
        </row>
        <row r="1059">
          <cell r="C1059" t="str">
            <v>FM_CCP - extension of Phase 1</v>
          </cell>
          <cell r="H1059">
            <v>5017831</v>
          </cell>
          <cell r="AK1059" t="str">
            <v>DELETED USER</v>
          </cell>
        </row>
        <row r="1060">
          <cell r="C1060" t="str">
            <v>MS_Gladiator 2014</v>
          </cell>
          <cell r="H1060">
            <v>5018358</v>
          </cell>
          <cell r="AK1060" t="str">
            <v>Iruka Brown</v>
          </cell>
        </row>
        <row r="1061">
          <cell r="C1061" t="str">
            <v>B of Monroe-CmplAdmin-TrvlTime</v>
          </cell>
          <cell r="H1061">
            <v>5030040</v>
          </cell>
          <cell r="AK1061" t="str">
            <v>Steve Manitzas</v>
          </cell>
        </row>
        <row r="1062">
          <cell r="C1062" t="str">
            <v>FIS-Bank Hapoalim BM NY-TCC</v>
          </cell>
          <cell r="H1062">
            <v>5029893</v>
          </cell>
          <cell r="AK1062" t="str">
            <v>Rebecca Breland</v>
          </cell>
        </row>
        <row r="1063">
          <cell r="C1063" t="str">
            <v>GS_Mexican Broker Dealer 2013</v>
          </cell>
          <cell r="H1063">
            <v>5017038</v>
          </cell>
          <cell r="AK1063" t="str">
            <v>DELETED USER</v>
          </cell>
        </row>
        <row r="1064">
          <cell r="C1064" t="str">
            <v>WF_AD Performance Conversion</v>
          </cell>
          <cell r="H1064">
            <v>5018069</v>
          </cell>
          <cell r="AK1064" t="str">
            <v>DELETED USER</v>
          </cell>
        </row>
        <row r="1065">
          <cell r="C1065" t="str">
            <v>LPL_Bank Wealth Initiative</v>
          </cell>
          <cell r="H1065">
            <v>5018364</v>
          </cell>
          <cell r="AK1065" t="str">
            <v>DELETED USER</v>
          </cell>
        </row>
        <row r="1066">
          <cell r="C1066" t="str">
            <v>TCV - MS_Gladiator 2014</v>
          </cell>
          <cell r="H1066">
            <v>5018358</v>
          </cell>
          <cell r="AK1066" t="str">
            <v>Suzanne Madden</v>
          </cell>
        </row>
        <row r="1067">
          <cell r="C1067" t="str">
            <v>Jefferies_IT Outsourcing PMO</v>
          </cell>
          <cell r="H1067">
            <v>5019645</v>
          </cell>
          <cell r="AK1067" t="str">
            <v>John McCaffrey</v>
          </cell>
        </row>
        <row r="1068">
          <cell r="C1068" t="str">
            <v>Parkersburg-CMSO-TravelTime</v>
          </cell>
          <cell r="H1068">
            <v>5029572</v>
          </cell>
          <cell r="AK1068" t="str">
            <v>Jeanette Wampler</v>
          </cell>
        </row>
        <row r="1069">
          <cell r="C1069" t="str">
            <v>MS_OFAC</v>
          </cell>
          <cell r="H1069">
            <v>5018451</v>
          </cell>
          <cell r="AK1069" t="str">
            <v>Ruben Sooriya</v>
          </cell>
        </row>
        <row r="1070">
          <cell r="C1070" t="str">
            <v>BC_Artemis Resource Support 2</v>
          </cell>
          <cell r="H1070">
            <v>5017686</v>
          </cell>
          <cell r="AK1070" t="str">
            <v>DELETED USER</v>
          </cell>
        </row>
        <row r="1071">
          <cell r="C1071" t="str">
            <v>Jefferies_Risk 2014</v>
          </cell>
          <cell r="H1071">
            <v>5016927</v>
          </cell>
          <cell r="AK1071" t="str">
            <v>Richard Mlot</v>
          </cell>
        </row>
        <row r="1072">
          <cell r="C1072" t="str">
            <v>HSBC_Technology &amp; Services</v>
          </cell>
          <cell r="H1072">
            <v>5018452</v>
          </cell>
          <cell r="AK1072" t="str">
            <v>Ben Shoota</v>
          </cell>
        </row>
        <row r="1073">
          <cell r="C1073" t="str">
            <v>Application Dev Support</v>
          </cell>
          <cell r="H1073">
            <v>5017044</v>
          </cell>
          <cell r="AK1073" t="str">
            <v>DELETED USER</v>
          </cell>
        </row>
        <row r="1074">
          <cell r="C1074" t="str">
            <v>FM_Loan Delivery Stage 1 2014</v>
          </cell>
          <cell r="H1074">
            <v>5018424</v>
          </cell>
          <cell r="AK1074" t="str">
            <v>DELETED USER</v>
          </cell>
        </row>
        <row r="1075">
          <cell r="C1075" t="str">
            <v>Barcap_OCPT 2014</v>
          </cell>
          <cell r="H1075">
            <v>5018449</v>
          </cell>
          <cell r="AK1075" t="str">
            <v>DELETED USER</v>
          </cell>
        </row>
        <row r="1076">
          <cell r="C1076" t="str">
            <v>MS_SSBO Risk PMO</v>
          </cell>
          <cell r="H1076">
            <v>5018465</v>
          </cell>
          <cell r="AK1076" t="str">
            <v>DELETED USER</v>
          </cell>
        </row>
        <row r="1077">
          <cell r="C1077" t="str">
            <v>Amex_TransformationProgramMetr</v>
          </cell>
          <cell r="H1077">
            <v>5017844</v>
          </cell>
          <cell r="AK1077" t="str">
            <v>DELETED USER</v>
          </cell>
        </row>
        <row r="1078">
          <cell r="C1078" t="str">
            <v>JPM_CWM Workdation - Damon Ext</v>
          </cell>
          <cell r="H1078">
            <v>5018450</v>
          </cell>
          <cell r="AK1078" t="str">
            <v>Kapin Vora</v>
          </cell>
        </row>
        <row r="1079">
          <cell r="C1079" t="str">
            <v>FM_ESS Hosting Proj Admin</v>
          </cell>
          <cell r="H1079">
            <v>5018296</v>
          </cell>
          <cell r="AK1079" t="str">
            <v>Richard Rhodes</v>
          </cell>
        </row>
        <row r="1080">
          <cell r="C1080" t="str">
            <v>Jeff_Developer Resource</v>
          </cell>
          <cell r="H1080">
            <v>5018425</v>
          </cell>
          <cell r="AK1080" t="str">
            <v>John McCaffrey</v>
          </cell>
        </row>
        <row r="1081">
          <cell r="C1081" t="str">
            <v>Jeff_RFI</v>
          </cell>
          <cell r="H1081">
            <v>5018446</v>
          </cell>
          <cell r="AK1081" t="str">
            <v>Jon Herna</v>
          </cell>
        </row>
        <row r="1082">
          <cell r="C1082" t="str">
            <v>KB_Credit Risk Reporting Ph8</v>
          </cell>
          <cell r="H1082">
            <v>5018044</v>
          </cell>
          <cell r="AK1082" t="str">
            <v>DELETED USER</v>
          </cell>
        </row>
        <row r="1083">
          <cell r="C1083" t="str">
            <v>MS_CDA Self Clear - Impl</v>
          </cell>
          <cell r="H1083">
            <v>5017813</v>
          </cell>
          <cell r="AK1083" t="str">
            <v>DELETED USER</v>
          </cell>
        </row>
        <row r="1084">
          <cell r="C1084" t="str">
            <v>BPD_Azul Resourcing</v>
          </cell>
          <cell r="H1084">
            <v>5018981</v>
          </cell>
          <cell r="AK1084" t="str">
            <v>DELETED USER</v>
          </cell>
        </row>
        <row r="1085">
          <cell r="C1085" t="str">
            <v>KB_KBCM broker dealer comp</v>
          </cell>
          <cell r="H1085">
            <v>5017764</v>
          </cell>
          <cell r="AK1085" t="str">
            <v>DELETED USER</v>
          </cell>
        </row>
        <row r="1086">
          <cell r="C1086" t="str">
            <v>BW_HRIS BA &amp; PM</v>
          </cell>
          <cell r="H1086">
            <v>5018394</v>
          </cell>
          <cell r="AK1086" t="str">
            <v>Matt Markham</v>
          </cell>
        </row>
        <row r="1087">
          <cell r="C1087" t="str">
            <v>FM_Multifamily Target State</v>
          </cell>
          <cell r="H1087">
            <v>5018411</v>
          </cell>
          <cell r="AK1087" t="str">
            <v>DELETED USER</v>
          </cell>
        </row>
        <row r="1088">
          <cell r="C1088" t="str">
            <v>3910-RAS-First National Bank o</v>
          </cell>
          <cell r="H1088">
            <v>5030559</v>
          </cell>
          <cell r="AK1088" t="str">
            <v>Cristina Arechaga</v>
          </cell>
        </row>
        <row r="1089">
          <cell r="C1089" t="str">
            <v>Jeff_EBS Extension</v>
          </cell>
          <cell r="H1089">
            <v>5018463</v>
          </cell>
          <cell r="AK1089" t="str">
            <v>Ripple Bhullar</v>
          </cell>
        </row>
        <row r="1090">
          <cell r="C1090" t="str">
            <v>MS_Transaction Cost Management</v>
          </cell>
          <cell r="H1090">
            <v>5018467</v>
          </cell>
          <cell r="AK1090" t="str">
            <v>Sarv Kohli</v>
          </cell>
        </row>
        <row r="1091">
          <cell r="C1091" t="str">
            <v>FM_ESS PM Services - Factory</v>
          </cell>
          <cell r="H1091">
            <v>5018537</v>
          </cell>
          <cell r="AK1091" t="str">
            <v>DELETED USER</v>
          </cell>
        </row>
        <row r="1092">
          <cell r="C1092" t="str">
            <v>US Bank_PCR Cost Save</v>
          </cell>
          <cell r="H1092">
            <v>5018562</v>
          </cell>
          <cell r="AK1092" t="str">
            <v>DELETED USER</v>
          </cell>
        </row>
        <row r="1093">
          <cell r="C1093" t="str">
            <v>FM_CM Dashboard Optimization</v>
          </cell>
          <cell r="H1093">
            <v>5018636</v>
          </cell>
          <cell r="AK1093" t="str">
            <v>DELETED USER</v>
          </cell>
        </row>
        <row r="1094">
          <cell r="C1094" t="str">
            <v>9596-RAS-Bank of O'Fallon</v>
          </cell>
          <cell r="H1094">
            <v>5030756</v>
          </cell>
          <cell r="AK1094" t="str">
            <v>Cristina Arechaga</v>
          </cell>
        </row>
        <row r="1095">
          <cell r="C1095" t="str">
            <v>67201-RAS-Auto Club Group</v>
          </cell>
          <cell r="H1095">
            <v>5030389</v>
          </cell>
          <cell r="AK1095" t="str">
            <v>Cristina Arechaga</v>
          </cell>
        </row>
        <row r="1096">
          <cell r="C1096" t="str">
            <v>UnionSaving-MQC</v>
          </cell>
          <cell r="H1096">
            <v>5029675</v>
          </cell>
          <cell r="AK1096" t="str">
            <v>Cristina Arechaga</v>
          </cell>
        </row>
        <row r="1097">
          <cell r="C1097" t="str">
            <v>TCV fix - MS_OFAC</v>
          </cell>
          <cell r="H1097">
            <v>5018451</v>
          </cell>
          <cell r="AK1097" t="str">
            <v>Suzanne Madden</v>
          </cell>
        </row>
        <row r="1098">
          <cell r="C1098" t="str">
            <v>Jeff_CCO Ripple</v>
          </cell>
          <cell r="H1098">
            <v>5018624</v>
          </cell>
          <cell r="AK1098" t="str">
            <v>Mike Drews</v>
          </cell>
        </row>
        <row r="1099">
          <cell r="C1099" t="str">
            <v>Jeff_Ops Support - CCO</v>
          </cell>
          <cell r="H1099">
            <v>5018621</v>
          </cell>
          <cell r="AK1099" t="str">
            <v>Mike Drews</v>
          </cell>
        </row>
        <row r="1100">
          <cell r="C1100" t="str">
            <v>GL_Platform Conversion - Ph2</v>
          </cell>
          <cell r="H1100">
            <v>5018652</v>
          </cell>
          <cell r="AK1100" t="str">
            <v>Phil Kerkel</v>
          </cell>
        </row>
        <row r="1101">
          <cell r="C1101" t="str">
            <v>FM_CSP_Shared Services</v>
          </cell>
          <cell r="H1101">
            <v>5018602</v>
          </cell>
          <cell r="AK1101" t="str">
            <v>DELETED USER</v>
          </cell>
        </row>
        <row r="1102">
          <cell r="C1102" t="str">
            <v>FIS_Horizon SIT</v>
          </cell>
          <cell r="H1102">
            <v>5018571</v>
          </cell>
          <cell r="AK1102" t="str">
            <v>DELETED USER</v>
          </cell>
        </row>
        <row r="1103">
          <cell r="C1103" t="str">
            <v>KB_CRR/FRY-14 Reg Reporting</v>
          </cell>
          <cell r="H1103">
            <v>5018600</v>
          </cell>
          <cell r="AK1103" t="str">
            <v>DELETED USER</v>
          </cell>
        </row>
        <row r="1104">
          <cell r="C1104" t="str">
            <v>Jeff_AML Mulford</v>
          </cell>
          <cell r="H1104">
            <v>5018675</v>
          </cell>
          <cell r="AK1104" t="str">
            <v>Mike Drews</v>
          </cell>
        </row>
        <row r="1105">
          <cell r="C1105" t="str">
            <v>Jeff_GMI Feb 2014</v>
          </cell>
          <cell r="H1105">
            <v>5018623</v>
          </cell>
          <cell r="AK1105" t="str">
            <v>DELETED USER</v>
          </cell>
        </row>
        <row r="1106">
          <cell r="C1106" t="str">
            <v>FM_CSP E2E Testing Phase3</v>
          </cell>
          <cell r="H1106">
            <v>5018650</v>
          </cell>
          <cell r="AK1106" t="str">
            <v>DELETED USER</v>
          </cell>
        </row>
        <row r="1107">
          <cell r="C1107" t="str">
            <v>FrMc_Loan Insight DLT + TM</v>
          </cell>
          <cell r="H1107">
            <v>5018653</v>
          </cell>
          <cell r="AK1107" t="str">
            <v>Raj Konduru</v>
          </cell>
        </row>
        <row r="1108">
          <cell r="C1108" t="str">
            <v>FM_LAI Project Manager</v>
          </cell>
          <cell r="H1108">
            <v>5018596</v>
          </cell>
          <cell r="AK1108" t="str">
            <v>Kevin Wells</v>
          </cell>
        </row>
        <row r="1109">
          <cell r="C1109" t="str">
            <v>FM_Data Service Strat Sourcing</v>
          </cell>
          <cell r="H1109">
            <v>5018638</v>
          </cell>
          <cell r="AK1109" t="str">
            <v>DELETED USER</v>
          </cell>
        </row>
        <row r="1110">
          <cell r="C1110" t="str">
            <v>Jeff_Ops Supp Jacklyn</v>
          </cell>
          <cell r="H1110">
            <v>5018666</v>
          </cell>
          <cell r="AK1110" t="str">
            <v>Mike Drews</v>
          </cell>
        </row>
        <row r="1111">
          <cell r="C1111" t="str">
            <v>BMO_Harris AML BA</v>
          </cell>
          <cell r="H1111">
            <v>5018585</v>
          </cell>
          <cell r="AK1111" t="str">
            <v>Gaelan Woolham</v>
          </cell>
        </row>
        <row r="1112">
          <cell r="C1112" t="str">
            <v>FIS_COR Compliance Review</v>
          </cell>
          <cell r="H1112">
            <v>5019219</v>
          </cell>
          <cell r="AK1112" t="str">
            <v>DELETED USER</v>
          </cell>
        </row>
        <row r="1113">
          <cell r="C1113" t="str">
            <v>FIS_Technology Cost Assessment</v>
          </cell>
          <cell r="H1113">
            <v>5018687</v>
          </cell>
          <cell r="AK1113" t="str">
            <v>DELETED USER</v>
          </cell>
        </row>
        <row r="1114">
          <cell r="C1114" t="str">
            <v>BBCO</v>
          </cell>
          <cell r="H1114">
            <v>5030497</v>
          </cell>
          <cell r="AK1114" t="str">
            <v>Cristina Arechaga</v>
          </cell>
        </row>
        <row r="1115">
          <cell r="C1115" t="str">
            <v>TD NA_OLC NGP</v>
          </cell>
          <cell r="H1115">
            <v>5018748</v>
          </cell>
          <cell r="AK1115" t="str">
            <v>Theepah Tharmalingam</v>
          </cell>
        </row>
        <row r="1116">
          <cell r="C1116" t="str">
            <v>FM_Centralized Risk Management</v>
          </cell>
          <cell r="H1116">
            <v>5017178</v>
          </cell>
          <cell r="AK1116" t="str">
            <v>DELETED USER</v>
          </cell>
        </row>
        <row r="1117">
          <cell r="C1117" t="str">
            <v>India IL-CRA Plan &amp; Train</v>
          </cell>
          <cell r="H1117">
            <v>5029536</v>
          </cell>
          <cell r="AK1117" t="str">
            <v>John Eshoo</v>
          </cell>
        </row>
        <row r="1118">
          <cell r="C1118" t="str">
            <v>FM_CE Data Modeling</v>
          </cell>
          <cell r="H1118">
            <v>5018778</v>
          </cell>
          <cell r="AK1118" t="str">
            <v>DELETED USER</v>
          </cell>
        </row>
        <row r="1119">
          <cell r="C1119" t="str">
            <v>Citi_SFS Client Prof/Sec Lend</v>
          </cell>
          <cell r="H1119">
            <v>5014407</v>
          </cell>
          <cell r="AK1119" t="str">
            <v>Robert Norris</v>
          </cell>
        </row>
        <row r="1120">
          <cell r="C1120" t="str">
            <v>TD_AMCB_WB Prototype</v>
          </cell>
          <cell r="H1120">
            <v>5018851</v>
          </cell>
          <cell r="AK1120" t="str">
            <v>DELETED USER</v>
          </cell>
        </row>
        <row r="1121">
          <cell r="C1121" t="str">
            <v>8461-RAS-Nodaway Valley Bank</v>
          </cell>
          <cell r="H1121">
            <v>5030705</v>
          </cell>
          <cell r="AK1121" t="str">
            <v>Cristina Arechaga</v>
          </cell>
        </row>
        <row r="1122">
          <cell r="C1122" t="str">
            <v>MS_Metrics Production</v>
          </cell>
          <cell r="H1122">
            <v>5018798</v>
          </cell>
          <cell r="AK1122" t="str">
            <v>DELETED USER</v>
          </cell>
        </row>
        <row r="1123">
          <cell r="C1123" t="str">
            <v>28753-RAS-WEX Health  Inc</v>
          </cell>
          <cell r="H1123">
            <v>5030358</v>
          </cell>
          <cell r="AK1123" t="str">
            <v>Cristina Arechaga</v>
          </cell>
        </row>
        <row r="1124">
          <cell r="C1124" t="str">
            <v>FM_Finance ODS Requirements</v>
          </cell>
          <cell r="H1124">
            <v>5018776</v>
          </cell>
          <cell r="AK1124" t="str">
            <v>Kevin Wells</v>
          </cell>
        </row>
        <row r="1125">
          <cell r="C1125" t="str">
            <v>12537-RAS-Yakima Federal Savin</v>
          </cell>
          <cell r="H1125">
            <v>5030827</v>
          </cell>
          <cell r="AK1125" t="str">
            <v>Cristina Arechaga</v>
          </cell>
        </row>
        <row r="1126">
          <cell r="C1126" t="str">
            <v>7733-RAS-Landmark Bank  N.A.</v>
          </cell>
          <cell r="H1126">
            <v>5030677</v>
          </cell>
          <cell r="AK1126" t="str">
            <v>Cristina Arechaga</v>
          </cell>
        </row>
        <row r="1127">
          <cell r="C1127" t="str">
            <v>FM_CSP ProgramOffice Mobilize</v>
          </cell>
          <cell r="H1127">
            <v>5018781</v>
          </cell>
          <cell r="AK1127" t="str">
            <v>Matt Markham</v>
          </cell>
        </row>
        <row r="1128">
          <cell r="C1128" t="str">
            <v>FIS_BMO Harris 90 Dgtl Assessm</v>
          </cell>
          <cell r="H1128">
            <v>5019367</v>
          </cell>
          <cell r="AK1128" t="str">
            <v>Sandeep Mamtora</v>
          </cell>
        </row>
        <row r="1129">
          <cell r="C1129" t="str">
            <v>Jeff_GMI March 2014</v>
          </cell>
          <cell r="H1129">
            <v>5018886</v>
          </cell>
          <cell r="AK1129" t="str">
            <v>DELETED USER</v>
          </cell>
        </row>
        <row r="1130">
          <cell r="C1130" t="str">
            <v>LPL_Enhance Overlay Bus Analys</v>
          </cell>
          <cell r="H1130">
            <v>5018852</v>
          </cell>
          <cell r="AK1130" t="str">
            <v>DELETED USER</v>
          </cell>
        </row>
        <row r="1131">
          <cell r="C1131" t="str">
            <v>Jeff_ON Boarding March 14</v>
          </cell>
          <cell r="H1131">
            <v>5019042</v>
          </cell>
          <cell r="AK1131" t="str">
            <v>DELETED USER</v>
          </cell>
        </row>
        <row r="1132">
          <cell r="C1132" t="str">
            <v>FM_SF REO Test Execution</v>
          </cell>
          <cell r="H1132">
            <v>5019014</v>
          </cell>
          <cell r="AK1132" t="str">
            <v>Kevin Wells</v>
          </cell>
        </row>
        <row r="1133">
          <cell r="C1133" t="str">
            <v>Jeff_Ops Support - Jaclyn Ext.</v>
          </cell>
          <cell r="H1133">
            <v>5018885</v>
          </cell>
          <cell r="AK1133" t="str">
            <v>Mike Drews</v>
          </cell>
        </row>
        <row r="1134">
          <cell r="C1134" t="str">
            <v>4188-RAS-McGehee Bank</v>
          </cell>
          <cell r="H1134">
            <v>5030602</v>
          </cell>
          <cell r="AK1134" t="str">
            <v>Cristina Arechaga</v>
          </cell>
        </row>
        <row r="1135">
          <cell r="C1135" t="str">
            <v>LPL AIOE Plan &amp; Design Phase</v>
          </cell>
          <cell r="H1135">
            <v>5018908</v>
          </cell>
          <cell r="AK1135" t="str">
            <v>Phil Kerkel</v>
          </cell>
        </row>
        <row r="1136">
          <cell r="C1136" t="str">
            <v>WF_Listed Futures /OTC</v>
          </cell>
          <cell r="H1136">
            <v>5018850</v>
          </cell>
          <cell r="AK1136" t="str">
            <v>Jennifer Liu</v>
          </cell>
        </row>
        <row r="1137">
          <cell r="C1137" t="str">
            <v>TR_Industry Study</v>
          </cell>
          <cell r="H1137">
            <v>5019072</v>
          </cell>
          <cell r="AK1137" t="str">
            <v>Carl Repoli</v>
          </cell>
        </row>
        <row r="1138">
          <cell r="C1138" t="str">
            <v>BMO Harris Y 14 support</v>
          </cell>
          <cell r="H1138">
            <v>5018884</v>
          </cell>
          <cell r="AK1138" t="str">
            <v>Gregg Henzel</v>
          </cell>
        </row>
        <row r="1139">
          <cell r="C1139" t="str">
            <v>FM_CDS Accounting - UAT</v>
          </cell>
          <cell r="H1139">
            <v>5019132</v>
          </cell>
          <cell r="AK1139" t="str">
            <v>DELETED USER</v>
          </cell>
        </row>
        <row r="1140">
          <cell r="C1140" t="str">
            <v>FM_CDS Accounting - UAT</v>
          </cell>
          <cell r="H1140">
            <v>5019132</v>
          </cell>
          <cell r="AK1140" t="str">
            <v>DELETED USER</v>
          </cell>
        </row>
        <row r="1141">
          <cell r="C1141" t="str">
            <v>Amex_DT PerformanceMeasurement</v>
          </cell>
          <cell r="H1141">
            <v>5017845</v>
          </cell>
          <cell r="AK1141" t="str">
            <v>DELETED USER</v>
          </cell>
        </row>
        <row r="1142">
          <cell r="C1142" t="str">
            <v>KB_Digital Acq Use Cse Sppt</v>
          </cell>
          <cell r="H1142">
            <v>5019059</v>
          </cell>
          <cell r="AK1142" t="str">
            <v>DELETED USER</v>
          </cell>
        </row>
        <row r="1143">
          <cell r="C1143" t="str">
            <v>HSBC(NA)_RiskTransformatn2014</v>
          </cell>
          <cell r="H1143">
            <v>5017701</v>
          </cell>
          <cell r="AK1143" t="str">
            <v>Ben Shoota</v>
          </cell>
        </row>
        <row r="1144">
          <cell r="C1144" t="str">
            <v>FM_CSP_BOOTCAMP_Development</v>
          </cell>
          <cell r="H1144">
            <v>5019010</v>
          </cell>
          <cell r="AK1144" t="str">
            <v>DELETED USER</v>
          </cell>
        </row>
        <row r="1145">
          <cell r="C1145" t="str">
            <v>Citi_CGC V2 PMO Support 7</v>
          </cell>
          <cell r="H1145">
            <v>5019047</v>
          </cell>
          <cell r="AK1145" t="str">
            <v>DELETED USER</v>
          </cell>
        </row>
        <row r="1146">
          <cell r="C1146" t="str">
            <v>Jeff_RFI Extension</v>
          </cell>
          <cell r="H1146">
            <v>5018910</v>
          </cell>
          <cell r="AK1146" t="str">
            <v>Jon Herna</v>
          </cell>
        </row>
        <row r="1147">
          <cell r="C1147" t="str">
            <v>Jeff_MI Phase 2</v>
          </cell>
          <cell r="H1147">
            <v>5019045</v>
          </cell>
          <cell r="AK1147" t="str">
            <v>DELETED USER</v>
          </cell>
        </row>
        <row r="1148">
          <cell r="C1148" t="str">
            <v>WF_BTS mobile development rdmp</v>
          </cell>
          <cell r="H1148">
            <v>5019145</v>
          </cell>
          <cell r="AK1148" t="str">
            <v>DELETED USER</v>
          </cell>
        </row>
        <row r="1149">
          <cell r="C1149" t="str">
            <v>8680-RAS-First National Commun</v>
          </cell>
          <cell r="H1149">
            <v>5030716</v>
          </cell>
          <cell r="AK1149" t="str">
            <v>Cristina Arechaga</v>
          </cell>
        </row>
        <row r="1150">
          <cell r="C1150" t="str">
            <v>1stColonial-MQC</v>
          </cell>
          <cell r="H1150">
            <v>5029674</v>
          </cell>
          <cell r="AK1150" t="str">
            <v>DELETED USER</v>
          </cell>
        </row>
        <row r="1151">
          <cell r="C1151" t="str">
            <v>FM_LAI PM Services</v>
          </cell>
          <cell r="H1151">
            <v>5019130</v>
          </cell>
          <cell r="AK1151" t="str">
            <v>Kevin Wells</v>
          </cell>
        </row>
        <row r="1152">
          <cell r="C1152" t="str">
            <v>FM_CSP E2E Testing Phase 4</v>
          </cell>
          <cell r="H1152">
            <v>5019131</v>
          </cell>
          <cell r="AK1152" t="str">
            <v>DELETED USER</v>
          </cell>
        </row>
        <row r="1153">
          <cell r="C1153" t="str">
            <v>Jeff_GMI April</v>
          </cell>
          <cell r="H1153">
            <v>5019091</v>
          </cell>
          <cell r="AK1153" t="str">
            <v>DELETED USER</v>
          </cell>
        </row>
        <row r="1154">
          <cell r="C1154" t="str">
            <v>FNFG_TM Quality Leadership</v>
          </cell>
          <cell r="H1154">
            <v>5019089</v>
          </cell>
          <cell r="AK1154" t="str">
            <v>DELETED USER</v>
          </cell>
        </row>
        <row r="1155">
          <cell r="C1155" t="str">
            <v>2340-RAS-Community Banking Com</v>
          </cell>
          <cell r="H1155">
            <v>5030441</v>
          </cell>
          <cell r="AK1155" t="str">
            <v>Cristina Arechaga</v>
          </cell>
        </row>
        <row r="1156">
          <cell r="C1156" t="str">
            <v>FM_CSP Int Reporting to FHFA</v>
          </cell>
          <cell r="H1156">
            <v>5019044</v>
          </cell>
          <cell r="AK1156" t="str">
            <v>DELETED USER</v>
          </cell>
        </row>
        <row r="1157">
          <cell r="C1157" t="str">
            <v>2509-RAS-First National Bank o</v>
          </cell>
          <cell r="H1157">
            <v>5030464</v>
          </cell>
          <cell r="AK1157" t="str">
            <v>Cristina Arechaga</v>
          </cell>
        </row>
        <row r="1158">
          <cell r="C1158" t="str">
            <v>FBDS Data Retrieval </v>
          </cell>
          <cell r="H1158">
            <v>5030201</v>
          </cell>
          <cell r="AK1158" t="str">
            <v>Lonnie Ingram</v>
          </cell>
        </row>
        <row r="1159">
          <cell r="C1159" t="str">
            <v>GS_Mexico BD Phase 2</v>
          </cell>
          <cell r="H1159">
            <v>5019057</v>
          </cell>
          <cell r="AK1159" t="str">
            <v>DELETED USER</v>
          </cell>
        </row>
        <row r="1160">
          <cell r="C1160" t="str">
            <v>LPL_AXA Business Analysis</v>
          </cell>
          <cell r="H1160">
            <v>5019192</v>
          </cell>
          <cell r="AK1160" t="str">
            <v>Phil Kerkel</v>
          </cell>
        </row>
        <row r="1161">
          <cell r="C1161" t="str">
            <v>GS_Mexico BD Phase 2- Sujith</v>
          </cell>
          <cell r="H1161">
            <v>5019058</v>
          </cell>
          <cell r="AK1161" t="str">
            <v>DELETED USER</v>
          </cell>
        </row>
        <row r="1162">
          <cell r="C1162" t="str">
            <v>FIS-Hancock Holding-TCC</v>
          </cell>
          <cell r="H1162">
            <v>5029773</v>
          </cell>
          <cell r="AK1162" t="str">
            <v>Rebecca Breland</v>
          </cell>
        </row>
        <row r="1163">
          <cell r="C1163" t="str">
            <v>UB_Front-counter Item Process</v>
          </cell>
          <cell r="H1163">
            <v>5019204</v>
          </cell>
          <cell r="AK1163" t="str">
            <v>Lane Martin</v>
          </cell>
        </row>
        <row r="1164">
          <cell r="C1164" t="str">
            <v>13149-RAS-Cypress Bank</v>
          </cell>
          <cell r="H1164">
            <v>5030896</v>
          </cell>
          <cell r="AK1164" t="str">
            <v>Cristina Arechaga</v>
          </cell>
        </row>
        <row r="1165">
          <cell r="C1165" t="str">
            <v>FM_RTB - PM Services</v>
          </cell>
          <cell r="H1165">
            <v>5019298</v>
          </cell>
          <cell r="AK1165" t="str">
            <v>DELETED USER</v>
          </cell>
        </row>
        <row r="1166">
          <cell r="C1166" t="str">
            <v>4010-RAS-Fidelity Deposit and</v>
          </cell>
          <cell r="H1166">
            <v>5030561</v>
          </cell>
          <cell r="AK1166" t="str">
            <v>Cristina Arechaga</v>
          </cell>
        </row>
        <row r="1167">
          <cell r="C1167" t="str">
            <v>FM_CTB_PM_Services</v>
          </cell>
          <cell r="H1167">
            <v>5019295</v>
          </cell>
          <cell r="AK1167" t="str">
            <v>DELETED USER</v>
          </cell>
        </row>
        <row r="1168">
          <cell r="C1168" t="str">
            <v>FIS-EverBank-TCC</v>
          </cell>
          <cell r="H1168">
            <v>5029705</v>
          </cell>
          <cell r="AK1168" t="str">
            <v>Rebecca Breland</v>
          </cell>
        </row>
        <row r="1169">
          <cell r="C1169" t="str">
            <v>FIS_USAA_File Remediation</v>
          </cell>
          <cell r="H1169">
            <v>5019249</v>
          </cell>
          <cell r="AK1169" t="str">
            <v>DELETED USER</v>
          </cell>
        </row>
        <row r="1170">
          <cell r="C1170" t="str">
            <v>WF_2014 Model Revaluations</v>
          </cell>
          <cell r="H1170">
            <v>5019146</v>
          </cell>
          <cell r="AK1170" t="str">
            <v>DELETED USER</v>
          </cell>
        </row>
        <row r="1171">
          <cell r="C1171" t="str">
            <v>FIS_USAA_File Remediation</v>
          </cell>
          <cell r="H1171">
            <v>5019249</v>
          </cell>
          <cell r="AK1171" t="str">
            <v>DELETED USER</v>
          </cell>
        </row>
        <row r="1172">
          <cell r="C1172" t="str">
            <v>BarCap_IB Falcon Ops NY</v>
          </cell>
          <cell r="H1172">
            <v>5019880</v>
          </cell>
          <cell r="AK1172" t="str">
            <v>DELETED USER</v>
          </cell>
        </row>
        <row r="1173">
          <cell r="C1173" t="str">
            <v>FM_FUSE Test Management Office</v>
          </cell>
          <cell r="H1173">
            <v>5019182</v>
          </cell>
          <cell r="AK1173" t="str">
            <v>DELETED USER</v>
          </cell>
        </row>
        <row r="1174">
          <cell r="C1174" t="str">
            <v>FM_Loan Delivery Stage 2</v>
          </cell>
          <cell r="H1174">
            <v>5017180</v>
          </cell>
          <cell r="AK1174" t="str">
            <v>DELETED USER</v>
          </cell>
        </row>
        <row r="1175">
          <cell r="C1175" t="str">
            <v>LPL_AIOE &amp; Vestmark PMO</v>
          </cell>
          <cell r="H1175">
            <v>5019302</v>
          </cell>
          <cell r="AK1175" t="str">
            <v>Phil Kerkel</v>
          </cell>
        </row>
        <row r="1176">
          <cell r="C1176" t="str">
            <v>UB_ACBS Program Support</v>
          </cell>
          <cell r="H1176">
            <v>5019402</v>
          </cell>
          <cell r="AK1176" t="str">
            <v>Karl Augenstein</v>
          </cell>
        </row>
        <row r="1177">
          <cell r="C1177" t="str">
            <v>RBC_GABank-Mortgage Originatn</v>
          </cell>
          <cell r="H1177">
            <v>5019369</v>
          </cell>
          <cell r="AK1177" t="str">
            <v>Erik Johnson</v>
          </cell>
        </row>
        <row r="1178">
          <cell r="C1178" t="str">
            <v>MISMO Adoption Assessment (P1)</v>
          </cell>
          <cell r="H1178">
            <v>5019344</v>
          </cell>
          <cell r="AK1178" t="str">
            <v>Alan Chiang</v>
          </cell>
        </row>
        <row r="1179">
          <cell r="C1179" t="str">
            <v>2865-RAS-First Metro Bank</v>
          </cell>
          <cell r="H1179">
            <v>5030492</v>
          </cell>
          <cell r="AK1179" t="str">
            <v>Cristina Arechaga</v>
          </cell>
        </row>
        <row r="1180">
          <cell r="C1180" t="str">
            <v>3997-RAS-EverBank</v>
          </cell>
          <cell r="H1180">
            <v>5030560</v>
          </cell>
          <cell r="AK1180" t="str">
            <v>Cristina Arechaga</v>
          </cell>
        </row>
        <row r="1181">
          <cell r="C1181" t="str">
            <v>Clear Mount-CMSO-TravelTime</v>
          </cell>
          <cell r="H1181">
            <v>5029889</v>
          </cell>
          <cell r="AK1181" t="str">
            <v>Jeanette Wampler</v>
          </cell>
        </row>
        <row r="1182">
          <cell r="C1182" t="str">
            <v>FINRA_CAT_RFP_Assessment</v>
          </cell>
          <cell r="H1182">
            <v>5019401</v>
          </cell>
          <cell r="AK1182" t="str">
            <v>Jeliaz Chtilianov</v>
          </cell>
        </row>
        <row r="1183">
          <cell r="C1183" t="str">
            <v>4280-RAS-Bank of Hancock Count</v>
          </cell>
          <cell r="H1183">
            <v>5030610</v>
          </cell>
          <cell r="AK1183" t="str">
            <v>Cristina Arechaga</v>
          </cell>
        </row>
        <row r="1184">
          <cell r="C1184" t="str">
            <v>BNP_US East West May-Sept</v>
          </cell>
          <cell r="H1184">
            <v>5021654</v>
          </cell>
          <cell r="AK1184" t="str">
            <v>DELETED USER</v>
          </cell>
        </row>
        <row r="1185">
          <cell r="C1185" t="str">
            <v>BMO_Harris Y14 Data Gov</v>
          </cell>
          <cell r="H1185">
            <v>5019562</v>
          </cell>
          <cell r="AK1185" t="str">
            <v>DELETED USER</v>
          </cell>
        </row>
        <row r="1186">
          <cell r="C1186" t="str">
            <v>LEI BA Support</v>
          </cell>
          <cell r="H1186">
            <v>5041539</v>
          </cell>
          <cell r="AK1186" t="str">
            <v>Tommy Page</v>
          </cell>
        </row>
        <row r="1187">
          <cell r="C1187" t="str">
            <v>FIS_IT Strategy Rdmap</v>
          </cell>
          <cell r="H1187">
            <v>5020228</v>
          </cell>
          <cell r="AK1187" t="str">
            <v>DELETED USER</v>
          </cell>
        </row>
        <row r="1188">
          <cell r="C1188" t="str">
            <v>FIS_Barclays Multicity Living</v>
          </cell>
          <cell r="H1188">
            <v>5019447</v>
          </cell>
          <cell r="AK1188" t="str">
            <v>DELETED USER</v>
          </cell>
        </row>
        <row r="1189">
          <cell r="C1189" t="str">
            <v>11496-RAS-Synergy Bank</v>
          </cell>
          <cell r="H1189">
            <v>5030840</v>
          </cell>
          <cell r="AK1189" t="str">
            <v>Cristina Arechaga</v>
          </cell>
        </row>
        <row r="1190">
          <cell r="C1190" t="str">
            <v>114386-RAS-Cummings  Ristau &amp;</v>
          </cell>
          <cell r="H1190">
            <v>5030398</v>
          </cell>
          <cell r="AK1190" t="str">
            <v>Cristina Arechaga</v>
          </cell>
        </row>
        <row r="1191">
          <cell r="C1191" t="str">
            <v>67375-RAS-Directors Mortgage</v>
          </cell>
          <cell r="H1191">
            <v>5030390</v>
          </cell>
          <cell r="AK1191" t="str">
            <v>Cristina Arechaga</v>
          </cell>
        </row>
        <row r="1192">
          <cell r="C1192" t="str">
            <v>Jeff Strategic Risk Initiative</v>
          </cell>
          <cell r="H1192">
            <v>5019461</v>
          </cell>
          <cell r="AK1192" t="str">
            <v>DELETED USER</v>
          </cell>
        </row>
        <row r="1193">
          <cell r="C1193" t="str">
            <v>MS_ ORG_RCSA_PMO</v>
          </cell>
          <cell r="H1193">
            <v>5019387</v>
          </cell>
          <cell r="AK1193" t="str">
            <v>James St. Jean</v>
          </cell>
        </row>
        <row r="1194">
          <cell r="C1194" t="str">
            <v>BMO Harris_Cards</v>
          </cell>
          <cell r="H1194">
            <v>5019448</v>
          </cell>
          <cell r="AK1194" t="str">
            <v>Shashikala Sivapragasam</v>
          </cell>
        </row>
        <row r="1195">
          <cell r="C1195" t="str">
            <v>36580-RAS-Federal Reserve Bank</v>
          </cell>
          <cell r="H1195">
            <v>5030370</v>
          </cell>
          <cell r="AK1195" t="str">
            <v>Cristina Arechaga</v>
          </cell>
        </row>
        <row r="1196">
          <cell r="C1196" t="str">
            <v>21174-RAS-Metro Credit Union</v>
          </cell>
          <cell r="H1196">
            <v>5030335</v>
          </cell>
          <cell r="AK1196" t="str">
            <v>Cristina Arechaga</v>
          </cell>
        </row>
        <row r="1197">
          <cell r="C1197" t="str">
            <v>113465-RAS-Gardner Financial S</v>
          </cell>
          <cell r="H1197">
            <v>5030397</v>
          </cell>
          <cell r="AK1197" t="str">
            <v>Cristina Arechaga</v>
          </cell>
        </row>
        <row r="1198">
          <cell r="C1198" t="str">
            <v>CS_Reg Comp Liquidity</v>
          </cell>
          <cell r="H1198">
            <v>5019560</v>
          </cell>
          <cell r="AK1198" t="str">
            <v>Justin Gonlag</v>
          </cell>
        </row>
        <row r="1199">
          <cell r="C1199" t="str">
            <v>KB_Digital Ph2</v>
          </cell>
          <cell r="H1199">
            <v>5019590</v>
          </cell>
          <cell r="AK1199" t="str">
            <v>Jeffrey Bordan</v>
          </cell>
        </row>
        <row r="1200">
          <cell r="C1200" t="str">
            <v>BWA - QA Dashboard AMD 3</v>
          </cell>
          <cell r="AK1200" t="str">
            <v>DELETED USER</v>
          </cell>
        </row>
        <row r="1201">
          <cell r="C1201" t="str">
            <v>51650-RAS-Arnett  Carbis  Toot</v>
          </cell>
          <cell r="H1201">
            <v>5030384</v>
          </cell>
          <cell r="AK1201" t="str">
            <v>Cristina Arechaga</v>
          </cell>
        </row>
        <row r="1202">
          <cell r="C1202" t="str">
            <v>FederatedLC-MQC</v>
          </cell>
          <cell r="H1202">
            <v>5029648</v>
          </cell>
          <cell r="AK1202" t="str">
            <v>Cristina Arechaga</v>
          </cell>
        </row>
        <row r="1203">
          <cell r="C1203" t="str">
            <v>100103-CCI-Comenity Servicing</v>
          </cell>
          <cell r="H1203">
            <v>5030393</v>
          </cell>
          <cell r="AK1203" t="str">
            <v>Cristina Arechaga</v>
          </cell>
        </row>
        <row r="1204">
          <cell r="C1204" t="str">
            <v>WF_Enterprise Risk/Market Risk</v>
          </cell>
          <cell r="H1204">
            <v>5017683</v>
          </cell>
          <cell r="AK1204" t="str">
            <v>Pete Grebus</v>
          </cell>
        </row>
        <row r="1205">
          <cell r="C1205" t="str">
            <v>JPMC_CWM KYC Implementation</v>
          </cell>
          <cell r="H1205">
            <v>5019714</v>
          </cell>
          <cell r="AK1205" t="str">
            <v>Matthew Berkowitz</v>
          </cell>
        </row>
        <row r="1206">
          <cell r="C1206" t="str">
            <v>Jefferies_IT Outsourcing NARun</v>
          </cell>
          <cell r="H1206">
            <v>5017745</v>
          </cell>
          <cell r="AK1206" t="str">
            <v>John McCaffrey</v>
          </cell>
        </row>
        <row r="1207">
          <cell r="C1207" t="str">
            <v>Citi_ InvestorServices_Clarity</v>
          </cell>
          <cell r="H1207">
            <v>5019659</v>
          </cell>
          <cell r="AK1207" t="str">
            <v>Robert Norris</v>
          </cell>
        </row>
        <row r="1208">
          <cell r="C1208" t="str">
            <v>Jeff_OCR PMO</v>
          </cell>
          <cell r="H1208">
            <v>5019637</v>
          </cell>
          <cell r="AK1208" t="str">
            <v>DELETED USER</v>
          </cell>
        </row>
        <row r="1209">
          <cell r="C1209" t="str">
            <v>LPL_Vestmark BSA - Build Phase</v>
          </cell>
          <cell r="H1209">
            <v>5019474</v>
          </cell>
          <cell r="AK1209" t="str">
            <v>Phil Kerkel</v>
          </cell>
        </row>
        <row r="1210">
          <cell r="C1210" t="str">
            <v>Bi-Weekly Reporting</v>
          </cell>
          <cell r="H1210">
            <v>5030196</v>
          </cell>
          <cell r="AK1210" t="str">
            <v>Lonnie Ingram</v>
          </cell>
        </row>
        <row r="1211">
          <cell r="C1211" t="str">
            <v>13400-RAS-Meredith Village Sav</v>
          </cell>
          <cell r="H1211">
            <v>5030908</v>
          </cell>
          <cell r="AK1211" t="str">
            <v>Cristina Arechaga</v>
          </cell>
        </row>
        <row r="1212">
          <cell r="C1212" t="str">
            <v>RBC_Mortgage Operational Asses</v>
          </cell>
          <cell r="H1212">
            <v>5019703</v>
          </cell>
          <cell r="AK1212" t="str">
            <v>Erik Johnson</v>
          </cell>
        </row>
        <row r="1213">
          <cell r="C1213" t="str">
            <v>Jeff_Books &amp; Records Support</v>
          </cell>
          <cell r="H1213">
            <v>5019646</v>
          </cell>
          <cell r="AK1213" t="str">
            <v>Mike Drews</v>
          </cell>
        </row>
        <row r="1214">
          <cell r="C1214" t="str">
            <v>45128-RAS-National Bank Holdin</v>
          </cell>
          <cell r="H1214">
            <v>5030379</v>
          </cell>
          <cell r="AK1214" t="str">
            <v>Cristina Arechaga</v>
          </cell>
        </row>
        <row r="1215">
          <cell r="C1215" t="str">
            <v>BW_Core Mgmt Tech PM</v>
          </cell>
          <cell r="H1215">
            <v>5019873</v>
          </cell>
          <cell r="AK1215" t="str">
            <v>Matt Markham</v>
          </cell>
        </row>
        <row r="1216">
          <cell r="C1216" t="str">
            <v>FIS_FNF IT Transition Program</v>
          </cell>
          <cell r="H1216">
            <v>5020281</v>
          </cell>
          <cell r="AK1216" t="str">
            <v>DELETED USER</v>
          </cell>
        </row>
        <row r="1217">
          <cell r="C1217" t="str">
            <v>FIS_BarCap_Prepaid POC ext</v>
          </cell>
          <cell r="H1217">
            <v>5019852</v>
          </cell>
          <cell r="AK1217" t="str">
            <v>Thomas Wilson</v>
          </cell>
        </row>
        <row r="1218">
          <cell r="C1218" t="str">
            <v>Pershing_Genesis (60day)</v>
          </cell>
          <cell r="H1218">
            <v>5019935</v>
          </cell>
          <cell r="AK1218" t="str">
            <v>DELETED USER</v>
          </cell>
        </row>
        <row r="1219">
          <cell r="C1219" t="str">
            <v>BMO Process controls p1</v>
          </cell>
          <cell r="H1219">
            <v>5019842</v>
          </cell>
          <cell r="AK1219" t="str">
            <v>Gregg Henzel</v>
          </cell>
        </row>
        <row r="1220">
          <cell r="C1220" t="str">
            <v>BW_Core Mgmt Tech PM</v>
          </cell>
          <cell r="H1220">
            <v>5019873</v>
          </cell>
          <cell r="AK1220" t="str">
            <v>Matt Markham</v>
          </cell>
        </row>
        <row r="1221">
          <cell r="C1221" t="str">
            <v>GL Platform Conversion Phase 3</v>
          </cell>
          <cell r="H1221">
            <v>5019949</v>
          </cell>
          <cell r="AK1221" t="str">
            <v>Phil Kerkel</v>
          </cell>
        </row>
        <row r="1222">
          <cell r="C1222" t="str">
            <v>MS_Confidential (Operations)</v>
          </cell>
          <cell r="H1222">
            <v>5020181</v>
          </cell>
          <cell r="AK1222" t="str">
            <v>DELETED USER</v>
          </cell>
        </row>
        <row r="1223">
          <cell r="C1223" t="str">
            <v>UB_Br FrontCount Image Capture</v>
          </cell>
          <cell r="H1223">
            <v>5020015</v>
          </cell>
          <cell r="AK1223" t="str">
            <v>Lane Martin</v>
          </cell>
        </row>
        <row r="1224">
          <cell r="C1224" t="str">
            <v>FM_CSP Int. Testing Phase 5</v>
          </cell>
          <cell r="H1224">
            <v>5019978</v>
          </cell>
          <cell r="AK1224" t="str">
            <v>Kenneth Sweetman</v>
          </cell>
        </row>
        <row r="1225">
          <cell r="C1225" t="str">
            <v>10514-RAS-Community Bank  NA</v>
          </cell>
          <cell r="H1225">
            <v>5030799</v>
          </cell>
          <cell r="AK1225" t="str">
            <v>Cristina Arechaga</v>
          </cell>
        </row>
        <row r="1226">
          <cell r="C1226" t="str">
            <v>Jeff_GMI July Extension</v>
          </cell>
          <cell r="H1226">
            <v>5020261</v>
          </cell>
          <cell r="AK1226" t="str">
            <v>DELETED USER</v>
          </cell>
        </row>
        <row r="1227">
          <cell r="C1227" t="str">
            <v>FM_Data Team Q3-2014</v>
          </cell>
          <cell r="H1227">
            <v>5019803</v>
          </cell>
          <cell r="AK1227" t="str">
            <v>DELETED USER</v>
          </cell>
        </row>
        <row r="1228">
          <cell r="C1228" t="str">
            <v>FM_CSP CI Automation</v>
          </cell>
          <cell r="H1228">
            <v>5019663</v>
          </cell>
          <cell r="AK1228" t="str">
            <v>DELETED USER</v>
          </cell>
        </row>
        <row r="1229">
          <cell r="C1229" t="str">
            <v>WF_Portfolio Multi -year</v>
          </cell>
          <cell r="H1229">
            <v>5019689</v>
          </cell>
          <cell r="AK1229" t="str">
            <v>DELETED USER</v>
          </cell>
        </row>
        <row r="1230">
          <cell r="C1230" t="str">
            <v>BarCap_Artemis Tech 2</v>
          </cell>
          <cell r="H1230">
            <v>5020078</v>
          </cell>
          <cell r="AK1230" t="str">
            <v>DELETED USER</v>
          </cell>
        </row>
        <row r="1231">
          <cell r="C1231" t="str">
            <v>WF_LME Expansion</v>
          </cell>
          <cell r="H1231">
            <v>5020307</v>
          </cell>
          <cell r="AK1231" t="str">
            <v>Jennifer Liu</v>
          </cell>
        </row>
        <row r="1232">
          <cell r="C1232" t="str">
            <v>BarCap_Artemis Tech PMO</v>
          </cell>
          <cell r="H1232">
            <v>5019953</v>
          </cell>
          <cell r="AK1232" t="str">
            <v>DELETED USER</v>
          </cell>
        </row>
        <row r="1233">
          <cell r="C1233" t="str">
            <v>KB_KBCM Pershing</v>
          </cell>
          <cell r="H1233">
            <v>5019970</v>
          </cell>
          <cell r="AK1233" t="str">
            <v>DELETED USER</v>
          </cell>
        </row>
        <row r="1234">
          <cell r="C1234" t="str">
            <v>JPMC_RSU Extension</v>
          </cell>
          <cell r="H1234">
            <v>5019969</v>
          </cell>
          <cell r="AK1234" t="str">
            <v>DELETED USER</v>
          </cell>
        </row>
        <row r="1235">
          <cell r="C1235" t="str">
            <v>Bay Bank-MQC</v>
          </cell>
          <cell r="H1235">
            <v>5029587</v>
          </cell>
          <cell r="AK1235" t="str">
            <v>Cristina Arechaga</v>
          </cell>
        </row>
        <row r="1236">
          <cell r="C1236" t="str">
            <v>TD AMCB_US Cards Process Map</v>
          </cell>
          <cell r="H1236">
            <v>5019528</v>
          </cell>
          <cell r="AK1236" t="str">
            <v>Martin Amend</v>
          </cell>
        </row>
        <row r="1237">
          <cell r="C1237" t="str">
            <v>BarCap_IB Falcon MO Ops #1</v>
          </cell>
          <cell r="H1237">
            <v>5020070</v>
          </cell>
          <cell r="AK1237" t="str">
            <v>DELETED USER</v>
          </cell>
        </row>
        <row r="1238">
          <cell r="C1238" t="str">
            <v>HSBC_TPRM</v>
          </cell>
          <cell r="H1238">
            <v>5020222</v>
          </cell>
          <cell r="AK1238" t="str">
            <v>DELETED USER</v>
          </cell>
        </row>
        <row r="1239">
          <cell r="C1239" t="str">
            <v>PNC_CLS Client Segmentation</v>
          </cell>
          <cell r="H1239">
            <v>5020230</v>
          </cell>
          <cell r="AK1239" t="str">
            <v>Karl Augenstein</v>
          </cell>
        </row>
        <row r="1240">
          <cell r="C1240" t="str">
            <v>Jeff_ JAC Spectrum Implemen</v>
          </cell>
          <cell r="H1240">
            <v>5020255</v>
          </cell>
          <cell r="AK1240" t="str">
            <v>Chelsea Mattias</v>
          </cell>
        </row>
        <row r="1241">
          <cell r="C1241" t="str">
            <v>FrMc Org Design</v>
          </cell>
          <cell r="H1241">
            <v>5020021</v>
          </cell>
          <cell r="AK1241" t="str">
            <v>Michael Tao</v>
          </cell>
        </row>
        <row r="1242">
          <cell r="C1242" t="str">
            <v>115345-CCI-Elevate Credit  Inc</v>
          </cell>
          <cell r="H1242">
            <v>5030399</v>
          </cell>
          <cell r="AK1242" t="str">
            <v>Cristina Arechaga</v>
          </cell>
        </row>
        <row r="1243">
          <cell r="C1243" t="str">
            <v>11643-RAS-People's National Ba</v>
          </cell>
          <cell r="H1243">
            <v>5030848</v>
          </cell>
          <cell r="AK1243" t="str">
            <v>Cristina Arechaga</v>
          </cell>
        </row>
        <row r="1244">
          <cell r="C1244" t="str">
            <v>BarCap_IB Falcon EMIR MO/OPS</v>
          </cell>
          <cell r="H1244">
            <v>5020349</v>
          </cell>
          <cell r="AK1244" t="str">
            <v>DELETED USER</v>
          </cell>
        </row>
        <row r="1245">
          <cell r="C1245" t="str">
            <v>BMO_Project Controls Phase 2</v>
          </cell>
          <cell r="H1245">
            <v>5020265</v>
          </cell>
          <cell r="AK1245" t="str">
            <v>Gregg Henzel</v>
          </cell>
        </row>
        <row r="1246">
          <cell r="C1246" t="str">
            <v>BNP_Chrysalide</v>
          </cell>
          <cell r="H1246">
            <v>5021650</v>
          </cell>
          <cell r="AK1246" t="str">
            <v>DELETED USER</v>
          </cell>
        </row>
        <row r="1247">
          <cell r="C1247" t="str">
            <v>19043-CCI-Profed Federal Credi</v>
          </cell>
          <cell r="H1247">
            <v>5030332</v>
          </cell>
          <cell r="AK1247" t="str">
            <v>Cristina Arechaga</v>
          </cell>
        </row>
        <row r="1248">
          <cell r="C1248" t="str">
            <v>Credit Risk Data Repository</v>
          </cell>
          <cell r="H1248">
            <v>5013786</v>
          </cell>
          <cell r="AK1248" t="str">
            <v>DELETED USER</v>
          </cell>
        </row>
        <row r="1249">
          <cell r="C1249" t="str">
            <v>FIS_Horizon SIT Project</v>
          </cell>
          <cell r="H1249">
            <v>5019917</v>
          </cell>
          <cell r="AK1249" t="str">
            <v>DELETED USER</v>
          </cell>
        </row>
        <row r="1250">
          <cell r="C1250" t="str">
            <v>FM_CSP Test Reports aa Service</v>
          </cell>
          <cell r="H1250">
            <v>5019667</v>
          </cell>
          <cell r="AK1250" t="str">
            <v>DELETED USER</v>
          </cell>
        </row>
        <row r="1251">
          <cell r="C1251" t="str">
            <v>FM_LNDG Stage 2B R7-R9</v>
          </cell>
          <cell r="H1251">
            <v>5020375</v>
          </cell>
          <cell r="AK1251" t="str">
            <v>DELETED USER</v>
          </cell>
        </row>
        <row r="1252">
          <cell r="C1252" t="str">
            <v>MS AML Extension</v>
          </cell>
          <cell r="H1252">
            <v>5020623</v>
          </cell>
          <cell r="AK1252" t="str">
            <v>Dan Hu</v>
          </cell>
        </row>
        <row r="1253">
          <cell r="C1253" t="str">
            <v>MS_AML_SSBO</v>
          </cell>
          <cell r="H1253">
            <v>5020623</v>
          </cell>
          <cell r="AK1253" t="str">
            <v>Dan Hu</v>
          </cell>
        </row>
        <row r="1254">
          <cell r="C1254" t="str">
            <v>6199-RAS-1st Summit Bank</v>
          </cell>
          <cell r="H1254">
            <v>5030650</v>
          </cell>
          <cell r="AK1254" t="str">
            <v>Cristina Arechaga</v>
          </cell>
        </row>
        <row r="1255">
          <cell r="C1255" t="str">
            <v>FM_CCP Ph2 BUBD PlanAnalysis</v>
          </cell>
          <cell r="H1255">
            <v>5019964</v>
          </cell>
          <cell r="AK1255" t="str">
            <v>DELETED USER</v>
          </cell>
        </row>
        <row r="1256">
          <cell r="C1256" t="str">
            <v>37090-RAS-Franklin American Mo</v>
          </cell>
          <cell r="H1256">
            <v>5030372</v>
          </cell>
          <cell r="AK1256" t="str">
            <v>Cristina Arechaga</v>
          </cell>
        </row>
        <row r="1257">
          <cell r="C1257" t="str">
            <v>5757-RAS-First National Bank o</v>
          </cell>
          <cell r="H1257">
            <v>5030643</v>
          </cell>
          <cell r="AK1257" t="str">
            <v>Cristina Arechaga</v>
          </cell>
        </row>
        <row r="1258">
          <cell r="C1258" t="str">
            <v>FM_CCP - Post Phase 1</v>
          </cell>
          <cell r="H1258">
            <v>5019734</v>
          </cell>
          <cell r="AK1258" t="str">
            <v>DELETED USER</v>
          </cell>
        </row>
        <row r="1259">
          <cell r="C1259" t="str">
            <v>BMO Harris_Cards-2</v>
          </cell>
          <cell r="H1259">
            <v>5020595</v>
          </cell>
          <cell r="AK1259" t="str">
            <v>Shashikala Sivapragasam</v>
          </cell>
        </row>
        <row r="1260">
          <cell r="C1260" t="str">
            <v>12669-RAS-First Federal Bank</v>
          </cell>
          <cell r="H1260">
            <v>5030877</v>
          </cell>
          <cell r="AK1260" t="str">
            <v>Cristina Arechaga</v>
          </cell>
        </row>
        <row r="1261">
          <cell r="C1261" t="str">
            <v>FIS_Digital Brand Refresh</v>
          </cell>
          <cell r="H1261">
            <v>5020566</v>
          </cell>
          <cell r="AK1261" t="str">
            <v>DELETED USER</v>
          </cell>
        </row>
        <row r="1262">
          <cell r="C1262" t="str">
            <v>AMEX DT Analytics</v>
          </cell>
          <cell r="H1262">
            <v>5020346</v>
          </cell>
          <cell r="AK1262" t="str">
            <v>DELETED USER</v>
          </cell>
        </row>
        <row r="1263">
          <cell r="C1263" t="str">
            <v>RBC_CM Reg Operating Model</v>
          </cell>
          <cell r="H1263">
            <v>5019952</v>
          </cell>
          <cell r="AK1263" t="str">
            <v>George Black</v>
          </cell>
        </row>
        <row r="1264">
          <cell r="C1264" t="str">
            <v>RBC_Change Management</v>
          </cell>
          <cell r="H1264">
            <v>5021026</v>
          </cell>
          <cell r="AK1264" t="str">
            <v>DELETED USER</v>
          </cell>
        </row>
        <row r="1265">
          <cell r="C1265" t="str">
            <v>6998-RAS-Bank of Hindman</v>
          </cell>
          <cell r="H1265">
            <v>5030664</v>
          </cell>
          <cell r="AK1265" t="str">
            <v>Cristina Arechaga</v>
          </cell>
        </row>
        <row r="1266">
          <cell r="C1266" t="str">
            <v>4627-RAS-First Community Bank</v>
          </cell>
          <cell r="H1266">
            <v>5030573</v>
          </cell>
          <cell r="AK1266" t="str">
            <v>Cristina Arechaga</v>
          </cell>
        </row>
        <row r="1267">
          <cell r="C1267" t="str">
            <v>2371-RAS-Amalgamated Bank</v>
          </cell>
          <cell r="H1267">
            <v>5030445</v>
          </cell>
          <cell r="AK1267" t="str">
            <v>Cristina Arechaga</v>
          </cell>
        </row>
        <row r="1268">
          <cell r="C1268" t="str">
            <v>Barcap Office Credit/Equities</v>
          </cell>
          <cell r="H1268">
            <v>5020495</v>
          </cell>
          <cell r="AK1268" t="str">
            <v>DELETED USER</v>
          </cell>
        </row>
        <row r="1269">
          <cell r="C1269" t="str">
            <v>Barclays IB ECP FO R and C</v>
          </cell>
          <cell r="H1269">
            <v>5020495</v>
          </cell>
          <cell r="AK1269" t="str">
            <v>DELETED USER</v>
          </cell>
        </row>
        <row r="1270">
          <cell r="C1270" t="str">
            <v>Advance Fin-ILT</v>
          </cell>
          <cell r="H1270">
            <v>5029655</v>
          </cell>
          <cell r="AK1270" t="str">
            <v>Joseph Schmidt</v>
          </cell>
        </row>
        <row r="1271">
          <cell r="C1271" t="str">
            <v>13488-RAS-First Central Saving</v>
          </cell>
          <cell r="H1271">
            <v>5030913</v>
          </cell>
          <cell r="AK1271" t="str">
            <v>Cristina Arechaga</v>
          </cell>
        </row>
        <row r="1272">
          <cell r="C1272" t="str">
            <v>FM_Multi-Family BA-PM</v>
          </cell>
          <cell r="H1272">
            <v>5020561</v>
          </cell>
          <cell r="AK1272" t="str">
            <v>DELETED USER</v>
          </cell>
        </row>
        <row r="1273">
          <cell r="C1273" t="str">
            <v>FM _Outcome Base Testing PM</v>
          </cell>
          <cell r="H1273">
            <v>5020795</v>
          </cell>
          <cell r="AK1273" t="str">
            <v>DELETED USER</v>
          </cell>
        </row>
        <row r="1274">
          <cell r="C1274" t="str">
            <v>FM Securitization PMO</v>
          </cell>
          <cell r="H1274">
            <v>5020790</v>
          </cell>
          <cell r="AK1274" t="str">
            <v>Bryce VanDiver</v>
          </cell>
        </row>
        <row r="1275">
          <cell r="C1275" t="str">
            <v>FM_CSP Int FHFA Rpt_AMD 1</v>
          </cell>
          <cell r="H1275">
            <v>5019044</v>
          </cell>
          <cell r="AK1275" t="str">
            <v>DELETED USER</v>
          </cell>
        </row>
        <row r="1276">
          <cell r="C1276" t="str">
            <v>BBL_Phase II</v>
          </cell>
          <cell r="H1276">
            <v>5021313</v>
          </cell>
          <cell r="AK1276" t="str">
            <v>George Black</v>
          </cell>
        </row>
        <row r="1277">
          <cell r="C1277" t="str">
            <v>GS_Mexico Broker Dealer-Q42014</v>
          </cell>
          <cell r="H1277">
            <v>5021057</v>
          </cell>
          <cell r="AK1277" t="str">
            <v>Ryan Savoca</v>
          </cell>
        </row>
        <row r="1278">
          <cell r="C1278" t="str">
            <v>EORC_2014_Extension</v>
          </cell>
          <cell r="H1278">
            <v>5015255</v>
          </cell>
          <cell r="AK1278" t="str">
            <v>Iruka Brown</v>
          </cell>
        </row>
        <row r="1279">
          <cell r="C1279" t="str">
            <v>FIS_USAA_File Remediation Ext</v>
          </cell>
          <cell r="H1279">
            <v>5019249</v>
          </cell>
          <cell r="AK1279" t="str">
            <v>DELETED USER</v>
          </cell>
        </row>
        <row r="1280">
          <cell r="C1280" t="str">
            <v>First Community Bank of Cu_RAS</v>
          </cell>
          <cell r="H1280">
            <v>5039638</v>
          </cell>
          <cell r="AK1280" t="str">
            <v>Rebecca Breland</v>
          </cell>
        </row>
        <row r="1281">
          <cell r="C1281" t="str">
            <v>FRMC CSP IT Tech Ldrshp OctFeb</v>
          </cell>
          <cell r="H1281">
            <v>5020442</v>
          </cell>
          <cell r="AK1281" t="str">
            <v>Darrell Rials</v>
          </cell>
        </row>
        <row r="1282">
          <cell r="C1282" t="str">
            <v>BNP_US East West Q4</v>
          </cell>
          <cell r="H1282">
            <v>5021651</v>
          </cell>
          <cell r="AK1282" t="str">
            <v>DELETED USER</v>
          </cell>
        </row>
        <row r="1283">
          <cell r="C1283" t="str">
            <v>BNP_OPCO Q4 2014</v>
          </cell>
          <cell r="H1283">
            <v>5021655</v>
          </cell>
          <cell r="AK1283" t="str">
            <v>DELETED USER</v>
          </cell>
        </row>
        <row r="1284">
          <cell r="C1284" t="str">
            <v>Jersey State Bank_RAS</v>
          </cell>
          <cell r="H1284">
            <v>5039673</v>
          </cell>
          <cell r="AK1284" t="str">
            <v>Diane Banks</v>
          </cell>
        </row>
        <row r="1285">
          <cell r="C1285" t="str">
            <v>FIS_Citi Scrum Master</v>
          </cell>
          <cell r="H1285">
            <v>5021198</v>
          </cell>
          <cell r="AK1285" t="str">
            <v>DELETED USER</v>
          </cell>
        </row>
        <row r="1286">
          <cell r="C1286" t="str">
            <v>TD_US NGP</v>
          </cell>
          <cell r="H1286">
            <v>5019558</v>
          </cell>
          <cell r="AK1286" t="str">
            <v>Michael Connor</v>
          </cell>
        </row>
        <row r="1287">
          <cell r="C1287" t="str">
            <v>Jeff_JAC Spectrum Extension</v>
          </cell>
          <cell r="H1287">
            <v>5020914</v>
          </cell>
          <cell r="AK1287" t="str">
            <v>Chelsea Mattias</v>
          </cell>
        </row>
        <row r="1288">
          <cell r="C1288" t="str">
            <v>Jeff_GMI 13 wk ext</v>
          </cell>
          <cell r="H1288">
            <v>5020989</v>
          </cell>
          <cell r="AK1288" t="str">
            <v>DELETED USER</v>
          </cell>
        </row>
        <row r="1289">
          <cell r="C1289" t="str">
            <v>CSP Gateway &amp; ESB/EIO Arch</v>
          </cell>
          <cell r="H1289">
            <v>5020980</v>
          </cell>
          <cell r="AK1289" t="str">
            <v>Luke Penca</v>
          </cell>
        </row>
        <row r="1290">
          <cell r="C1290" t="str">
            <v>FIS_FNF ITO QA</v>
          </cell>
          <cell r="H1290">
            <v>5021148</v>
          </cell>
          <cell r="AK1290" t="str">
            <v>DELETED USER</v>
          </cell>
        </row>
        <row r="1291">
          <cell r="C1291" t="str">
            <v>Jeff_Compl Tech Analysis</v>
          </cell>
          <cell r="H1291">
            <v>5020953</v>
          </cell>
          <cell r="AK1291" t="str">
            <v>Mike Drews</v>
          </cell>
        </row>
        <row r="1292">
          <cell r="C1292" t="str">
            <v>FIS_FNF Softrpro Transition</v>
          </cell>
          <cell r="H1292">
            <v>5021117</v>
          </cell>
          <cell r="AK1292" t="str">
            <v>Michael Moerman</v>
          </cell>
        </row>
        <row r="1293">
          <cell r="C1293" t="str">
            <v>BMO Harris_AML Remediatn SCV</v>
          </cell>
          <cell r="H1293">
            <v>5020337</v>
          </cell>
          <cell r="AK1293" t="str">
            <v>Gaelan Woolham</v>
          </cell>
        </row>
        <row r="1294">
          <cell r="C1294" t="str">
            <v>UB_e-Signature Business Case</v>
          </cell>
          <cell r="H1294">
            <v>5020485</v>
          </cell>
          <cell r="AK1294" t="str">
            <v>Lane Martin</v>
          </cell>
        </row>
        <row r="1295">
          <cell r="C1295" t="str">
            <v>4662-RAS-Clover Community Bank</v>
          </cell>
          <cell r="H1295">
            <v>5030580</v>
          </cell>
          <cell r="AK1295" t="str">
            <v>Cristina Arechaga</v>
          </cell>
        </row>
        <row r="1296">
          <cell r="C1296" t="str">
            <v>FIS_FNF Servicelink DC Strat</v>
          </cell>
          <cell r="H1296">
            <v>5021116</v>
          </cell>
          <cell r="AK1296" t="str">
            <v>DELETED USER</v>
          </cell>
        </row>
        <row r="1297">
          <cell r="C1297" t="str">
            <v>FIS_FNF Day Two Governance</v>
          </cell>
          <cell r="H1297">
            <v>5021284</v>
          </cell>
          <cell r="AK1297" t="str">
            <v>DELETED USER</v>
          </cell>
        </row>
        <row r="1298">
          <cell r="C1298" t="str">
            <v>FIS_FNF Day Two Governance</v>
          </cell>
          <cell r="H1298">
            <v>5021284</v>
          </cell>
          <cell r="AK1298" t="str">
            <v>DELETED USER</v>
          </cell>
        </row>
        <row r="1299">
          <cell r="C1299" t="str">
            <v>119515-RAS-AG New Mexico  Farm</v>
          </cell>
          <cell r="H1299">
            <v>5030400</v>
          </cell>
          <cell r="AK1299" t="str">
            <v>Cristina Arechaga</v>
          </cell>
        </row>
        <row r="1300">
          <cell r="C1300" t="str">
            <v>Great Plains National Bank_RAS</v>
          </cell>
          <cell r="H1300">
            <v>5039667</v>
          </cell>
          <cell r="AK1300" t="str">
            <v>Diane Banks</v>
          </cell>
        </row>
        <row r="1301">
          <cell r="C1301" t="str">
            <v>Chesapeake-MQC</v>
          </cell>
          <cell r="H1301">
            <v>5029616</v>
          </cell>
          <cell r="AK1301" t="str">
            <v>DELETED USER</v>
          </cell>
        </row>
        <row r="1302">
          <cell r="C1302" t="str">
            <v>FN_CreditRiskDataRepository</v>
          </cell>
          <cell r="H1302">
            <v>5013786</v>
          </cell>
          <cell r="AK1302" t="str">
            <v>DELETED USER</v>
          </cell>
        </row>
        <row r="1303">
          <cell r="C1303" t="str">
            <v>FIS_HORIZON Conver &amp; Migration</v>
          </cell>
          <cell r="H1303">
            <v>5021294</v>
          </cell>
          <cell r="AK1303" t="str">
            <v>DELETED USER</v>
          </cell>
        </row>
        <row r="1304">
          <cell r="C1304" t="str">
            <v>SF Replatform Governance</v>
          </cell>
          <cell r="H1304">
            <v>5021009</v>
          </cell>
          <cell r="AK1304" t="str">
            <v>Bryce VanDiver</v>
          </cell>
        </row>
        <row r="1305">
          <cell r="C1305" t="str">
            <v>FM_CCP Phase 2 Development</v>
          </cell>
          <cell r="H1305">
            <v>5019715</v>
          </cell>
          <cell r="AK1305" t="str">
            <v>DELETED USER</v>
          </cell>
        </row>
        <row r="1306">
          <cell r="C1306" t="str">
            <v>MetLife App Dev Supp Offshore</v>
          </cell>
          <cell r="H1306">
            <v>5021142</v>
          </cell>
          <cell r="AK1306" t="str">
            <v>DELETED USER</v>
          </cell>
        </row>
        <row r="1307">
          <cell r="C1307" t="str">
            <v>FrMc_Single Family Retainer</v>
          </cell>
          <cell r="H1307">
            <v>5020842</v>
          </cell>
          <cell r="AK1307" t="str">
            <v>Michael Tao</v>
          </cell>
        </row>
        <row r="1308">
          <cell r="C1308" t="str">
            <v>FM_UCDP Veros Assessment 2014</v>
          </cell>
          <cell r="H1308">
            <v>5020394</v>
          </cell>
          <cell r="AK1308" t="str">
            <v>Matt Markham</v>
          </cell>
        </row>
        <row r="1309">
          <cell r="C1309" t="str">
            <v>BMO P3 support</v>
          </cell>
          <cell r="H1309">
            <v>5020277</v>
          </cell>
          <cell r="AK1309" t="str">
            <v>Michelle Fambro</v>
          </cell>
        </row>
        <row r="1310">
          <cell r="C1310" t="str">
            <v>Jeff_JDOE Documentation Mgmt</v>
          </cell>
          <cell r="H1310">
            <v>5021218</v>
          </cell>
          <cell r="AK1310" t="str">
            <v>Chelsea Mattias</v>
          </cell>
        </row>
        <row r="1311">
          <cell r="C1311" t="str">
            <v>FrMc_Single Security BusRqmt</v>
          </cell>
          <cell r="H1311">
            <v>5020916</v>
          </cell>
          <cell r="AK1311" t="str">
            <v>Thomas Wilson</v>
          </cell>
        </row>
        <row r="1312">
          <cell r="C1312" t="str">
            <v>itBit Custody Bank Launch</v>
          </cell>
          <cell r="H1312">
            <v>5021400</v>
          </cell>
          <cell r="AK1312" t="str">
            <v>DELETED USER</v>
          </cell>
        </row>
        <row r="1313">
          <cell r="C1313" t="str">
            <v>BW_Core Mgmt Tech PM Support</v>
          </cell>
          <cell r="H1313">
            <v>5020861</v>
          </cell>
          <cell r="AK1313" t="str">
            <v>Matt Markham</v>
          </cell>
        </row>
        <row r="1314">
          <cell r="C1314" t="str">
            <v>4736-RAS-Banesco USA</v>
          </cell>
          <cell r="H1314">
            <v>5030583</v>
          </cell>
          <cell r="AK1314" t="str">
            <v>Cristina Arechaga</v>
          </cell>
        </row>
        <row r="1315">
          <cell r="C1315" t="str">
            <v>9669-RAS-First State Bank</v>
          </cell>
          <cell r="H1315">
            <v>5030761</v>
          </cell>
          <cell r="AK1315" t="str">
            <v>Cristina Arechaga</v>
          </cell>
        </row>
        <row r="1316">
          <cell r="C1316" t="str">
            <v>MS_Prime Brokerage Technology</v>
          </cell>
          <cell r="H1316">
            <v>5020142</v>
          </cell>
          <cell r="AK1316" t="str">
            <v>Angela McGregor</v>
          </cell>
        </row>
        <row r="1317">
          <cell r="C1317" t="str">
            <v>FIS IT Strategy</v>
          </cell>
          <cell r="H1317">
            <v>5021398</v>
          </cell>
          <cell r="AK1317" t="str">
            <v>Voya Nebojsa Vojinovic</v>
          </cell>
        </row>
        <row r="1318">
          <cell r="C1318" t="str">
            <v>Jeff_COO Annual Report</v>
          </cell>
          <cell r="H1318">
            <v>5021417</v>
          </cell>
          <cell r="AK1318" t="str">
            <v>Mike Drews</v>
          </cell>
        </row>
        <row r="1319">
          <cell r="C1319" t="str">
            <v>GS Reg Support</v>
          </cell>
          <cell r="H1319">
            <v>5021549</v>
          </cell>
          <cell r="AK1319" t="str">
            <v>Ryan Savoca</v>
          </cell>
        </row>
        <row r="1320">
          <cell r="C1320" t="str">
            <v>5727-RAS-Plumas Bank</v>
          </cell>
          <cell r="H1320">
            <v>5030641</v>
          </cell>
          <cell r="AK1320" t="str">
            <v>Cristina Arechaga</v>
          </cell>
        </row>
        <row r="1321">
          <cell r="C1321" t="str">
            <v>Metlife_Murex Support</v>
          </cell>
          <cell r="H1321">
            <v>5021588</v>
          </cell>
          <cell r="AK1321" t="str">
            <v>DELETED USER</v>
          </cell>
        </row>
        <row r="1322">
          <cell r="C1322" t="str">
            <v>FM_LNDG Stage 2B R10-R12</v>
          </cell>
          <cell r="H1322">
            <v>5019988</v>
          </cell>
          <cell r="AK1322" t="str">
            <v>Raj Konduru</v>
          </cell>
        </row>
        <row r="1323">
          <cell r="C1323" t="str">
            <v>FIS_FNF SoftPro Trans Exec</v>
          </cell>
          <cell r="H1323">
            <v>5021633</v>
          </cell>
          <cell r="AK1323" t="str">
            <v>Michael Moerman</v>
          </cell>
        </row>
        <row r="1324">
          <cell r="C1324" t="str">
            <v>San_IHC Support</v>
          </cell>
          <cell r="H1324">
            <v>5021704</v>
          </cell>
          <cell r="AK1324" t="str">
            <v>Ridha Mesli</v>
          </cell>
        </row>
        <row r="1325">
          <cell r="C1325" t="str">
            <v>100685-RAS-Boston Community Ca</v>
          </cell>
          <cell r="H1325">
            <v>5030394</v>
          </cell>
          <cell r="AK1325" t="str">
            <v>Cristina Arechaga</v>
          </cell>
        </row>
        <row r="1326">
          <cell r="C1326" t="str">
            <v>Clearing Services</v>
          </cell>
          <cell r="H1326">
            <v>5021688</v>
          </cell>
          <cell r="AK1326" t="str">
            <v>Bill Mollica</v>
          </cell>
        </row>
        <row r="1327">
          <cell r="C1327" t="str">
            <v>American Business Bank_RAS</v>
          </cell>
          <cell r="H1327">
            <v>5039583</v>
          </cell>
          <cell r="AK1327" t="str">
            <v>Diane Banks</v>
          </cell>
        </row>
        <row r="1328">
          <cell r="C1328" t="str">
            <v>FRMC_Org Design Finance(AMD 3)</v>
          </cell>
          <cell r="H1328">
            <v>5021696</v>
          </cell>
          <cell r="AK1328" t="str">
            <v>Michael Tao</v>
          </cell>
        </row>
        <row r="1329">
          <cell r="C1329" t="str">
            <v>10092-RAS-American Business Ba</v>
          </cell>
          <cell r="H1329">
            <v>5030779</v>
          </cell>
          <cell r="AK1329" t="str">
            <v>Cristina Arechaga</v>
          </cell>
        </row>
        <row r="1330">
          <cell r="C1330" t="str">
            <v>USB_Wealth RIA Strategy</v>
          </cell>
          <cell r="H1330">
            <v>5021723</v>
          </cell>
          <cell r="AK1330" t="str">
            <v>DELETED USER</v>
          </cell>
        </row>
        <row r="1331">
          <cell r="C1331" t="str">
            <v>BMO Process controls p2-Retail</v>
          </cell>
          <cell r="H1331">
            <v>5021765</v>
          </cell>
          <cell r="AK1331" t="str">
            <v>Michelle Fambro</v>
          </cell>
        </row>
        <row r="1332">
          <cell r="C1332" t="str">
            <v>12323-CCI-Sallie Mae Bank</v>
          </cell>
          <cell r="H1332">
            <v>5030874</v>
          </cell>
          <cell r="AK1332" t="str">
            <v>Cristina Arechaga</v>
          </cell>
        </row>
        <row r="1333">
          <cell r="C1333" t="str">
            <v>FM_CCP GemFire Removal</v>
          </cell>
          <cell r="H1333">
            <v>5021306</v>
          </cell>
          <cell r="AK1333" t="str">
            <v>DELETED USER</v>
          </cell>
        </row>
        <row r="1334">
          <cell r="C1334" t="str">
            <v>2414-RAS-BankSouth</v>
          </cell>
          <cell r="H1334">
            <v>5030454</v>
          </cell>
          <cell r="AK1334" t="str">
            <v>Cristina Arechaga</v>
          </cell>
        </row>
        <row r="1335">
          <cell r="C1335" t="str">
            <v>MS_OFAC Expansion</v>
          </cell>
          <cell r="H1335">
            <v>5018451</v>
          </cell>
          <cell r="AK1335" t="str">
            <v>Newsha Parvardin</v>
          </cell>
        </row>
        <row r="1336">
          <cell r="C1336" t="str">
            <v>Crescent CU-Compl Con&amp;Proj-RAS</v>
          </cell>
          <cell r="H1336">
            <v>5029823</v>
          </cell>
          <cell r="AK1336" t="str">
            <v>Jamar Green</v>
          </cell>
        </row>
        <row r="1337">
          <cell r="C1337" t="str">
            <v>Prime Lend-Compliance Consult</v>
          </cell>
          <cell r="H1337">
            <v>5030020</v>
          </cell>
          <cell r="AK1337" t="str">
            <v>Cristina Arechaga</v>
          </cell>
        </row>
        <row r="1338">
          <cell r="C1338" t="str">
            <v>USAA-15-17 On-Going Prod</v>
          </cell>
          <cell r="H1338">
            <v>5029780</v>
          </cell>
          <cell r="AK1338" t="str">
            <v>Willis Leitner</v>
          </cell>
        </row>
        <row r="1339">
          <cell r="C1339" t="str">
            <v>GS_Reg Compliance Support</v>
          </cell>
          <cell r="H1339">
            <v>5021799</v>
          </cell>
          <cell r="AK1339" t="str">
            <v>DELETED USER</v>
          </cell>
        </row>
        <row r="1340">
          <cell r="C1340" t="str">
            <v>BarCap_Falcon Project Support</v>
          </cell>
          <cell r="H1340">
            <v>5020691</v>
          </cell>
          <cell r="AK1340" t="str">
            <v>Sandra Paris</v>
          </cell>
        </row>
        <row r="1341">
          <cell r="C1341" t="str">
            <v>Jeff_UK IT PMO</v>
          </cell>
          <cell r="H1341">
            <v>5016083</v>
          </cell>
          <cell r="AK1341" t="str">
            <v>Mike Drews</v>
          </cell>
        </row>
        <row r="1342">
          <cell r="C1342" t="str">
            <v>BankSouth-Compliance Audits</v>
          </cell>
          <cell r="H1342">
            <v>5029887</v>
          </cell>
          <cell r="AK1342" t="str">
            <v>Amanda Pickering</v>
          </cell>
        </row>
        <row r="1343">
          <cell r="C1343" t="str">
            <v>FIS_Conversion &amp; Migration</v>
          </cell>
          <cell r="H1343">
            <v>5021853</v>
          </cell>
          <cell r="AK1343" t="str">
            <v>DELETED USER</v>
          </cell>
        </row>
        <row r="1344">
          <cell r="C1344" t="str">
            <v>12365-RAS-Bank of East Asia Lt</v>
          </cell>
          <cell r="H1344">
            <v>5030823</v>
          </cell>
          <cell r="AK1344" t="str">
            <v>Cristina Arechaga</v>
          </cell>
        </row>
        <row r="1345">
          <cell r="C1345" t="str">
            <v>FrMc LC Insight Rls 4 &amp;5 AMD 1</v>
          </cell>
          <cell r="H1345">
            <v>5020229</v>
          </cell>
          <cell r="AK1345" t="str">
            <v>Raj Konduru</v>
          </cell>
        </row>
        <row r="1346">
          <cell r="C1346" t="str">
            <v>Achieve FS-Compliance Reviews</v>
          </cell>
          <cell r="H1346">
            <v>5029963</v>
          </cell>
          <cell r="AK1346" t="str">
            <v>Joseph Schmidt</v>
          </cell>
        </row>
        <row r="1347">
          <cell r="C1347" t="str">
            <v>HSBC_CDCo_RBWM</v>
          </cell>
          <cell r="H1347">
            <v>5022650</v>
          </cell>
          <cell r="AK1347" t="str">
            <v>DELETED USER</v>
          </cell>
        </row>
        <row r="1348">
          <cell r="C1348" t="str">
            <v>MCNB Bank-ComplAdmn-TravelTime</v>
          </cell>
          <cell r="H1348">
            <v>5030041</v>
          </cell>
          <cell r="AK1348" t="str">
            <v>Steve Manitzas</v>
          </cell>
        </row>
        <row r="1349">
          <cell r="C1349" t="str">
            <v>FrMc_Data Ext Pricing - CSP-LI</v>
          </cell>
          <cell r="H1349">
            <v>5022062</v>
          </cell>
          <cell r="AK1349" t="str">
            <v>Kaylin Kugler</v>
          </cell>
        </row>
        <row r="1350">
          <cell r="C1350" t="str">
            <v>HSBC_CDCo_Flex Up</v>
          </cell>
          <cell r="H1350">
            <v>5022652</v>
          </cell>
          <cell r="AK1350" t="str">
            <v>DELETED USER</v>
          </cell>
        </row>
        <row r="1351">
          <cell r="C1351" t="str">
            <v>FM_SF REO RADAR RAR Test</v>
          </cell>
          <cell r="H1351">
            <v>5021238</v>
          </cell>
          <cell r="AK1351" t="str">
            <v>Kevin Wells</v>
          </cell>
        </row>
        <row r="1352">
          <cell r="C1352" t="str">
            <v>Citi_Transformation Start 2015</v>
          </cell>
          <cell r="H1352">
            <v>5021547</v>
          </cell>
          <cell r="AK1352" t="str">
            <v>Robert Norris</v>
          </cell>
        </row>
        <row r="1353">
          <cell r="C1353" t="str">
            <v>WF_Portfolio Multi -year</v>
          </cell>
          <cell r="H1353">
            <v>5019689</v>
          </cell>
          <cell r="AK1353" t="str">
            <v>David Vasecka</v>
          </cell>
        </row>
        <row r="1354">
          <cell r="C1354" t="str">
            <v>BMO Process controls p2-Basel</v>
          </cell>
          <cell r="H1354">
            <v>5019955</v>
          </cell>
          <cell r="AK1354" t="str">
            <v>Ramnish Gupta</v>
          </cell>
        </row>
        <row r="1355">
          <cell r="C1355" t="str">
            <v>BarCap_WIMA Tech 2015</v>
          </cell>
          <cell r="H1355">
            <v>5021958</v>
          </cell>
          <cell r="AK1355" t="str">
            <v>DELETED USER</v>
          </cell>
        </row>
        <row r="1356">
          <cell r="C1356" t="str">
            <v>FIS_FNF Conversion Workbooks</v>
          </cell>
          <cell r="H1356">
            <v>5021632</v>
          </cell>
          <cell r="AK1356" t="str">
            <v>Michael Moerman</v>
          </cell>
        </row>
        <row r="1357">
          <cell r="C1357" t="str">
            <v>Santander_EMV Program Manage</v>
          </cell>
          <cell r="H1357">
            <v>5021438</v>
          </cell>
          <cell r="AK1357" t="str">
            <v>DELETED USER</v>
          </cell>
        </row>
        <row r="1358">
          <cell r="C1358" t="str">
            <v>Jeff_GMI January 2015 Ext</v>
          </cell>
          <cell r="H1358">
            <v>5021537</v>
          </cell>
          <cell r="AK1358" t="str">
            <v>DELETED USER</v>
          </cell>
        </row>
        <row r="1359">
          <cell r="C1359" t="str">
            <v>BNP_OPCO</v>
          </cell>
          <cell r="H1359">
            <v>5021888</v>
          </cell>
          <cell r="AK1359" t="str">
            <v>Paul Bessard</v>
          </cell>
        </row>
        <row r="1360">
          <cell r="C1360" t="str">
            <v>KB_Liquidity Coverage</v>
          </cell>
          <cell r="H1360">
            <v>5020797</v>
          </cell>
          <cell r="AK1360" t="str">
            <v>DELETED USER</v>
          </cell>
        </row>
        <row r="1361">
          <cell r="C1361" t="str">
            <v>HSBC Big Data - Global PMO</v>
          </cell>
          <cell r="H1361">
            <v>5021784</v>
          </cell>
          <cell r="AK1361" t="str">
            <v>DELETED USER</v>
          </cell>
        </row>
        <row r="1362">
          <cell r="C1362" t="str">
            <v>FIS_FNF ITO QA Ext</v>
          </cell>
          <cell r="H1362">
            <v>5021724</v>
          </cell>
          <cell r="AK1362" t="str">
            <v>DELETED USER</v>
          </cell>
        </row>
        <row r="1363">
          <cell r="C1363" t="str">
            <v>FM_Innovation</v>
          </cell>
          <cell r="H1363">
            <v>5021679</v>
          </cell>
          <cell r="AK1363" t="str">
            <v>DELETED USER</v>
          </cell>
        </row>
        <row r="1364">
          <cell r="C1364" t="str">
            <v>BW_Grand Central Support Team</v>
          </cell>
          <cell r="H1364">
            <v>5020840</v>
          </cell>
          <cell r="AK1364" t="str">
            <v>Matt Markham</v>
          </cell>
        </row>
        <row r="1365">
          <cell r="C1365" t="str">
            <v>Jeff_Data transparency viz</v>
          </cell>
          <cell r="H1365">
            <v>5021681</v>
          </cell>
          <cell r="AK1365" t="str">
            <v>DELETED USER</v>
          </cell>
        </row>
        <row r="1366">
          <cell r="C1366" t="str">
            <v>TD_US NGP</v>
          </cell>
          <cell r="H1366">
            <v>5019558</v>
          </cell>
          <cell r="AK1366" t="str">
            <v>Michael Connor</v>
          </cell>
        </row>
        <row r="1367">
          <cell r="C1367" t="str">
            <v>GL Post Conversion Support</v>
          </cell>
          <cell r="H1367">
            <v>5019949</v>
          </cell>
          <cell r="AK1367" t="str">
            <v>Phil Kerkel</v>
          </cell>
        </row>
        <row r="1368">
          <cell r="C1368" t="str">
            <v>6680-RAS-Achieva Credit Union</v>
          </cell>
          <cell r="H1368">
            <v>5030654</v>
          </cell>
          <cell r="AK1368" t="str">
            <v>Cristina Arechaga</v>
          </cell>
        </row>
        <row r="1369">
          <cell r="C1369" t="str">
            <v>2617-RAS-MainSource Bank</v>
          </cell>
          <cell r="H1369">
            <v>5030473</v>
          </cell>
          <cell r="AK1369" t="str">
            <v>Cristina Arechaga</v>
          </cell>
        </row>
        <row r="1370">
          <cell r="C1370" t="str">
            <v>itBit Interim CFO</v>
          </cell>
          <cell r="H1370">
            <v>5021863</v>
          </cell>
          <cell r="AK1370" t="str">
            <v>DELETED USER</v>
          </cell>
        </row>
        <row r="1371">
          <cell r="C1371" t="str">
            <v>BAML_Consensys Migration</v>
          </cell>
          <cell r="H1371">
            <v>5021859</v>
          </cell>
          <cell r="AK1371" t="str">
            <v>DELETED USER</v>
          </cell>
        </row>
        <row r="1372">
          <cell r="C1372" t="str">
            <v>FIS_Profile Developer Training</v>
          </cell>
          <cell r="H1372">
            <v>5020661</v>
          </cell>
          <cell r="AK1372" t="str">
            <v>Michael Connor</v>
          </cell>
        </row>
        <row r="1373">
          <cell r="C1373" t="str">
            <v>Gbl Corp Pmts cmrce stgy</v>
          </cell>
          <cell r="H1373">
            <v>5020748</v>
          </cell>
          <cell r="AK1373" t="str">
            <v>DELETED USER</v>
          </cell>
        </row>
        <row r="1374">
          <cell r="C1374" t="str">
            <v>AB_RFP Support - BowFinger</v>
          </cell>
          <cell r="H1374">
            <v>5020404</v>
          </cell>
          <cell r="AK1374" t="str">
            <v>Kapin Vora</v>
          </cell>
        </row>
        <row r="1375">
          <cell r="C1375" t="str">
            <v>San_SHUSA Data Organization</v>
          </cell>
          <cell r="H1375">
            <v>5021436</v>
          </cell>
          <cell r="AK1375" t="str">
            <v>Dev Anumolu</v>
          </cell>
        </row>
        <row r="1376">
          <cell r="C1376" t="str">
            <v>FX-IP UX define and proto</v>
          </cell>
          <cell r="H1376">
            <v>5019998</v>
          </cell>
        </row>
        <row r="1377">
          <cell r="C1377" t="str">
            <v>HSBC_Risk -Heightened Standard</v>
          </cell>
          <cell r="H1377">
            <v>5021975</v>
          </cell>
          <cell r="AK1377" t="str">
            <v>Alexis Chan</v>
          </cell>
        </row>
        <row r="1378">
          <cell r="C1378" t="str">
            <v>FM_FUSE TMO</v>
          </cell>
          <cell r="H1378">
            <v>5021882</v>
          </cell>
          <cell r="AK1378" t="str">
            <v>DELETED USER</v>
          </cell>
        </row>
        <row r="1379">
          <cell r="C1379" t="str">
            <v>PaynetFXIP-Phs1</v>
          </cell>
          <cell r="H1379">
            <v>5020754</v>
          </cell>
          <cell r="AK1379" t="str">
            <v>Thomas Wilson</v>
          </cell>
        </row>
        <row r="1380">
          <cell r="C1380" t="str">
            <v>TD_Online Chequing Redesign</v>
          </cell>
          <cell r="H1380">
            <v>5021631</v>
          </cell>
          <cell r="AK1380" t="str">
            <v>DELETED USER</v>
          </cell>
        </row>
        <row r="1381">
          <cell r="C1381" t="str">
            <v>MUB_Credit Card Insource Plan</v>
          </cell>
          <cell r="H1381">
            <v>5021926</v>
          </cell>
          <cell r="AK1381" t="str">
            <v>Michael Connor</v>
          </cell>
        </row>
        <row r="1382">
          <cell r="C1382" t="str">
            <v>FM_Blackrock Implementation</v>
          </cell>
          <cell r="H1382">
            <v>5013438</v>
          </cell>
          <cell r="AK1382" t="str">
            <v>DELETED USER</v>
          </cell>
        </row>
        <row r="1383">
          <cell r="C1383" t="str">
            <v>FIS_Design Sprint</v>
          </cell>
          <cell r="H1383">
            <v>5022061</v>
          </cell>
          <cell r="AK1383" t="str">
            <v>DELETED USER</v>
          </cell>
        </row>
        <row r="1384">
          <cell r="C1384" t="str">
            <v>BMO_CCAR Controls</v>
          </cell>
          <cell r="H1384">
            <v>5022024</v>
          </cell>
          <cell r="AK1384" t="str">
            <v>Michelle Fambro</v>
          </cell>
        </row>
        <row r="1385">
          <cell r="C1385" t="str">
            <v>Debit Card Migration CO#6</v>
          </cell>
          <cell r="H1385">
            <v>5011907</v>
          </cell>
          <cell r="AK1385" t="str">
            <v>Scott Jurgensen</v>
          </cell>
        </row>
        <row r="1386">
          <cell r="C1386" t="str">
            <v>ItBit TOM Extension</v>
          </cell>
          <cell r="H1386">
            <v>5021989</v>
          </cell>
          <cell r="AK1386" t="str">
            <v>DELETED USER</v>
          </cell>
        </row>
        <row r="1387">
          <cell r="C1387" t="str">
            <v>TD_US Core Upgrade Eval</v>
          </cell>
          <cell r="H1387">
            <v>5022005</v>
          </cell>
          <cell r="AK1387" t="str">
            <v>DELETED USER</v>
          </cell>
        </row>
        <row r="1388">
          <cell r="C1388" t="str">
            <v>Jeff_JDOE Runbook</v>
          </cell>
          <cell r="H1388">
            <v>5021727</v>
          </cell>
          <cell r="AK1388" t="str">
            <v>Chelsea Mattias</v>
          </cell>
        </row>
        <row r="1389">
          <cell r="C1389" t="str">
            <v>FM_Q1 CSP Gateway ESB/EIO Arch</v>
          </cell>
          <cell r="H1389">
            <v>5021300</v>
          </cell>
          <cell r="AK1389" t="str">
            <v>Luke Penca</v>
          </cell>
        </row>
        <row r="1390">
          <cell r="C1390" t="str">
            <v>FIS_BMO Harris Bank SPE Test</v>
          </cell>
          <cell r="H1390">
            <v>5022088</v>
          </cell>
          <cell r="AK1390" t="str">
            <v>DELETED USER</v>
          </cell>
        </row>
        <row r="1391">
          <cell r="C1391" t="str">
            <v>12866-RAS-Sage Bank</v>
          </cell>
          <cell r="H1391">
            <v>5030883</v>
          </cell>
          <cell r="AK1391" t="str">
            <v>Cristina Arechaga</v>
          </cell>
        </row>
        <row r="1392">
          <cell r="C1392" t="str">
            <v>County Bank_RAS</v>
          </cell>
          <cell r="H1392">
            <v>5039619</v>
          </cell>
          <cell r="AK1392" t="str">
            <v>Diane Banks</v>
          </cell>
        </row>
        <row r="1393">
          <cell r="C1393" t="str">
            <v>LandmarkCom-Compliance Consult</v>
          </cell>
          <cell r="H1393">
            <v>5029841</v>
          </cell>
          <cell r="AK1393" t="str">
            <v>Lori Robeson</v>
          </cell>
        </row>
        <row r="1394">
          <cell r="C1394" t="str">
            <v>Rockland-MtgLend Cply Rvw15</v>
          </cell>
          <cell r="H1394">
            <v>5029905</v>
          </cell>
          <cell r="AK1394" t="str">
            <v>Leigh Tribou</v>
          </cell>
        </row>
        <row r="1395">
          <cell r="C1395" t="str">
            <v>Creditcorp-Compliance Consult</v>
          </cell>
          <cell r="H1395">
            <v>5029980</v>
          </cell>
          <cell r="AK1395" t="str">
            <v>Joseph Schmidt</v>
          </cell>
        </row>
        <row r="1396">
          <cell r="C1396" t="str">
            <v>Community Bank Mankato_RAS</v>
          </cell>
          <cell r="H1396">
            <v>5039617</v>
          </cell>
          <cell r="AK1396" t="str">
            <v>Diane Banks</v>
          </cell>
        </row>
        <row r="1397">
          <cell r="C1397" t="str">
            <v>Broadway Federal Bank_RAS</v>
          </cell>
          <cell r="H1397">
            <v>5039601</v>
          </cell>
          <cell r="AK1397" t="str">
            <v>Travis Peraza</v>
          </cell>
        </row>
        <row r="1398">
          <cell r="C1398" t="str">
            <v>AACheckCash-Compliance Consult</v>
          </cell>
          <cell r="H1398">
            <v>5030043</v>
          </cell>
          <cell r="AK1398" t="str">
            <v>DELETED USER</v>
          </cell>
        </row>
        <row r="1399">
          <cell r="C1399" t="str">
            <v>LoyEdge-PMO-Q1</v>
          </cell>
          <cell r="H1399">
            <v>5020751</v>
          </cell>
          <cell r="AK1399" t="str">
            <v>Jeffrey Bordan</v>
          </cell>
        </row>
        <row r="1400">
          <cell r="C1400" t="str">
            <v>FrMc_GPC Design and Build</v>
          </cell>
          <cell r="H1400">
            <v>5021682</v>
          </cell>
          <cell r="AK1400" t="str">
            <v>Ambika Kutty</v>
          </cell>
        </row>
        <row r="1401">
          <cell r="C1401" t="str">
            <v>FrMc - Data Ext 2 - Feb</v>
          </cell>
          <cell r="H1401">
            <v>5022062</v>
          </cell>
          <cell r="AK1401" t="str">
            <v>Aditya Udas</v>
          </cell>
        </row>
        <row r="1402">
          <cell r="C1402" t="str">
            <v>WIMA Tech 2015 Support - Amd 1</v>
          </cell>
          <cell r="H1402">
            <v>5021958</v>
          </cell>
          <cell r="AK1402" t="str">
            <v>DELETED USER</v>
          </cell>
        </row>
        <row r="1403">
          <cell r="C1403" t="str">
            <v>TD_NGP Interactive Prototype</v>
          </cell>
          <cell r="H1403">
            <v>5021932</v>
          </cell>
          <cell r="AK1403" t="str">
            <v>Theepah Tharmalingam</v>
          </cell>
        </row>
        <row r="1404">
          <cell r="C1404" t="str">
            <v>San_IHC Support</v>
          </cell>
          <cell r="H1404">
            <v>5021704</v>
          </cell>
          <cell r="AK1404" t="str">
            <v>Ridha Mesli</v>
          </cell>
        </row>
        <row r="1405">
          <cell r="C1405" t="str">
            <v>9467-RAS-South Carolina Commun</v>
          </cell>
          <cell r="H1405">
            <v>5030749</v>
          </cell>
          <cell r="AK1405" t="str">
            <v>Cristina Arechaga</v>
          </cell>
        </row>
        <row r="1406">
          <cell r="C1406" t="str">
            <v>5337-RAS-River City Bank</v>
          </cell>
          <cell r="H1406">
            <v>5030592</v>
          </cell>
          <cell r="AK1406" t="str">
            <v>Cristina Arechaga</v>
          </cell>
        </row>
        <row r="1407">
          <cell r="C1407" t="str">
            <v>13163-RAS-USAA Federal Savings</v>
          </cell>
          <cell r="H1407">
            <v>5030897</v>
          </cell>
          <cell r="AK1407" t="str">
            <v>Cristina Arechaga</v>
          </cell>
        </row>
        <row r="1408">
          <cell r="C1408" t="str">
            <v>FM_LAI_EDI_Coordination</v>
          </cell>
          <cell r="H1408">
            <v>5021209</v>
          </cell>
          <cell r="AK1408" t="str">
            <v>DELETED USER</v>
          </cell>
        </row>
        <row r="1409">
          <cell r="C1409" t="str">
            <v>Citi_IS_McKinley_Divestiture</v>
          </cell>
          <cell r="H1409">
            <v>5020741</v>
          </cell>
          <cell r="AK1409" t="str">
            <v>Robert Norris</v>
          </cell>
        </row>
        <row r="1410">
          <cell r="C1410" t="str">
            <v>Jeff_CCO Annual Report Ext</v>
          </cell>
          <cell r="H1410">
            <v>5021913</v>
          </cell>
          <cell r="AK1410" t="str">
            <v>Mike Drews</v>
          </cell>
        </row>
        <row r="1411">
          <cell r="C1411" t="str">
            <v>BB&amp;T_Bank of KY CC Migration</v>
          </cell>
          <cell r="H1411">
            <v>5022395</v>
          </cell>
          <cell r="AK1411" t="str">
            <v>Robbie Roberts</v>
          </cell>
        </row>
        <row r="1412">
          <cell r="C1412" t="str">
            <v>8045-RAS-CFG Community Bank</v>
          </cell>
          <cell r="H1412">
            <v>5030692</v>
          </cell>
          <cell r="AK1412" t="str">
            <v>Cristina Arechaga</v>
          </cell>
        </row>
        <row r="1413">
          <cell r="C1413" t="str">
            <v>27277-CCI-Franklin Synergy Ban</v>
          </cell>
          <cell r="H1413">
            <v>5030346</v>
          </cell>
          <cell r="AK1413" t="str">
            <v>Cristina Arechaga</v>
          </cell>
        </row>
        <row r="1414">
          <cell r="C1414" t="str">
            <v>Debit Card Migration CO#7</v>
          </cell>
          <cell r="H1414">
            <v>5011907</v>
          </cell>
          <cell r="AK1414" t="str">
            <v>Scott Jurgensen</v>
          </cell>
        </row>
        <row r="1415">
          <cell r="C1415" t="str">
            <v>FIS_BBL Process Assessment Ext</v>
          </cell>
          <cell r="H1415">
            <v>5022288</v>
          </cell>
          <cell r="AK1415" t="str">
            <v>DELETED USER</v>
          </cell>
        </row>
        <row r="1416">
          <cell r="C1416" t="str">
            <v>FIS_BBL Process Assessment</v>
          </cell>
          <cell r="H1416">
            <v>5022288</v>
          </cell>
          <cell r="AK1416" t="str">
            <v>DELETED USER</v>
          </cell>
        </row>
        <row r="1417">
          <cell r="C1417" t="str">
            <v>Dependable-CMS Consulting</v>
          </cell>
          <cell r="H1417">
            <v>5029531</v>
          </cell>
          <cell r="AK1417" t="str">
            <v>Lori Robeson</v>
          </cell>
        </row>
        <row r="1418">
          <cell r="C1418" t="str">
            <v>FNFG_CC/HELOC Product Devp</v>
          </cell>
          <cell r="H1418">
            <v>5022103</v>
          </cell>
          <cell r="AK1418" t="str">
            <v>Samuel Awsumb</v>
          </cell>
        </row>
        <row r="1419">
          <cell r="C1419" t="str">
            <v>Empire National Bank_RAS</v>
          </cell>
          <cell r="H1419">
            <v>5039626</v>
          </cell>
          <cell r="AK1419" t="str">
            <v>Travis Peraza</v>
          </cell>
        </row>
        <row r="1420">
          <cell r="C1420" t="str">
            <v>West Texas-CRA Support</v>
          </cell>
          <cell r="H1420">
            <v>5029766</v>
          </cell>
          <cell r="AK1420" t="str">
            <v>Paula Witt</v>
          </cell>
        </row>
        <row r="1421">
          <cell r="C1421" t="str">
            <v>Texas Comm-BSARules Train&amp;Opt</v>
          </cell>
          <cell r="H1421">
            <v>5030030</v>
          </cell>
          <cell r="AK1421" t="str">
            <v>William Sachs</v>
          </cell>
        </row>
        <row r="1422">
          <cell r="C1422" t="str">
            <v>Atlantic SB-SocialMed Imp&amp;Bill</v>
          </cell>
          <cell r="H1422">
            <v>5030047</v>
          </cell>
          <cell r="AK1422" t="str">
            <v>John Eshoo</v>
          </cell>
        </row>
        <row r="1423">
          <cell r="C1423" t="str">
            <v>Jeff_CCO Annual Report Ext 2</v>
          </cell>
          <cell r="H1423">
            <v>5022101</v>
          </cell>
          <cell r="AK1423" t="str">
            <v>Mike Drews</v>
          </cell>
        </row>
        <row r="1424">
          <cell r="C1424" t="str">
            <v>Pershing Genesis: Ph1- AMD1</v>
          </cell>
          <cell r="H1424">
            <v>5019950</v>
          </cell>
          <cell r="AK1424" t="str">
            <v>DELETED USER</v>
          </cell>
        </row>
        <row r="1425">
          <cell r="C1425" t="str">
            <v>MUB_Cr Card Insource CO #1</v>
          </cell>
          <cell r="H1425">
            <v>5021926</v>
          </cell>
          <cell r="AK1425" t="str">
            <v>Michael Connor</v>
          </cell>
        </row>
        <row r="1426">
          <cell r="C1426" t="str">
            <v>FIS_FNF Recovery</v>
          </cell>
          <cell r="H1426">
            <v>5022546</v>
          </cell>
          <cell r="AK1426" t="str">
            <v>Betsy Cherian</v>
          </cell>
        </row>
        <row r="1427">
          <cell r="C1427" t="str">
            <v>FM_CDS Accounting - UAT</v>
          </cell>
          <cell r="H1427">
            <v>5019132</v>
          </cell>
          <cell r="AK1427" t="str">
            <v>DELETED USER</v>
          </cell>
        </row>
        <row r="1428">
          <cell r="C1428" t="str">
            <v>Barclays IB FO R and C II</v>
          </cell>
          <cell r="H1428">
            <v>5020495</v>
          </cell>
          <cell r="AK1428" t="str">
            <v>DELETED USER</v>
          </cell>
        </row>
        <row r="1429">
          <cell r="C1429" t="str">
            <v>17516-RAS-Platte Valley Financ</v>
          </cell>
          <cell r="H1429">
            <v>5030325</v>
          </cell>
          <cell r="AK1429" t="str">
            <v>Cristina Arechaga</v>
          </cell>
        </row>
        <row r="1430">
          <cell r="C1430" t="str">
            <v>FIS_Project Endeavor</v>
          </cell>
          <cell r="H1430">
            <v>5022567</v>
          </cell>
          <cell r="AK1430" t="str">
            <v>Div Kaveria</v>
          </cell>
        </row>
        <row r="1431">
          <cell r="C1431" t="str">
            <v>WorldAccept-Technology Consult</v>
          </cell>
          <cell r="H1431">
            <v>5029868</v>
          </cell>
          <cell r="AK1431" t="str">
            <v>Ginger Dahlin</v>
          </cell>
        </row>
        <row r="1432">
          <cell r="C1432" t="str">
            <v>MS_OFAC Amendment 3</v>
          </cell>
          <cell r="H1432">
            <v>5018451</v>
          </cell>
          <cell r="AK1432" t="str">
            <v>Ruben Sooriya</v>
          </cell>
        </row>
        <row r="1433">
          <cell r="C1433" t="str">
            <v>PioneerBank-Social Media Impl</v>
          </cell>
          <cell r="H1433">
            <v>5030017</v>
          </cell>
          <cell r="AK1433" t="str">
            <v>DELETED USER</v>
          </cell>
        </row>
        <row r="1434">
          <cell r="C1434" t="str">
            <v>12773-RAS-First Federal Commun</v>
          </cell>
          <cell r="H1434">
            <v>5030880</v>
          </cell>
          <cell r="AK1434" t="str">
            <v>Cristina Arechaga</v>
          </cell>
        </row>
        <row r="1435">
          <cell r="C1435" t="str">
            <v>FM_CSPI Release 1 PMO</v>
          </cell>
          <cell r="H1435">
            <v>5021146</v>
          </cell>
          <cell r="AK1435" t="str">
            <v>Bryce VanDiver</v>
          </cell>
        </row>
        <row r="1436">
          <cell r="C1436" t="str">
            <v>FM_LDNG Release 11</v>
          </cell>
          <cell r="H1436">
            <v>5022430</v>
          </cell>
          <cell r="AK1436" t="str">
            <v>Raj Konduru</v>
          </cell>
        </row>
        <row r="1437">
          <cell r="C1437" t="str">
            <v>FrMc_Data_Smita for Jodi</v>
          </cell>
          <cell r="H1437">
            <v>5022078</v>
          </cell>
          <cell r="AK1437" t="str">
            <v>Aditya Udas</v>
          </cell>
        </row>
        <row r="1438">
          <cell r="C1438" t="str">
            <v>TD_OAO Re-design</v>
          </cell>
          <cell r="H1438">
            <v>5022371</v>
          </cell>
          <cell r="AK1438" t="str">
            <v>DELETED USER</v>
          </cell>
        </row>
        <row r="1439">
          <cell r="C1439" t="str">
            <v>CS IB Asset Spin Off</v>
          </cell>
          <cell r="H1439">
            <v>5022741</v>
          </cell>
          <cell r="AK1439" t="str">
            <v>DELETED USER</v>
          </cell>
        </row>
        <row r="1440">
          <cell r="C1440" t="str">
            <v>FIS_Wine Dec_Strategy Session</v>
          </cell>
          <cell r="H1440">
            <v>5022830</v>
          </cell>
          <cell r="AK1440" t="str">
            <v>Div Kaveria</v>
          </cell>
        </row>
        <row r="1441">
          <cell r="C1441" t="str">
            <v>San_SHUSA Data Org Design</v>
          </cell>
          <cell r="H1441">
            <v>5021436</v>
          </cell>
          <cell r="AK1441" t="str">
            <v>Paul Tatseos</v>
          </cell>
        </row>
        <row r="1442">
          <cell r="C1442" t="str">
            <v>BNP_OPCO</v>
          </cell>
          <cell r="H1442">
            <v>5021888</v>
          </cell>
          <cell r="AK1442" t="str">
            <v>DELETED USER</v>
          </cell>
        </row>
        <row r="1443">
          <cell r="C1443" t="str">
            <v>Rockland-MQC</v>
          </cell>
          <cell r="H1443">
            <v>5029591</v>
          </cell>
          <cell r="AK1443" t="str">
            <v>Cristina Arechaga</v>
          </cell>
        </row>
        <row r="1444">
          <cell r="C1444" t="str">
            <v>FIS_Conversion &amp; Migration</v>
          </cell>
          <cell r="H1444">
            <v>5021853</v>
          </cell>
          <cell r="AK1444" t="str">
            <v>DELETED USER</v>
          </cell>
        </row>
        <row r="1445">
          <cell r="C1445" t="str">
            <v>FRMC_Single Sec Biz Req P2</v>
          </cell>
          <cell r="H1445">
            <v>5021707</v>
          </cell>
          <cell r="AK1445" t="str">
            <v>Christopher Martines</v>
          </cell>
        </row>
        <row r="1446">
          <cell r="C1446" t="str">
            <v>ORD Additional Resource</v>
          </cell>
          <cell r="H1446">
            <v>5015255</v>
          </cell>
          <cell r="AK1446" t="str">
            <v>Iruka Brown</v>
          </cell>
        </row>
        <row r="1447">
          <cell r="C1447" t="str">
            <v>Jeff_JBFSI and Portal PM</v>
          </cell>
          <cell r="H1447">
            <v>5022739</v>
          </cell>
          <cell r="AK1447" t="str">
            <v>Chelsea Mattias</v>
          </cell>
        </row>
        <row r="1448">
          <cell r="C1448" t="str">
            <v>CommunityBB-BSA RA</v>
          </cell>
          <cell r="H1448">
            <v>5029737</v>
          </cell>
          <cell r="AK1448" t="str">
            <v>Brigitte Howorko</v>
          </cell>
        </row>
        <row r="1449">
          <cell r="C1449" t="str">
            <v>MetLife_Murex Production Supp</v>
          </cell>
          <cell r="H1449">
            <v>5021749</v>
          </cell>
          <cell r="AK1449" t="str">
            <v>DELETED USER</v>
          </cell>
        </row>
        <row r="1450">
          <cell r="C1450" t="str">
            <v>BarCap_Fin Change Octon</v>
          </cell>
          <cell r="H1450">
            <v>5021072</v>
          </cell>
          <cell r="AK1450" t="str">
            <v>DELETED USER</v>
          </cell>
        </row>
        <row r="1451">
          <cell r="C1451" t="str">
            <v>Union Comm-Compliance Consult</v>
          </cell>
          <cell r="H1451">
            <v>5030033</v>
          </cell>
          <cell r="AK1451" t="str">
            <v>Gail Rassler</v>
          </cell>
        </row>
        <row r="1452">
          <cell r="C1452" t="str">
            <v>BMO CCAR Controls - Ext.</v>
          </cell>
          <cell r="H1452">
            <v>5022800</v>
          </cell>
          <cell r="AK1452" t="str">
            <v>Michelle Fambro</v>
          </cell>
        </row>
        <row r="1453">
          <cell r="C1453" t="str">
            <v>Jeff_GMI April 2015 Extension</v>
          </cell>
          <cell r="H1453">
            <v>5022487</v>
          </cell>
          <cell r="AK1453" t="str">
            <v>Mike Drews</v>
          </cell>
        </row>
        <row r="1454">
          <cell r="C1454" t="str">
            <v>BMO Project Controls Phase 5</v>
          </cell>
          <cell r="H1454">
            <v>5019955</v>
          </cell>
          <cell r="AK1454" t="str">
            <v>Ramnish Gupta</v>
          </cell>
        </row>
        <row r="1455">
          <cell r="C1455" t="str">
            <v>FrMc_Org Design IT</v>
          </cell>
          <cell r="H1455">
            <v>5021976</v>
          </cell>
          <cell r="AK1455" t="str">
            <v>Mike Peretz</v>
          </cell>
        </row>
        <row r="1456">
          <cell r="C1456" t="str">
            <v>MS_OFAC Expansion AMD 4</v>
          </cell>
          <cell r="H1456">
            <v>5018451</v>
          </cell>
          <cell r="AK1456" t="str">
            <v>Ruben Sooriya</v>
          </cell>
        </row>
        <row r="1457">
          <cell r="C1457" t="str">
            <v>FRMC_SF Vendor Management</v>
          </cell>
          <cell r="H1457">
            <v>5022801</v>
          </cell>
          <cell r="AK1457" t="str">
            <v>Michael Tao</v>
          </cell>
        </row>
        <row r="1458">
          <cell r="C1458" t="str">
            <v>WF_Content Mgmt</v>
          </cell>
          <cell r="H1458">
            <v>5022297</v>
          </cell>
          <cell r="AK1458" t="str">
            <v>Elizabeth Allen</v>
          </cell>
        </row>
        <row r="1459">
          <cell r="C1459" t="str">
            <v>Jeff_Data transparency viz 2</v>
          </cell>
          <cell r="H1459">
            <v>5022445</v>
          </cell>
          <cell r="AK1459" t="str">
            <v>DELETED USER</v>
          </cell>
        </row>
        <row r="1460">
          <cell r="C1460" t="str">
            <v>BNP_CCAR Core PMO</v>
          </cell>
          <cell r="H1460">
            <v>5022402</v>
          </cell>
          <cell r="AK1460" t="str">
            <v>Thanh Le Xuan</v>
          </cell>
        </row>
        <row r="1461">
          <cell r="C1461" t="str">
            <v>9666-RAS-Jamestown State Bank</v>
          </cell>
          <cell r="H1461">
            <v>5030760</v>
          </cell>
          <cell r="AK1461" t="str">
            <v>Cristina Arechaga</v>
          </cell>
        </row>
        <row r="1462">
          <cell r="C1462" t="str">
            <v>3350-RAS-First Security Bank</v>
          </cell>
          <cell r="H1462">
            <v>5030525</v>
          </cell>
          <cell r="AK1462" t="str">
            <v>Cristina Arechaga</v>
          </cell>
        </row>
        <row r="1463">
          <cell r="C1463" t="str">
            <v>11277-RAS-Osgood State Bank</v>
          </cell>
          <cell r="H1463">
            <v>5030835</v>
          </cell>
          <cell r="AK1463" t="str">
            <v>Cristina Arechaga</v>
          </cell>
        </row>
        <row r="1464">
          <cell r="C1464" t="str">
            <v>FIS_FNF_ITO Phase II</v>
          </cell>
          <cell r="H1464">
            <v>5022978</v>
          </cell>
          <cell r="AK1464" t="str">
            <v>Michael Moerman</v>
          </cell>
        </row>
        <row r="1465">
          <cell r="C1465" t="str">
            <v>UB_Credit Card Insource</v>
          </cell>
          <cell r="H1465">
            <v>5021007</v>
          </cell>
          <cell r="AK1465" t="str">
            <v>George Simotas</v>
          </cell>
        </row>
        <row r="1466">
          <cell r="C1466" t="str">
            <v>FrMc_Single Sec Biz Req Ext</v>
          </cell>
          <cell r="H1466">
            <v>5022958</v>
          </cell>
          <cell r="AK1466" t="str">
            <v>Kaylin Kugler</v>
          </cell>
        </row>
        <row r="1467">
          <cell r="C1467" t="str">
            <v>FM_COOL Re-platform</v>
          </cell>
          <cell r="H1467">
            <v>5022514</v>
          </cell>
          <cell r="AK1467" t="str">
            <v>Raj Konduru</v>
          </cell>
        </row>
        <row r="1468">
          <cell r="C1468" t="str">
            <v>FIS_LFI Optimization</v>
          </cell>
          <cell r="H1468">
            <v>5023060</v>
          </cell>
          <cell r="AK1468" t="str">
            <v>DELETED USER</v>
          </cell>
        </row>
        <row r="1469">
          <cell r="C1469" t="str">
            <v>FM_Work Force Analytics</v>
          </cell>
          <cell r="H1469">
            <v>5022137</v>
          </cell>
          <cell r="AK1469" t="str">
            <v>Isaac Halpern</v>
          </cell>
        </row>
        <row r="1470">
          <cell r="C1470" t="str">
            <v>6855-RAS-First National Bank o</v>
          </cell>
          <cell r="H1470">
            <v>5030657</v>
          </cell>
          <cell r="AK1470" t="str">
            <v>Cristina Arechaga</v>
          </cell>
        </row>
        <row r="1471">
          <cell r="C1471" t="str">
            <v>647-RAS-Union State Bank</v>
          </cell>
          <cell r="H1471">
            <v>5030424</v>
          </cell>
          <cell r="AK1471" t="str">
            <v>Cristina Arechaga</v>
          </cell>
        </row>
        <row r="1472">
          <cell r="C1472" t="str">
            <v>MS_LEAN Management</v>
          </cell>
          <cell r="H1472">
            <v>5022850</v>
          </cell>
          <cell r="AK1472" t="str">
            <v>Angela McGregor</v>
          </cell>
        </row>
        <row r="1473">
          <cell r="C1473" t="str">
            <v>DFPS Murex EOD support AMD 3</v>
          </cell>
          <cell r="H1473">
            <v>5012802</v>
          </cell>
          <cell r="AK1473" t="str">
            <v>DELETED USER</v>
          </cell>
        </row>
        <row r="1474">
          <cell r="C1474" t="str">
            <v>DCL_EOD Batch Monitoring -AMD3</v>
          </cell>
          <cell r="H1474">
            <v>5009220</v>
          </cell>
          <cell r="AK1474" t="str">
            <v>DELETED USER</v>
          </cell>
        </row>
        <row r="1475">
          <cell r="C1475" t="str">
            <v>121460-RAS-Bonadio Group</v>
          </cell>
          <cell r="H1475">
            <v>5030402</v>
          </cell>
          <cell r="AK1475" t="str">
            <v>Cristina Arechaga</v>
          </cell>
        </row>
        <row r="1476">
          <cell r="C1476" t="str">
            <v>Santander_FIS_SCP Review</v>
          </cell>
          <cell r="H1476">
            <v>5022864</v>
          </cell>
          <cell r="AK1476" t="str">
            <v>DELETED USER</v>
          </cell>
        </row>
        <row r="1477">
          <cell r="C1477" t="str">
            <v>FM_IT Strategy Roadmap design</v>
          </cell>
          <cell r="H1477">
            <v>5022517</v>
          </cell>
          <cell r="AK1477" t="str">
            <v>DELETED USER</v>
          </cell>
        </row>
        <row r="1478">
          <cell r="C1478" t="str">
            <v>FRMC_SF Business Mgmt Utility</v>
          </cell>
          <cell r="H1478">
            <v>5022877</v>
          </cell>
          <cell r="AK1478" t="str">
            <v>Michael Tao</v>
          </cell>
        </row>
        <row r="1479">
          <cell r="C1479" t="str">
            <v>FM_LDNG Stage 3 Realease 1.1</v>
          </cell>
          <cell r="H1479">
            <v>5022429</v>
          </cell>
          <cell r="AK1479" t="str">
            <v>Poorna Bhimavarapu</v>
          </cell>
        </row>
        <row r="1480">
          <cell r="C1480" t="str">
            <v>Avaloq_Enterprise Security</v>
          </cell>
          <cell r="H1480">
            <v>5023135</v>
          </cell>
          <cell r="AK1480" t="str">
            <v>DELETED USER</v>
          </cell>
        </row>
        <row r="1481">
          <cell r="C1481" t="str">
            <v>UB_ACBS Program Support CO #1</v>
          </cell>
          <cell r="H1481">
            <v>5020873</v>
          </cell>
          <cell r="AK1481" t="str">
            <v>Karl Augenstein</v>
          </cell>
        </row>
        <row r="1482">
          <cell r="C1482" t="str">
            <v>Jeff_Client Documentation BA</v>
          </cell>
          <cell r="H1482">
            <v>5023160</v>
          </cell>
          <cell r="AK1482" t="str">
            <v>Mike Drews</v>
          </cell>
        </row>
        <row r="1483">
          <cell r="C1483" t="str">
            <v>FIS_CB_Journey dev</v>
          </cell>
          <cell r="H1483">
            <v>5023213</v>
          </cell>
          <cell r="AK1483" t="str">
            <v>DELETED USER</v>
          </cell>
        </row>
        <row r="1484">
          <cell r="C1484" t="str">
            <v>MS_Reg Reporting CTB CAP</v>
          </cell>
          <cell r="H1484">
            <v>5023144</v>
          </cell>
          <cell r="AK1484" t="str">
            <v>Angela McGregor</v>
          </cell>
        </row>
        <row r="1485">
          <cell r="C1485" t="str">
            <v>FIS_Grow Your Career Campaign</v>
          </cell>
          <cell r="H1485">
            <v>5023266</v>
          </cell>
          <cell r="AK1485" t="str">
            <v>Ellie Binau</v>
          </cell>
        </row>
        <row r="1486">
          <cell r="C1486" t="str">
            <v>FrMc_Single Security Analysis</v>
          </cell>
          <cell r="H1486">
            <v>5022972</v>
          </cell>
          <cell r="AK1486" t="str">
            <v>Aditya Udas</v>
          </cell>
        </row>
        <row r="1487">
          <cell r="C1487" t="str">
            <v>TwoRiver-SM &amp; Adv Review</v>
          </cell>
          <cell r="H1487">
            <v>5029797</v>
          </cell>
          <cell r="AK1487" t="str">
            <v>John Eshoo</v>
          </cell>
        </row>
        <row r="1488">
          <cell r="C1488" t="str">
            <v>FIS_GPO_Ops Model</v>
          </cell>
          <cell r="H1488">
            <v>5023368</v>
          </cell>
          <cell r="AK1488" t="str">
            <v>DELETED USER</v>
          </cell>
        </row>
        <row r="1489">
          <cell r="C1489" t="str">
            <v>BMO Process controls p2 AMD 2</v>
          </cell>
          <cell r="H1489">
            <v>5019955</v>
          </cell>
          <cell r="AK1489" t="str">
            <v>Ramnish Gupta</v>
          </cell>
        </row>
        <row r="1490">
          <cell r="C1490" t="str">
            <v>MS_AML Assessment</v>
          </cell>
          <cell r="H1490">
            <v>5022822</v>
          </cell>
          <cell r="AK1490" t="str">
            <v>DELETED USER</v>
          </cell>
        </row>
        <row r="1491">
          <cell r="C1491" t="str">
            <v>First National Bank of Ham_RAS</v>
          </cell>
          <cell r="H1491">
            <v>5039646</v>
          </cell>
          <cell r="AK1491" t="str">
            <v>Diane Banks</v>
          </cell>
        </row>
        <row r="1492">
          <cell r="C1492" t="str">
            <v>FIS-FNF-Ext</v>
          </cell>
          <cell r="H1492">
            <v>5022546</v>
          </cell>
          <cell r="AK1492" t="str">
            <v>Betsy Cherian</v>
          </cell>
        </row>
        <row r="1493">
          <cell r="C1493" t="str">
            <v>7430-RAS-Farmers Bank</v>
          </cell>
          <cell r="H1493">
            <v>5030630</v>
          </cell>
          <cell r="AK1493" t="str">
            <v>Cristina Arechaga</v>
          </cell>
        </row>
        <row r="1494">
          <cell r="C1494" t="str">
            <v>FrMc_GPC Extension</v>
          </cell>
          <cell r="H1494">
            <v>5021682</v>
          </cell>
          <cell r="AK1494" t="str">
            <v>Ambika Kutty</v>
          </cell>
        </row>
        <row r="1495">
          <cell r="C1495" t="str">
            <v>8537-RAS-Kingston National Ban</v>
          </cell>
          <cell r="H1495">
            <v>5030709</v>
          </cell>
          <cell r="AK1495" t="str">
            <v>Cristina Arechaga</v>
          </cell>
        </row>
        <row r="1496">
          <cell r="C1496" t="str">
            <v>Bank of Erath _RAS</v>
          </cell>
          <cell r="H1496">
            <v>5039590</v>
          </cell>
          <cell r="AK1496" t="str">
            <v>Rebecca Breland</v>
          </cell>
        </row>
        <row r="1497">
          <cell r="C1497" t="str">
            <v>BNP_Regulatory Response Pro</v>
          </cell>
          <cell r="H1497">
            <v>5023528</v>
          </cell>
          <cell r="AK1497" t="str">
            <v>Justin Gonlag</v>
          </cell>
        </row>
        <row r="1498">
          <cell r="C1498" t="str">
            <v>FIS_ACBS Loan Lifecycle Deck</v>
          </cell>
          <cell r="H1498">
            <v>5023536</v>
          </cell>
          <cell r="AK1498" t="str">
            <v>DELETED USER</v>
          </cell>
        </row>
        <row r="1499">
          <cell r="C1499" t="str">
            <v>Orchard2</v>
          </cell>
          <cell r="H1499">
            <v>5030199</v>
          </cell>
          <cell r="AK1499" t="str">
            <v>Lonnie Ingram</v>
          </cell>
        </row>
        <row r="1500">
          <cell r="C1500" t="str">
            <v>Jefferies_Murex</v>
          </cell>
          <cell r="H1500">
            <v>5020450</v>
          </cell>
          <cell r="AK1500" t="str">
            <v>DELETED USER</v>
          </cell>
        </row>
        <row r="1501">
          <cell r="C1501" t="str">
            <v>Woodforest-Compliance Consult</v>
          </cell>
          <cell r="H1501">
            <v>5030039</v>
          </cell>
          <cell r="AK1501" t="str">
            <v>Alejandro Vanegas</v>
          </cell>
        </row>
        <row r="1502">
          <cell r="C1502" t="str">
            <v>AppliedData-Compl Co-Sourcing</v>
          </cell>
          <cell r="H1502">
            <v>5029966</v>
          </cell>
          <cell r="AK1502" t="str">
            <v>Brigitte Howorko</v>
          </cell>
        </row>
        <row r="1503">
          <cell r="C1503" t="str">
            <v>Jeff_Data transparency viz 3</v>
          </cell>
          <cell r="H1503">
            <v>5022683</v>
          </cell>
          <cell r="AK1503" t="str">
            <v>DELETED USER</v>
          </cell>
        </row>
        <row r="1504">
          <cell r="C1504" t="str">
            <v>WF_FIS Wealth Call Ctr Optimi</v>
          </cell>
          <cell r="H1504">
            <v>5020659</v>
          </cell>
          <cell r="AK1504" t="str">
            <v>DELETED USER</v>
          </cell>
        </row>
        <row r="1505">
          <cell r="C1505" t="str">
            <v>ICB China-FOVA Core Consult</v>
          </cell>
          <cell r="H1505">
            <v>5029897</v>
          </cell>
          <cell r="AK1505" t="str">
            <v>Alejandro Vanegas</v>
          </cell>
        </row>
        <row r="1506">
          <cell r="C1506" t="str">
            <v>TD_OAO Phase 2</v>
          </cell>
          <cell r="H1506">
            <v>5022371</v>
          </cell>
          <cell r="AK1506" t="str">
            <v>DELETED USER</v>
          </cell>
        </row>
        <row r="1507">
          <cell r="C1507" t="str">
            <v>BarCap_Fin Change Octon Amd 1</v>
          </cell>
          <cell r="H1507">
            <v>5021072</v>
          </cell>
          <cell r="AK1507" t="str">
            <v>DELETED USER</v>
          </cell>
        </row>
        <row r="1508">
          <cell r="C1508" t="str">
            <v>BW_Subscale PM Support Team</v>
          </cell>
          <cell r="H1508">
            <v>5020840</v>
          </cell>
          <cell r="AK1508" t="str">
            <v>Matt Markham</v>
          </cell>
        </row>
        <row r="1509">
          <cell r="C1509" t="str">
            <v>BW_Data Services Testing</v>
          </cell>
          <cell r="H1509">
            <v>5023513</v>
          </cell>
          <cell r="AK1509" t="str">
            <v>Matt Markham</v>
          </cell>
        </row>
        <row r="1510">
          <cell r="C1510" t="str">
            <v>FM_Modernization Development</v>
          </cell>
          <cell r="H1510">
            <v>5023292</v>
          </cell>
          <cell r="AK1510" t="str">
            <v>DELETED USER</v>
          </cell>
        </row>
        <row r="1511">
          <cell r="C1511" t="str">
            <v>Hummingbird</v>
          </cell>
          <cell r="H1511">
            <v>5022929</v>
          </cell>
          <cell r="AK1511" t="str">
            <v>DELETED USER</v>
          </cell>
        </row>
        <row r="1512">
          <cell r="C1512" t="str">
            <v>HSBC_TPRM Amd 2</v>
          </cell>
          <cell r="H1512">
            <v>5020222</v>
          </cell>
          <cell r="AK1512" t="str">
            <v>DELETED USER</v>
          </cell>
        </row>
        <row r="1513">
          <cell r="C1513" t="str">
            <v>UB_Retail PMO Support</v>
          </cell>
          <cell r="H1513">
            <v>5023676</v>
          </cell>
          <cell r="AK1513" t="str">
            <v>Scott Jurgensen</v>
          </cell>
        </row>
        <row r="1514">
          <cell r="C1514" t="str">
            <v>Jeff_Bache Decommissioning</v>
          </cell>
          <cell r="H1514">
            <v>5023725</v>
          </cell>
          <cell r="AK1514" t="str">
            <v>Chelsea Mattias</v>
          </cell>
        </row>
        <row r="1515">
          <cell r="C1515" t="str">
            <v>Jeff_JFSI FX Future Build</v>
          </cell>
          <cell r="H1515">
            <v>5023726</v>
          </cell>
          <cell r="AK1515" t="str">
            <v>Chelsea Mattias</v>
          </cell>
        </row>
        <row r="1516">
          <cell r="C1516" t="str">
            <v>BNP_OPCO_H2-2015</v>
          </cell>
          <cell r="H1516">
            <v>5023704</v>
          </cell>
          <cell r="AK1516" t="str">
            <v>Robin Williams</v>
          </cell>
        </row>
        <row r="1517">
          <cell r="C1517" t="str">
            <v>FIS_Conversion &amp; Mig Amd 2</v>
          </cell>
          <cell r="H1517">
            <v>5021853</v>
          </cell>
          <cell r="AK1517" t="str">
            <v>DELETED USER</v>
          </cell>
        </row>
        <row r="1518">
          <cell r="C1518" t="str">
            <v>Jeff_QA &amp; Test Team</v>
          </cell>
          <cell r="H1518">
            <v>5020146</v>
          </cell>
          <cell r="AK1518" t="str">
            <v>John McCaffrey</v>
          </cell>
        </row>
        <row r="1519">
          <cell r="C1519" t="str">
            <v>GS_Reg Comp Support Amd 1</v>
          </cell>
          <cell r="H1519">
            <v>5021799</v>
          </cell>
          <cell r="AK1519" t="str">
            <v>DELETED USER</v>
          </cell>
        </row>
        <row r="1520">
          <cell r="C1520" t="str">
            <v>WF_Portfolio Multi -year</v>
          </cell>
          <cell r="H1520">
            <v>5019689</v>
          </cell>
          <cell r="AK1520" t="str">
            <v>David Vasecka</v>
          </cell>
        </row>
        <row r="1521">
          <cell r="C1521" t="str">
            <v>HSBC_Risk - HPQC Efficiencies</v>
          </cell>
          <cell r="H1521">
            <v>5021683</v>
          </cell>
          <cell r="AK1521" t="str">
            <v>Ben Shoota</v>
          </cell>
        </row>
        <row r="1522">
          <cell r="C1522" t="str">
            <v>BMO Governance Controls-Ext 2</v>
          </cell>
          <cell r="H1522">
            <v>5022800</v>
          </cell>
          <cell r="AK1522" t="str">
            <v>Michelle Fambro</v>
          </cell>
        </row>
        <row r="1523">
          <cell r="C1523" t="str">
            <v>Bank of Kentucky Cr Card CO#1</v>
          </cell>
          <cell r="H1523">
            <v>5022395</v>
          </cell>
          <cell r="AK1523" t="str">
            <v>Robbie Roberts</v>
          </cell>
        </row>
        <row r="1524">
          <cell r="C1524" t="str">
            <v>SunGard-PTD Utility Assessment</v>
          </cell>
          <cell r="H1524">
            <v>5023849</v>
          </cell>
          <cell r="AK1524" t="str">
            <v>DELETED USER</v>
          </cell>
        </row>
        <row r="1525">
          <cell r="C1525" t="str">
            <v>FM_LDNG Plateau 1.1</v>
          </cell>
          <cell r="H1525">
            <v>5022429</v>
          </cell>
          <cell r="AK1525" t="str">
            <v>Poorna Bhimavarapu</v>
          </cell>
        </row>
        <row r="1526">
          <cell r="C1526" t="str">
            <v>CSP Common Data Model</v>
          </cell>
          <cell r="H1526">
            <v>5017070</v>
          </cell>
          <cell r="AK1526" t="str">
            <v>DELETED USER</v>
          </cell>
        </row>
        <row r="1527">
          <cell r="C1527" t="str">
            <v>BNP_IHC Plan Re-shaping</v>
          </cell>
          <cell r="H1527">
            <v>5023735</v>
          </cell>
          <cell r="AK1527" t="str">
            <v>Justin Gonlag</v>
          </cell>
        </row>
        <row r="1528">
          <cell r="C1528" t="str">
            <v>Core Banking Modernization</v>
          </cell>
          <cell r="AK1528" t="str">
            <v>Jeffrey Bordan</v>
          </cell>
        </row>
        <row r="1529">
          <cell r="C1529" t="str">
            <v>Core Banking Modernization</v>
          </cell>
          <cell r="AK1529" t="str">
            <v>Jeffrey Bordan</v>
          </cell>
        </row>
        <row r="1530">
          <cell r="C1530" t="str">
            <v>FIS_CB_Banking Modernization</v>
          </cell>
          <cell r="H1530">
            <v>5023847</v>
          </cell>
          <cell r="AK1530" t="str">
            <v>Jeffrey Bordan</v>
          </cell>
        </row>
        <row r="1531">
          <cell r="C1531" t="str">
            <v>BW Data Services Testing Ext</v>
          </cell>
          <cell r="H1531">
            <v>5023513</v>
          </cell>
          <cell r="AK1531" t="str">
            <v>Matt Markham</v>
          </cell>
        </row>
        <row r="1532">
          <cell r="C1532" t="str">
            <v>Amex_Data Science - Staff aug</v>
          </cell>
          <cell r="H1532">
            <v>5023448</v>
          </cell>
          <cell r="AK1532" t="str">
            <v>DELETED USER</v>
          </cell>
        </row>
        <row r="1533">
          <cell r="C1533" t="str">
            <v>OFAC Expansion AMD 5</v>
          </cell>
          <cell r="H1533">
            <v>5018451</v>
          </cell>
          <cell r="AK1533" t="str">
            <v>Ruben Sooriya</v>
          </cell>
        </row>
        <row r="1534">
          <cell r="C1534" t="str">
            <v>TD OAO - Change Request 2</v>
          </cell>
          <cell r="H1534">
            <v>5022371</v>
          </cell>
          <cell r="AK1534" t="str">
            <v>DELETED USER</v>
          </cell>
        </row>
        <row r="1535">
          <cell r="C1535" t="str">
            <v>TCV - TD_Rise Support</v>
          </cell>
          <cell r="H1535">
            <v>5023632</v>
          </cell>
          <cell r="AK1535" t="str">
            <v>Suzanne Madden</v>
          </cell>
        </row>
        <row r="1536">
          <cell r="C1536" t="str">
            <v>Union Bank Retail PMO AMD 1</v>
          </cell>
          <cell r="H1536">
            <v>5023676</v>
          </cell>
          <cell r="AK1536" t="str">
            <v>Scott Jurgensen</v>
          </cell>
        </row>
        <row r="1537">
          <cell r="C1537" t="str">
            <v>Atlantic SB-MQC</v>
          </cell>
          <cell r="H1537">
            <v>5029644</v>
          </cell>
          <cell r="AK1537" t="str">
            <v>Cristina Arechaga</v>
          </cell>
        </row>
        <row r="1538">
          <cell r="C1538" t="str">
            <v>CommunityBT-Vendor Risk Assess</v>
          </cell>
          <cell r="H1538">
            <v>5029821</v>
          </cell>
          <cell r="AK1538" t="str">
            <v>Randall Patton</v>
          </cell>
        </row>
        <row r="1539">
          <cell r="C1539" t="str">
            <v>CommunityBT-Compl Co-Sourcing</v>
          </cell>
          <cell r="H1539">
            <v>5029979</v>
          </cell>
          <cell r="AK1539" t="str">
            <v>Randall Patton</v>
          </cell>
        </row>
        <row r="1540">
          <cell r="C1540" t="str">
            <v>FranklinAMC-ILT</v>
          </cell>
          <cell r="H1540">
            <v>5029665</v>
          </cell>
          <cell r="AK1540" t="str">
            <v>Miles Daniel</v>
          </cell>
        </row>
        <row r="1541">
          <cell r="C1541" t="str">
            <v>Cheetah - Shared Sourcing</v>
          </cell>
          <cell r="H1541">
            <v>5024022</v>
          </cell>
          <cell r="AK1541" t="str">
            <v>DELETED USER</v>
          </cell>
        </row>
        <row r="1542">
          <cell r="C1542" t="str">
            <v>FIS_Immersion</v>
          </cell>
          <cell r="H1542">
            <v>5023971</v>
          </cell>
          <cell r="AK1542" t="str">
            <v>DELETED USER</v>
          </cell>
        </row>
        <row r="1543">
          <cell r="C1543" t="str">
            <v>KB_Liquidity Coverage</v>
          </cell>
          <cell r="H1543">
            <v>5020797</v>
          </cell>
          <cell r="AK1543" t="str">
            <v>DELETED USER</v>
          </cell>
        </row>
        <row r="1544">
          <cell r="C1544" t="str">
            <v>FRMC_SS Biz Req Ph II Amd 2</v>
          </cell>
          <cell r="H1544">
            <v>5021707</v>
          </cell>
          <cell r="AK1544" t="str">
            <v>DELETED USER</v>
          </cell>
        </row>
        <row r="1545">
          <cell r="C1545" t="str">
            <v>BMO Process control Basel 3</v>
          </cell>
          <cell r="H1545">
            <v>5019955</v>
          </cell>
          <cell r="AK1545" t="str">
            <v>Ramnish Gupta</v>
          </cell>
        </row>
        <row r="1546">
          <cell r="C1546" t="str">
            <v>CSP Enterprise Readiness Amd 6</v>
          </cell>
          <cell r="H1546">
            <v>5017070</v>
          </cell>
          <cell r="AK1546" t="str">
            <v>Kaylin Kugler</v>
          </cell>
        </row>
        <row r="1547">
          <cell r="C1547" t="str">
            <v>SocGen_PB Industry Assessment</v>
          </cell>
          <cell r="H1547">
            <v>5023656</v>
          </cell>
          <cell r="AK1547" t="str">
            <v>George Black</v>
          </cell>
        </row>
        <row r="1548">
          <cell r="C1548" t="str">
            <v>Cornerstone-ERMC</v>
          </cell>
          <cell r="H1548">
            <v>5029697</v>
          </cell>
          <cell r="AK1548" t="str">
            <v>Allan Cuttle</v>
          </cell>
        </row>
        <row r="1549">
          <cell r="C1549" t="str">
            <v>Rabo_Independent Testing</v>
          </cell>
          <cell r="H1549">
            <v>5023509</v>
          </cell>
          <cell r="AK1549" t="str">
            <v>DELETED USER</v>
          </cell>
        </row>
        <row r="1550">
          <cell r="C1550" t="str">
            <v>Santander_IHC Support</v>
          </cell>
          <cell r="H1550">
            <v>5021704</v>
          </cell>
          <cell r="AK1550" t="str">
            <v>Ridha Mesli</v>
          </cell>
        </row>
        <row r="1551">
          <cell r="C1551" t="str">
            <v>Loan Delivery Next Gen</v>
          </cell>
          <cell r="H1551">
            <v>5022429</v>
          </cell>
          <cell r="AK1551" t="str">
            <v>Poorna Bhimavarapu</v>
          </cell>
        </row>
        <row r="1552">
          <cell r="C1552" t="str">
            <v>Artisan's Bank-MQC</v>
          </cell>
          <cell r="H1552">
            <v>5031141</v>
          </cell>
          <cell r="AK1552" t="str">
            <v>Keith Cole</v>
          </cell>
        </row>
        <row r="1553">
          <cell r="C1553" t="str">
            <v>Artisans-MQC</v>
          </cell>
          <cell r="H1553">
            <v>5031143</v>
          </cell>
          <cell r="AK1553" t="str">
            <v>DELETED USER</v>
          </cell>
        </row>
        <row r="1554">
          <cell r="C1554" t="str">
            <v>WF_Cheetah</v>
          </cell>
          <cell r="H1554">
            <v>5024470</v>
          </cell>
          <cell r="AK1554" t="str">
            <v>DELETED USER</v>
          </cell>
        </row>
        <row r="1555">
          <cell r="C1555" t="str">
            <v>WF_One Right Answer Home Lend</v>
          </cell>
          <cell r="H1555">
            <v>5023633</v>
          </cell>
          <cell r="AK1555" t="str">
            <v>Bryce VanDiver</v>
          </cell>
        </row>
        <row r="1556">
          <cell r="C1556" t="str">
            <v>Jeff_One PM</v>
          </cell>
          <cell r="H1556">
            <v>5023978</v>
          </cell>
          <cell r="AK1556" t="str">
            <v>Mike Drews</v>
          </cell>
        </row>
        <row r="1557">
          <cell r="C1557" t="str">
            <v>UB_ACBS UAT &amp; Deploy</v>
          </cell>
          <cell r="H1557">
            <v>5023519</v>
          </cell>
          <cell r="AK1557" t="str">
            <v>Karl Augenstein</v>
          </cell>
        </row>
        <row r="1558">
          <cell r="C1558" t="str">
            <v>FIS_CA Dept. of Bus Oversight</v>
          </cell>
          <cell r="H1558">
            <v>5024085</v>
          </cell>
          <cell r="AK1558" t="str">
            <v>DELETED USER</v>
          </cell>
        </row>
        <row r="1559">
          <cell r="C1559" t="str">
            <v>BAML_Cheetah</v>
          </cell>
          <cell r="H1559">
            <v>5024489</v>
          </cell>
          <cell r="AK1559" t="str">
            <v>DELETED USER</v>
          </cell>
        </row>
        <row r="1560">
          <cell r="C1560" t="str">
            <v>MS MiFiD II Support Service</v>
          </cell>
          <cell r="H1560">
            <v>5024790</v>
          </cell>
          <cell r="AK1560" t="str">
            <v>Chris Johnston</v>
          </cell>
        </row>
        <row r="1561">
          <cell r="C1561" t="str">
            <v>MS_Reg Reporting CTB CAP EXT</v>
          </cell>
          <cell r="H1561">
            <v>5023144</v>
          </cell>
          <cell r="AK1561" t="str">
            <v>Angela McGregor</v>
          </cell>
        </row>
        <row r="1562">
          <cell r="C1562" t="str">
            <v>12148-RAS-Commerce Bank</v>
          </cell>
          <cell r="H1562">
            <v>5030869</v>
          </cell>
          <cell r="AK1562" t="str">
            <v>Cristina Arechaga</v>
          </cell>
        </row>
        <row r="1563">
          <cell r="C1563" t="str">
            <v>CSP AMD 9</v>
          </cell>
          <cell r="H1563">
            <v>5017070</v>
          </cell>
          <cell r="AK1563" t="str">
            <v>John Gubala</v>
          </cell>
        </row>
        <row r="1564">
          <cell r="C1564" t="str">
            <v>HSBC Big Data PMO Amd 1</v>
          </cell>
          <cell r="H1564">
            <v>5021784</v>
          </cell>
          <cell r="AK1564" t="str">
            <v>Bill Mollica</v>
          </cell>
        </row>
        <row r="1565">
          <cell r="C1565" t="str">
            <v>RBC_CM - Ops RIsk Lead</v>
          </cell>
          <cell r="H1565">
            <v>5023992</v>
          </cell>
          <cell r="AK1565" t="str">
            <v>DELETED USER</v>
          </cell>
        </row>
        <row r="1566">
          <cell r="C1566" t="str">
            <v>7317-RAS-Oostburg State Bank</v>
          </cell>
          <cell r="H1566">
            <v>5030627</v>
          </cell>
          <cell r="AK1566" t="str">
            <v>Cristina Arechaga</v>
          </cell>
        </row>
        <row r="1567">
          <cell r="C1567" t="str">
            <v>Sandy Spring Bank_RAS</v>
          </cell>
          <cell r="H1567">
            <v>5039719</v>
          </cell>
          <cell r="AK1567" t="str">
            <v>Travis Peraza</v>
          </cell>
        </row>
        <row r="1568">
          <cell r="C1568" t="str">
            <v>FIS_FNF Recovery Amd 2</v>
          </cell>
          <cell r="H1568">
            <v>5022546</v>
          </cell>
          <cell r="AK1568" t="str">
            <v>Betsy Cherian</v>
          </cell>
        </row>
        <row r="1569">
          <cell r="C1569" t="str">
            <v>FM_SAM Data Mart Reports</v>
          </cell>
          <cell r="H1569">
            <v>5022931</v>
          </cell>
          <cell r="AK1569" t="str">
            <v>DELETED USER</v>
          </cell>
        </row>
        <row r="1570">
          <cell r="C1570" t="str">
            <v>SR_Engagement 2015</v>
          </cell>
          <cell r="H1570">
            <v>5024109</v>
          </cell>
          <cell r="AK1570" t="str">
            <v>DELETED USER</v>
          </cell>
        </row>
        <row r="1571">
          <cell r="C1571" t="str">
            <v>BMO_Business line Data Gov</v>
          </cell>
          <cell r="H1571">
            <v>5019994</v>
          </cell>
          <cell r="AK1571" t="str">
            <v>Ramnish Gupta</v>
          </cell>
        </row>
        <row r="1572">
          <cell r="C1572" t="str">
            <v>UB_Direct Bank Fin Ctr Launch</v>
          </cell>
          <cell r="H1572">
            <v>5016861</v>
          </cell>
          <cell r="AK1572" t="str">
            <v>Samuel Awsumb</v>
          </cell>
        </row>
        <row r="1573">
          <cell r="C1573" t="str">
            <v>San_Transformation Planning</v>
          </cell>
          <cell r="H1573">
            <v>5024132</v>
          </cell>
          <cell r="AK1573" t="str">
            <v>DELETED USER</v>
          </cell>
        </row>
        <row r="1574">
          <cell r="C1574" t="str">
            <v>1stHeritage-MQC</v>
          </cell>
          <cell r="H1574">
            <v>5029677</v>
          </cell>
          <cell r="AK1574" t="str">
            <v>Timothy Miller</v>
          </cell>
        </row>
        <row r="1575">
          <cell r="C1575" t="str">
            <v>COBA_ARC_NYC</v>
          </cell>
          <cell r="H1575">
            <v>5024292</v>
          </cell>
          <cell r="AK1575" t="str">
            <v>DELETED USER</v>
          </cell>
        </row>
        <row r="1576">
          <cell r="C1576" t="str">
            <v>FrMc_GPC Warranty 2</v>
          </cell>
          <cell r="H1576">
            <v>5021682</v>
          </cell>
          <cell r="AK1576" t="str">
            <v>Ambika Kutty</v>
          </cell>
        </row>
        <row r="1577">
          <cell r="C1577" t="str">
            <v>GPC Amd 3</v>
          </cell>
          <cell r="H1577">
            <v>5021682</v>
          </cell>
          <cell r="AK1577" t="str">
            <v>Ambika Kutty</v>
          </cell>
        </row>
        <row r="1578">
          <cell r="C1578" t="str">
            <v>Metro CU-State RAS</v>
          </cell>
          <cell r="H1578">
            <v>5029741</v>
          </cell>
          <cell r="AK1578" t="str">
            <v>Leigh Tribou</v>
          </cell>
        </row>
        <row r="1579">
          <cell r="C1579" t="str">
            <v>Citi_IS_McKinley_Divestiture 2</v>
          </cell>
          <cell r="H1579">
            <v>5024493</v>
          </cell>
          <cell r="AK1579" t="str">
            <v>Robert Norris</v>
          </cell>
        </row>
        <row r="1580">
          <cell r="C1580" t="str">
            <v>FIS_Product Walkthrough Video</v>
          </cell>
          <cell r="H1580">
            <v>5024322</v>
          </cell>
          <cell r="AK1580" t="str">
            <v>DELETED USER</v>
          </cell>
        </row>
        <row r="1581">
          <cell r="C1581" t="str">
            <v>FM_Multifamily Foresight</v>
          </cell>
          <cell r="H1581">
            <v>5023829</v>
          </cell>
          <cell r="AK1581" t="str">
            <v>Isaac Halpern</v>
          </cell>
        </row>
        <row r="1582">
          <cell r="C1582" t="str">
            <v>BNPP_IHC Program Support</v>
          </cell>
          <cell r="H1582">
            <v>5022849</v>
          </cell>
          <cell r="AK1582" t="str">
            <v>Season Man</v>
          </cell>
        </row>
        <row r="1583">
          <cell r="C1583" t="str">
            <v>AM_Brokerage Consolidation</v>
          </cell>
          <cell r="H1583">
            <v>5024081</v>
          </cell>
          <cell r="AK1583" t="str">
            <v>DELETED USER</v>
          </cell>
        </row>
        <row r="1584">
          <cell r="C1584" t="str">
            <v>FIS_Citi phase 1 ALS Impl</v>
          </cell>
          <cell r="H1584">
            <v>5024381</v>
          </cell>
          <cell r="AK1584" t="str">
            <v>DELETED USER</v>
          </cell>
        </row>
        <row r="1585">
          <cell r="C1585" t="str">
            <v>Directors Mortgage_RAS</v>
          </cell>
          <cell r="H1585">
            <v>5039622</v>
          </cell>
          <cell r="AK1585" t="str">
            <v>Travis Peraza</v>
          </cell>
        </row>
        <row r="1586">
          <cell r="C1586" t="str">
            <v>CFG Modernization Amd 2</v>
          </cell>
          <cell r="H1586">
            <v>5023847</v>
          </cell>
          <cell r="AK1586" t="str">
            <v>Jeffrey Bordan</v>
          </cell>
        </row>
        <row r="1587">
          <cell r="C1587" t="str">
            <v>CS_Distributed Ledger Advisory</v>
          </cell>
          <cell r="H1587">
            <v>5023852</v>
          </cell>
          <cell r="AK1587" t="str">
            <v>DELETED USER</v>
          </cell>
        </row>
        <row r="1588">
          <cell r="C1588" t="str">
            <v>Brookline-TRID Compl Consult</v>
          </cell>
          <cell r="H1588">
            <v>5029919</v>
          </cell>
          <cell r="AK1588" t="str">
            <v>Leigh Tribou</v>
          </cell>
        </row>
        <row r="1589">
          <cell r="C1589" t="str">
            <v>Retail PMO Support CO #2</v>
          </cell>
          <cell r="H1589">
            <v>5023676</v>
          </cell>
          <cell r="AK1589" t="str">
            <v>Scott Jurgensen</v>
          </cell>
        </row>
        <row r="1590">
          <cell r="C1590" t="str">
            <v>FIS_Conversion &amp; Mig</v>
          </cell>
          <cell r="H1590">
            <v>5024388</v>
          </cell>
          <cell r="AK1590" t="str">
            <v>DELETED USER</v>
          </cell>
        </row>
        <row r="1591">
          <cell r="C1591" t="str">
            <v>10856-RAS-Founders Community B</v>
          </cell>
          <cell r="H1591">
            <v>5030811</v>
          </cell>
          <cell r="AK1591" t="str">
            <v>Cristina Arechaga</v>
          </cell>
        </row>
        <row r="1592">
          <cell r="C1592" t="str">
            <v>BNPP_OPCO Q4</v>
          </cell>
          <cell r="H1592">
            <v>5025140</v>
          </cell>
          <cell r="AK1592" t="str">
            <v>Robin Williams</v>
          </cell>
        </row>
        <row r="1593">
          <cell r="C1593" t="str">
            <v>MS SMR</v>
          </cell>
          <cell r="AK1593" t="str">
            <v>Rachael Zukerman</v>
          </cell>
        </row>
        <row r="1594">
          <cell r="C1594" t="str">
            <v>Park City Credit Union_RAS</v>
          </cell>
          <cell r="H1594">
            <v>5039699</v>
          </cell>
          <cell r="AK1594" t="str">
            <v>Travis Peraza</v>
          </cell>
        </row>
        <row r="1595">
          <cell r="C1595" t="str">
            <v>MS_Reg Rep CTB CAP Ext</v>
          </cell>
          <cell r="H1595">
            <v>5023144</v>
          </cell>
          <cell r="AK1595" t="str">
            <v>Angela McGregor</v>
          </cell>
        </row>
        <row r="1596">
          <cell r="C1596" t="str">
            <v>First Piedmont Federal Sav_RAS</v>
          </cell>
          <cell r="H1596">
            <v>5039652</v>
          </cell>
          <cell r="AK1596" t="str">
            <v>Diane Banks</v>
          </cell>
        </row>
        <row r="1597">
          <cell r="C1597" t="str">
            <v>Univest-MQC</v>
          </cell>
          <cell r="H1597">
            <v>5029583</v>
          </cell>
          <cell r="AK1597" t="str">
            <v>Cristina Arechaga</v>
          </cell>
        </row>
        <row r="1598">
          <cell r="C1598" t="str">
            <v>San_CCAR UAT</v>
          </cell>
          <cell r="H1598">
            <v>5023518</v>
          </cell>
          <cell r="AK1598" t="str">
            <v>DELETED USER</v>
          </cell>
        </row>
        <row r="1599">
          <cell r="C1599" t="str">
            <v>BMO_Data Gov GE Integration</v>
          </cell>
          <cell r="H1599">
            <v>5024362</v>
          </cell>
          <cell r="AK1599" t="str">
            <v>Michelle Fambro</v>
          </cell>
        </row>
        <row r="1600">
          <cell r="C1600" t="str">
            <v>MS_Source to Pay</v>
          </cell>
          <cell r="H1600">
            <v>5024309</v>
          </cell>
          <cell r="AK1600" t="str">
            <v>James St. Jean</v>
          </cell>
        </row>
        <row r="1601">
          <cell r="C1601" t="str">
            <v>UB_ACBS UAT &amp; Deployment CO#1</v>
          </cell>
          <cell r="H1601">
            <v>5023519</v>
          </cell>
          <cell r="AK1601" t="str">
            <v>Karl Augenstein</v>
          </cell>
        </row>
        <row r="1602">
          <cell r="C1602" t="str">
            <v>FIS_ServiceLink UI/UX Redesign</v>
          </cell>
          <cell r="H1602">
            <v>5024636</v>
          </cell>
          <cell r="AK1602" t="str">
            <v>DELETED USER</v>
          </cell>
        </row>
        <row r="1603">
          <cell r="C1603" t="str">
            <v>BMO _AML/KYC</v>
          </cell>
          <cell r="H1603">
            <v>5024551</v>
          </cell>
          <cell r="AK1603" t="str">
            <v>DELETED USER</v>
          </cell>
        </row>
        <row r="1604">
          <cell r="C1604" t="str">
            <v>RBC_CM Operations Engineering</v>
          </cell>
          <cell r="H1604">
            <v>5024366</v>
          </cell>
          <cell r="AK1604" t="str">
            <v>George Black</v>
          </cell>
        </row>
        <row r="1605">
          <cell r="C1605" t="str">
            <v>RBC_Process Improvement Review</v>
          </cell>
          <cell r="H1605">
            <v>5024692</v>
          </cell>
          <cell r="AK1605" t="str">
            <v>DELETED USER</v>
          </cell>
        </row>
        <row r="1606">
          <cell r="C1606" t="str">
            <v>Stifel B&amp;T-MQC</v>
          </cell>
          <cell r="H1606">
            <v>5029619</v>
          </cell>
          <cell r="AK1606" t="str">
            <v>Kristen Vadini</v>
          </cell>
        </row>
        <row r="1607">
          <cell r="C1607" t="str">
            <v>RBC_US Direct Bank</v>
          </cell>
          <cell r="H1607">
            <v>5024560</v>
          </cell>
          <cell r="AK1607" t="str">
            <v>Kaylin Kugler</v>
          </cell>
        </row>
        <row r="1608">
          <cell r="C1608" t="str">
            <v>Bluff-MQC</v>
          </cell>
          <cell r="H1608">
            <v>5029618</v>
          </cell>
          <cell r="AK1608" t="str">
            <v>Cristina Arechaga</v>
          </cell>
        </row>
        <row r="1609">
          <cell r="C1609" t="str">
            <v>CNB_Interim BC Manager</v>
          </cell>
          <cell r="H1609">
            <v>5024371</v>
          </cell>
          <cell r="AK1609" t="str">
            <v>DELETED USER</v>
          </cell>
        </row>
        <row r="1610">
          <cell r="C1610" t="str">
            <v>UB_Ent Mkt Process Design</v>
          </cell>
          <cell r="H1610">
            <v>5020020</v>
          </cell>
          <cell r="AK1610" t="str">
            <v>Lane Martin</v>
          </cell>
        </row>
        <row r="1611">
          <cell r="C1611" t="str">
            <v>Org Design Amd 1</v>
          </cell>
          <cell r="H1611">
            <v>5021976</v>
          </cell>
          <cell r="AK1611" t="str">
            <v>Mike Peretz</v>
          </cell>
        </row>
        <row r="1612">
          <cell r="C1612" t="str">
            <v>MS Derivs Collateral</v>
          </cell>
          <cell r="H1612">
            <v>5024714</v>
          </cell>
          <cell r="AK1612" t="str">
            <v>Chris Johnston</v>
          </cell>
        </row>
        <row r="1613">
          <cell r="C1613" t="str">
            <v>12735-RAS-Peoples Bank  Saving</v>
          </cell>
          <cell r="H1613">
            <v>5030878</v>
          </cell>
          <cell r="AK1613" t="str">
            <v>Cristina Arechaga</v>
          </cell>
        </row>
        <row r="1614">
          <cell r="C1614" t="str">
            <v>3091-RAS-Peoples Bank</v>
          </cell>
          <cell r="H1614">
            <v>5030518</v>
          </cell>
          <cell r="AK1614" t="str">
            <v>Cristina Arechaga</v>
          </cell>
        </row>
        <row r="1615">
          <cell r="C1615" t="str">
            <v>Pricing Execution Proj Ext</v>
          </cell>
          <cell r="H1615">
            <v>5022847</v>
          </cell>
          <cell r="AK1615" t="str">
            <v>Aditya Udas</v>
          </cell>
        </row>
        <row r="1616">
          <cell r="C1616" t="str">
            <v>FrMc_CSP Business</v>
          </cell>
          <cell r="H1616">
            <v>5022059</v>
          </cell>
          <cell r="AK1616" t="str">
            <v>John Gubala</v>
          </cell>
        </row>
        <row r="1617">
          <cell r="C1617" t="str">
            <v>FM_LDNG Plateau 1.1/1.2 Amd 4</v>
          </cell>
          <cell r="H1617">
            <v>5022429</v>
          </cell>
          <cell r="AK1617" t="str">
            <v>Poorna Bhimavarapu</v>
          </cell>
        </row>
        <row r="1618">
          <cell r="C1618" t="str">
            <v>RedDough-Compliance Consulting</v>
          </cell>
          <cell r="H1618">
            <v>5029859</v>
          </cell>
          <cell r="AK1618" t="str">
            <v>David Stalnaker</v>
          </cell>
        </row>
        <row r="1619">
          <cell r="C1619" t="str">
            <v>FrMc_SS Business Delivery</v>
          </cell>
          <cell r="H1619">
            <v>5024733</v>
          </cell>
          <cell r="AK1619" t="str">
            <v>DELETED USER</v>
          </cell>
        </row>
        <row r="1620">
          <cell r="C1620" t="str">
            <v>Boomerang Addendum</v>
          </cell>
          <cell r="H1620">
            <v>5017745</v>
          </cell>
          <cell r="AK1620" t="str">
            <v>John McCaffrey</v>
          </cell>
        </row>
        <row r="1621">
          <cell r="C1621" t="str">
            <v>Sun_PTD Utility-Due Diligence</v>
          </cell>
          <cell r="H1621">
            <v>5024224</v>
          </cell>
          <cell r="AK1621" t="str">
            <v>DELETED USER</v>
          </cell>
        </row>
        <row r="1622">
          <cell r="C1622" t="str">
            <v>Jeff_FX PMO Extension</v>
          </cell>
          <cell r="H1622">
            <v>5024235</v>
          </cell>
          <cell r="AK1622" t="str">
            <v>Chelsea Mattias</v>
          </cell>
        </row>
        <row r="1623">
          <cell r="C1623" t="str">
            <v>CSP IT PMO Amd 1</v>
          </cell>
          <cell r="H1623">
            <v>5024014</v>
          </cell>
        </row>
        <row r="1624">
          <cell r="C1624" t="str">
            <v>FIS_CB_Core Bank Modern</v>
          </cell>
          <cell r="H1624">
            <v>5024713</v>
          </cell>
          <cell r="AK1624" t="str">
            <v>Jeffrey Bordan</v>
          </cell>
        </row>
        <row r="1625">
          <cell r="C1625" t="str">
            <v>Dir Bk &amp; Fin Ctr Launch CO#1</v>
          </cell>
          <cell r="H1625">
            <v>5016861</v>
          </cell>
          <cell r="AK1625" t="str">
            <v>Samuel Awsumb</v>
          </cell>
        </row>
        <row r="1626">
          <cell r="C1626" t="str">
            <v>MS_LEAN Management_Ext</v>
          </cell>
          <cell r="H1626">
            <v>5022850</v>
          </cell>
          <cell r="AK1626" t="str">
            <v>Angela McGregor</v>
          </cell>
        </row>
        <row r="1627">
          <cell r="C1627" t="str">
            <v>CSP Business Amd 12</v>
          </cell>
          <cell r="H1627">
            <v>5022059</v>
          </cell>
          <cell r="AK1627" t="str">
            <v>John Gubala</v>
          </cell>
        </row>
        <row r="1628">
          <cell r="C1628" t="str">
            <v>WF_WFA Bus Arch Mthd</v>
          </cell>
          <cell r="H1628">
            <v>5020594</v>
          </cell>
          <cell r="AK1628" t="str">
            <v>Kevin Miologos</v>
          </cell>
        </row>
        <row r="1629">
          <cell r="C1629" t="str">
            <v>Loan Coverage Insight Amd 3</v>
          </cell>
          <cell r="H1629">
            <v>5020229</v>
          </cell>
          <cell r="AK1629" t="str">
            <v>Aditya Udas</v>
          </cell>
        </row>
        <row r="1630">
          <cell r="C1630" t="str">
            <v>Monument PA-MQC</v>
          </cell>
          <cell r="H1630">
            <v>5029651</v>
          </cell>
          <cell r="AK1630" t="str">
            <v>Cristina Arechaga</v>
          </cell>
        </row>
        <row r="1631">
          <cell r="C1631" t="str">
            <v>Jeff_One PM Amd 1</v>
          </cell>
          <cell r="H1631">
            <v>5023978</v>
          </cell>
          <cell r="AK1631" t="str">
            <v>DELETED USER</v>
          </cell>
        </row>
        <row r="1632">
          <cell r="C1632" t="str">
            <v>PEnterprise-FL Risk Assessment</v>
          </cell>
          <cell r="H1632">
            <v>5029852</v>
          </cell>
          <cell r="AK1632" t="str">
            <v>Lois Baxter</v>
          </cell>
        </row>
        <row r="1633">
          <cell r="C1633" t="str">
            <v>CSP Biz Amd 13, 14 (No Cost)</v>
          </cell>
          <cell r="H1633">
            <v>5022059</v>
          </cell>
          <cell r="AK1633" t="str">
            <v>John Gubala</v>
          </cell>
        </row>
        <row r="1634">
          <cell r="C1634" t="str">
            <v>5th3rd_Cap Mod &amp; Pro Map</v>
          </cell>
          <cell r="H1634">
            <v>5024905</v>
          </cell>
          <cell r="AK1634" t="str">
            <v>Theepah Tharmalingam</v>
          </cell>
        </row>
        <row r="1635">
          <cell r="C1635" t="str">
            <v>RBC_Process Review Extension</v>
          </cell>
          <cell r="H1635">
            <v>5024692</v>
          </cell>
          <cell r="AK1635" t="str">
            <v>DELETED USER</v>
          </cell>
        </row>
        <row r="1636">
          <cell r="C1636" t="str">
            <v>GPC Amd 4</v>
          </cell>
          <cell r="H1636">
            <v>5021682</v>
          </cell>
          <cell r="AK1636" t="str">
            <v>Ambika Kutty</v>
          </cell>
        </row>
        <row r="1637">
          <cell r="C1637" t="str">
            <v>RBC Ops Risk PM Support Ext 1</v>
          </cell>
          <cell r="H1637">
            <v>5023992</v>
          </cell>
          <cell r="AK1637" t="str">
            <v>DELETED USER</v>
          </cell>
        </row>
        <row r="1638">
          <cell r="C1638" t="str">
            <v>Blockchain Promo Video</v>
          </cell>
          <cell r="H1638">
            <v>5023852</v>
          </cell>
          <cell r="AK1638" t="str">
            <v>DELETED USER</v>
          </cell>
        </row>
        <row r="1639">
          <cell r="C1639" t="str">
            <v>CGC Rainbow US Bus Ext 2014</v>
          </cell>
          <cell r="H1639">
            <v>5024513</v>
          </cell>
          <cell r="AK1639" t="str">
            <v>DELETED USER</v>
          </cell>
        </row>
        <row r="1640">
          <cell r="C1640" t="str">
            <v>Merchants Bank of Indiana_RAS</v>
          </cell>
          <cell r="H1640">
            <v>5039686</v>
          </cell>
          <cell r="AK1640" t="str">
            <v>Diane Banks</v>
          </cell>
        </row>
        <row r="1641">
          <cell r="C1641" t="str">
            <v>SS Release 2 PCDC</v>
          </cell>
          <cell r="H1641">
            <v>5024628</v>
          </cell>
        </row>
        <row r="1642">
          <cell r="C1642" t="str">
            <v>BarCap_Interim CIO</v>
          </cell>
          <cell r="H1642">
            <v>5024282</v>
          </cell>
          <cell r="AK1642" t="str">
            <v>Kevin Wells</v>
          </cell>
        </row>
        <row r="1643">
          <cell r="C1643" t="str">
            <v>DFPS_EODMonitoringProcessExt3</v>
          </cell>
          <cell r="H1643">
            <v>5012802</v>
          </cell>
          <cell r="AK1643" t="str">
            <v>DELETED USER</v>
          </cell>
        </row>
        <row r="1644">
          <cell r="C1644" t="str">
            <v>Santander CCAR UAT Part 2</v>
          </cell>
          <cell r="H1644">
            <v>5023518</v>
          </cell>
          <cell r="AK1644" t="str">
            <v>DELETED USER</v>
          </cell>
        </row>
        <row r="1645">
          <cell r="C1645" t="str">
            <v>First State Bank &amp; Trust_RAS</v>
          </cell>
          <cell r="H1645">
            <v>5039656</v>
          </cell>
          <cell r="AK1645" t="str">
            <v>Diane Banks</v>
          </cell>
        </row>
        <row r="1646">
          <cell r="C1646" t="str">
            <v>Sun_PTD Utility Amd 1</v>
          </cell>
          <cell r="H1646">
            <v>5024224</v>
          </cell>
          <cell r="AK1646" t="str">
            <v>DELETED USER</v>
          </cell>
        </row>
        <row r="1647">
          <cell r="C1647" t="str">
            <v>FIS-Systematics-BSA Consulting</v>
          </cell>
          <cell r="H1647">
            <v>5029829</v>
          </cell>
          <cell r="AK1647" t="str">
            <v>Nancy Gregory</v>
          </cell>
        </row>
        <row r="1648">
          <cell r="C1648" t="str">
            <v>QA Change Sourcing Program</v>
          </cell>
          <cell r="H1648">
            <v>5020146</v>
          </cell>
          <cell r="AK1648" t="str">
            <v>John McCaffrey</v>
          </cell>
        </row>
        <row r="1649">
          <cell r="C1649" t="str">
            <v>BarCap_Fin Change Octon Amd 2</v>
          </cell>
          <cell r="H1649">
            <v>5021072</v>
          </cell>
          <cell r="AK1649" t="str">
            <v>DELETED USER</v>
          </cell>
        </row>
        <row r="1650">
          <cell r="C1650" t="str">
            <v>MS_Prime Brokerage Technology</v>
          </cell>
          <cell r="H1650">
            <v>5020142</v>
          </cell>
          <cell r="AK1650" t="str">
            <v>Angela McGregor</v>
          </cell>
        </row>
        <row r="1651">
          <cell r="C1651" t="str">
            <v>5481-RAS-FNB Bank  Inc.</v>
          </cell>
          <cell r="H1651">
            <v>5030597</v>
          </cell>
          <cell r="AK1651" t="str">
            <v>Cristina Arechaga</v>
          </cell>
        </row>
        <row r="1652">
          <cell r="C1652" t="str">
            <v>9971-RAS-Community Bank of Par</v>
          </cell>
          <cell r="H1652">
            <v>5030777</v>
          </cell>
          <cell r="AK1652" t="str">
            <v>Cristina Arechaga</v>
          </cell>
        </row>
        <row r="1653">
          <cell r="C1653" t="str">
            <v>CDW Data Analysis</v>
          </cell>
          <cell r="H1653">
            <v>5022972</v>
          </cell>
          <cell r="AK1653" t="str">
            <v>Aditya Udas</v>
          </cell>
        </row>
        <row r="1654">
          <cell r="C1654" t="str">
            <v>Regions Bank_RAS</v>
          </cell>
          <cell r="H1654">
            <v>5039714</v>
          </cell>
          <cell r="AK1654" t="str">
            <v>Travis Peraza</v>
          </cell>
        </row>
        <row r="1655">
          <cell r="C1655" t="str">
            <v>Commercial Bank_RAS</v>
          </cell>
          <cell r="H1655">
            <v>5039616</v>
          </cell>
          <cell r="AK1655" t="str">
            <v>Diane Banks</v>
          </cell>
        </row>
        <row r="1656">
          <cell r="C1656" t="str">
            <v>MS_LEAN Management_Ext2</v>
          </cell>
          <cell r="H1656">
            <v>5022850</v>
          </cell>
          <cell r="AK1656" t="str">
            <v>Angela McGregor</v>
          </cell>
        </row>
        <row r="1657">
          <cell r="C1657" t="str">
            <v>13072-RAS-Mutual Bank</v>
          </cell>
          <cell r="H1657">
            <v>5030894</v>
          </cell>
          <cell r="AK1657" t="str">
            <v>Cristina Arechaga</v>
          </cell>
        </row>
        <row r="1658">
          <cell r="C1658" t="str">
            <v>BMO_Business line Data Gov Co1</v>
          </cell>
          <cell r="H1658">
            <v>5019994</v>
          </cell>
          <cell r="AK1658" t="str">
            <v>Ramnish Gupta</v>
          </cell>
        </row>
        <row r="1659">
          <cell r="C1659" t="str">
            <v>BMO_Jupiter DG - 2016 Phase I</v>
          </cell>
          <cell r="H1659">
            <v>5024362</v>
          </cell>
          <cell r="AK1659" t="str">
            <v>Michelle Fambro</v>
          </cell>
        </row>
        <row r="1660">
          <cell r="C1660" t="str">
            <v>Golden1-ERMC</v>
          </cell>
          <cell r="H1660">
            <v>5029596</v>
          </cell>
          <cell r="AK1660" t="str">
            <v>Allan Cuttle</v>
          </cell>
        </row>
        <row r="1661">
          <cell r="C1661" t="str">
            <v>US_Private Client Info Removal</v>
          </cell>
          <cell r="H1661">
            <v>5025157</v>
          </cell>
          <cell r="AK1661" t="str">
            <v>David Cardone</v>
          </cell>
        </row>
        <row r="1662">
          <cell r="C1662" t="str">
            <v>5726-RAS-Bank of the Pacific</v>
          </cell>
          <cell r="H1662">
            <v>5030640</v>
          </cell>
          <cell r="AK1662" t="str">
            <v>Cristina Arechaga</v>
          </cell>
        </row>
        <row r="1663">
          <cell r="C1663" t="str">
            <v>6162-RAS-Morton Community bank</v>
          </cell>
          <cell r="H1663">
            <v>5030649</v>
          </cell>
          <cell r="AK1663" t="str">
            <v>Cristina Arechaga</v>
          </cell>
        </row>
        <row r="1664">
          <cell r="C1664" t="str">
            <v>CDW Extension (Ameya)</v>
          </cell>
          <cell r="H1664">
            <v>5022972</v>
          </cell>
          <cell r="AK1664" t="str">
            <v>Aditya Udas</v>
          </cell>
        </row>
        <row r="1665">
          <cell r="C1665" t="str">
            <v>5th3rd CC Process Flows Amd 1</v>
          </cell>
          <cell r="H1665">
            <v>5024905</v>
          </cell>
          <cell r="AK1665" t="str">
            <v>Jon Suer</v>
          </cell>
        </row>
        <row r="1666">
          <cell r="C1666" t="str">
            <v>INHP-Compliance Consult</v>
          </cell>
          <cell r="H1666">
            <v>5029777</v>
          </cell>
          <cell r="AK1666" t="str">
            <v>Paul Brinker</v>
          </cell>
        </row>
        <row r="1667">
          <cell r="C1667" t="str">
            <v>MS_CTB_RUN_UK</v>
          </cell>
          <cell r="H1667">
            <v>5025688</v>
          </cell>
          <cell r="AK1667" t="str">
            <v>Chris Johnston</v>
          </cell>
        </row>
        <row r="1668">
          <cell r="C1668" t="str">
            <v>Metlife_Murex Services App Dev</v>
          </cell>
          <cell r="H1668">
            <v>5025720</v>
          </cell>
          <cell r="AK1668" t="str">
            <v>DELETED USER</v>
          </cell>
        </row>
        <row r="1669">
          <cell r="C1669" t="str">
            <v>HSBC_CDCo_Flex Up 2016</v>
          </cell>
          <cell r="H1669">
            <v>5025305</v>
          </cell>
          <cell r="AK1669" t="str">
            <v>Rahul Govada</v>
          </cell>
        </row>
        <row r="1670">
          <cell r="C1670" t="str">
            <v>10389-RAS-Minnesota Lakes Bank</v>
          </cell>
          <cell r="H1670">
            <v>5030797</v>
          </cell>
          <cell r="AK1670" t="str">
            <v>Cristina Arechaga</v>
          </cell>
        </row>
        <row r="1671">
          <cell r="C1671" t="str">
            <v>7052-RAS-Grand Rapids State Ba</v>
          </cell>
          <cell r="H1671">
            <v>5030666</v>
          </cell>
          <cell r="AK1671" t="str">
            <v>Cristina Arechaga</v>
          </cell>
        </row>
        <row r="1672">
          <cell r="C1672" t="str">
            <v>Midwest CB-FL Co-Sourcing</v>
          </cell>
          <cell r="H1672">
            <v>5029556</v>
          </cell>
          <cell r="AK1672" t="str">
            <v>Eugene Collett</v>
          </cell>
        </row>
        <row r="1673">
          <cell r="C1673" t="str">
            <v>CNB_Interim BC Manager Amd 1</v>
          </cell>
          <cell r="H1673">
            <v>5024371</v>
          </cell>
          <cell r="AK1673" t="str">
            <v>DELETED USER</v>
          </cell>
        </row>
        <row r="1674">
          <cell r="C1674" t="str">
            <v>MS_CTB_RUN_HK</v>
          </cell>
          <cell r="H1674">
            <v>5025686</v>
          </cell>
          <cell r="AK1674" t="str">
            <v>Mitali Drews</v>
          </cell>
        </row>
        <row r="1675">
          <cell r="C1675" t="str">
            <v>OFAC - 2016 Support</v>
          </cell>
          <cell r="H1675">
            <v>5018451</v>
          </cell>
          <cell r="AK1675" t="str">
            <v>Ruben Sooriya</v>
          </cell>
        </row>
        <row r="1676">
          <cell r="C1676" t="str">
            <v>Midwest CB-FL Stat Analysis</v>
          </cell>
          <cell r="H1676">
            <v>5029947</v>
          </cell>
          <cell r="AK1676" t="str">
            <v>Paula Witt</v>
          </cell>
        </row>
        <row r="1677">
          <cell r="C1677" t="str">
            <v>GS_Regulatory Program Support</v>
          </cell>
          <cell r="H1677">
            <v>5021799</v>
          </cell>
          <cell r="AK1677" t="str">
            <v>DELETED USER</v>
          </cell>
        </row>
        <row r="1678">
          <cell r="C1678" t="str">
            <v>Alma Bank-Cybersec Analyst</v>
          </cell>
          <cell r="H1678">
            <v>5029541</v>
          </cell>
          <cell r="AK1678" t="str">
            <v>David Lott</v>
          </cell>
        </row>
        <row r="1679">
          <cell r="C1679" t="str">
            <v>Midwest CB-FL Risk Assessment</v>
          </cell>
          <cell r="H1679">
            <v>5029846</v>
          </cell>
          <cell r="AK1679" t="str">
            <v>Lois Baxter</v>
          </cell>
        </row>
        <row r="1680">
          <cell r="C1680" t="str">
            <v>INHP-MQC</v>
          </cell>
          <cell r="H1680">
            <v>5029577</v>
          </cell>
          <cell r="AK1680" t="str">
            <v>Keith Cole</v>
          </cell>
        </row>
        <row r="1681">
          <cell r="C1681" t="str">
            <v>BGeorgetown-Compliance Admin</v>
          </cell>
          <cell r="H1681">
            <v>5029918</v>
          </cell>
          <cell r="AK1681" t="str">
            <v>Alice Judd</v>
          </cell>
        </row>
        <row r="1682">
          <cell r="C1682" t="str">
            <v>MS_CTB_RUN_HK</v>
          </cell>
          <cell r="H1682">
            <v>5025686</v>
          </cell>
          <cell r="AK1682" t="str">
            <v>Mitali Drews</v>
          </cell>
        </row>
        <row r="1683">
          <cell r="C1683" t="str">
            <v>FM DU RAMP Resources 2016</v>
          </cell>
          <cell r="H1683">
            <v>5023292</v>
          </cell>
          <cell r="AK1683" t="str">
            <v>DELETED USER</v>
          </cell>
        </row>
        <row r="1684">
          <cell r="C1684" t="str">
            <v>CGC Rainbow extn 2016 India</v>
          </cell>
          <cell r="H1684">
            <v>5017084</v>
          </cell>
          <cell r="AK1684" t="str">
            <v>DELETED USER</v>
          </cell>
        </row>
        <row r="1685">
          <cell r="C1685" t="str">
            <v>Xpress-BSA Independent Test</v>
          </cell>
          <cell r="H1685">
            <v>5029908</v>
          </cell>
          <cell r="AK1685" t="str">
            <v>Charles Mcwilliam</v>
          </cell>
        </row>
        <row r="1686">
          <cell r="C1686" t="str">
            <v>MS_CTB_RUN_UK</v>
          </cell>
          <cell r="H1686">
            <v>5025770</v>
          </cell>
          <cell r="AK1686" t="str">
            <v>Chris Johnston</v>
          </cell>
        </row>
        <row r="1687">
          <cell r="C1687" t="str">
            <v>Goldman-UIG Compliance Consult</v>
          </cell>
          <cell r="H1687">
            <v>5029832</v>
          </cell>
          <cell r="AK1687" t="str">
            <v>John Soffronoff</v>
          </cell>
        </row>
        <row r="1688">
          <cell r="C1688" t="str">
            <v>MS_COLL UMR Support</v>
          </cell>
          <cell r="H1688">
            <v>5025548</v>
          </cell>
          <cell r="AK1688" t="str">
            <v>Chris Johnston</v>
          </cell>
        </row>
        <row r="1689">
          <cell r="C1689" t="str">
            <v>MS_ORD Extension 2016</v>
          </cell>
          <cell r="H1689">
            <v>5015255</v>
          </cell>
          <cell r="AK1689" t="str">
            <v>Iruka Brown</v>
          </cell>
        </row>
        <row r="1690">
          <cell r="C1690" t="str">
            <v>Bradesco - NextBank</v>
          </cell>
          <cell r="H1690">
            <v>5025612</v>
          </cell>
          <cell r="AK1690" t="str">
            <v>Owen Priestley</v>
          </cell>
        </row>
        <row r="1691">
          <cell r="C1691" t="str">
            <v>MS_EMR SMR-T2S</v>
          </cell>
          <cell r="H1691">
            <v>5026247</v>
          </cell>
          <cell r="AK1691" t="str">
            <v>Chris Johnston</v>
          </cell>
        </row>
        <row r="1692">
          <cell r="C1692" t="str">
            <v>WF_ORA Program Delivery '16</v>
          </cell>
          <cell r="H1692">
            <v>5025296</v>
          </cell>
          <cell r="AK1692" t="str">
            <v>Bryce VanDiver</v>
          </cell>
        </row>
        <row r="1693">
          <cell r="C1693" t="str">
            <v>Jeff_Data transparency viz 4</v>
          </cell>
          <cell r="H1693">
            <v>5025230</v>
          </cell>
        </row>
        <row r="1694">
          <cell r="C1694" t="str">
            <v>HSBC_CDCo_RBWM 2016</v>
          </cell>
          <cell r="H1694">
            <v>5025367</v>
          </cell>
          <cell r="AK1694" t="str">
            <v>DELETED USER</v>
          </cell>
        </row>
        <row r="1695">
          <cell r="C1695" t="str">
            <v>Jeff_One PM Amd 2</v>
          </cell>
          <cell r="H1695">
            <v>5023978</v>
          </cell>
          <cell r="AK1695" t="str">
            <v>DELETED USER</v>
          </cell>
        </row>
        <row r="1696">
          <cell r="C1696" t="str">
            <v>Jeff_Data transparency 4</v>
          </cell>
          <cell r="H1696">
            <v>5024337</v>
          </cell>
          <cell r="AK1696" t="str">
            <v>DELETED USER</v>
          </cell>
        </row>
        <row r="1697">
          <cell r="C1697" t="str">
            <v>BMO_Basel III 2016 Ph I</v>
          </cell>
          <cell r="H1697">
            <v>5024802</v>
          </cell>
          <cell r="AK1697" t="str">
            <v>Ramnish Gupta</v>
          </cell>
        </row>
        <row r="1698">
          <cell r="C1698" t="str">
            <v>HSBC_HPQC - Follow On</v>
          </cell>
          <cell r="H1698">
            <v>5021683</v>
          </cell>
          <cell r="AK1698" t="str">
            <v>Ben Shoota</v>
          </cell>
        </row>
        <row r="1699">
          <cell r="C1699" t="str">
            <v>Santander IHC Amd 3</v>
          </cell>
          <cell r="H1699">
            <v>5021704</v>
          </cell>
          <cell r="AK1699" t="str">
            <v>Ridha Mesli</v>
          </cell>
        </row>
        <row r="1700">
          <cell r="C1700" t="str">
            <v>Data Science Extension</v>
          </cell>
          <cell r="H1700">
            <v>5023448</v>
          </cell>
          <cell r="AK1700" t="str">
            <v>DELETED USER</v>
          </cell>
        </row>
        <row r="1701">
          <cell r="C1701" t="str">
            <v>Jefferies_IT Outsourcing NARun</v>
          </cell>
          <cell r="H1701">
            <v>5017745</v>
          </cell>
          <cell r="AK1701" t="str">
            <v>John McCaffrey</v>
          </cell>
        </row>
        <row r="1702">
          <cell r="C1702" t="str">
            <v>Delinquency Reporting Ph (O)</v>
          </cell>
          <cell r="H1702">
            <v>5024011</v>
          </cell>
        </row>
        <row r="1703">
          <cell r="C1703" t="str">
            <v>CDW Extension (Smita)</v>
          </cell>
          <cell r="H1703">
            <v>5022078</v>
          </cell>
          <cell r="AK1703" t="str">
            <v>Aditya Udas</v>
          </cell>
        </row>
        <row r="1704">
          <cell r="C1704" t="str">
            <v>HSBC_Big Data PMO 2016</v>
          </cell>
          <cell r="H1704">
            <v>5025387</v>
          </cell>
          <cell r="AK1704" t="str">
            <v>DELETED USER</v>
          </cell>
        </row>
        <row r="1705">
          <cell r="C1705" t="str">
            <v>IHC Program Mgmt Expansion</v>
          </cell>
          <cell r="H1705">
            <v>5022849</v>
          </cell>
          <cell r="AK1705" t="str">
            <v>Justin Gonlag</v>
          </cell>
        </row>
        <row r="1706">
          <cell r="C1706" t="str">
            <v>BMO_Reference Data Management</v>
          </cell>
          <cell r="H1706">
            <v>5025345</v>
          </cell>
          <cell r="AK1706" t="str">
            <v>Dev Anumolu</v>
          </cell>
        </row>
        <row r="1707">
          <cell r="C1707" t="str">
            <v>FrMc_Investor Reporting IT PMO</v>
          </cell>
          <cell r="H1707">
            <v>5025029</v>
          </cell>
          <cell r="AK1707" t="str">
            <v>John Napolitano</v>
          </cell>
        </row>
        <row r="1708">
          <cell r="C1708" t="str">
            <v>FIS_Citi_Core Mexico Phase 1</v>
          </cell>
          <cell r="H1708">
            <v>5025333</v>
          </cell>
          <cell r="AK1708" t="str">
            <v>DELETED USER</v>
          </cell>
        </row>
        <row r="1709">
          <cell r="C1709" t="str">
            <v>TCV fix -FIS_Citi_Core Mexico</v>
          </cell>
          <cell r="H1709">
            <v>5025333</v>
          </cell>
          <cell r="AK1709" t="str">
            <v>Suzanne Madden</v>
          </cell>
        </row>
        <row r="1710">
          <cell r="C1710" t="str">
            <v>Credit Card Insource CO #4</v>
          </cell>
          <cell r="H1710">
            <v>5021007</v>
          </cell>
          <cell r="AK1710" t="str">
            <v>George Simotas</v>
          </cell>
        </row>
        <row r="1711">
          <cell r="C1711" t="str">
            <v>Citi_IS_Divestiture_Hedge</v>
          </cell>
          <cell r="H1711">
            <v>5022251</v>
          </cell>
          <cell r="AK1711" t="str">
            <v>Robert Norris</v>
          </cell>
        </row>
        <row r="1712">
          <cell r="C1712" t="str">
            <v>BW_Grnd Central Support Amd 2</v>
          </cell>
          <cell r="H1712">
            <v>5020840</v>
          </cell>
          <cell r="AK1712" t="str">
            <v>Matt Markham</v>
          </cell>
        </row>
        <row r="1713">
          <cell r="C1713" t="str">
            <v>TCV fix - UB_PCI Compliance</v>
          </cell>
          <cell r="H1713">
            <v>5020855</v>
          </cell>
          <cell r="AK1713" t="str">
            <v>Suzanne Madden</v>
          </cell>
        </row>
        <row r="1714">
          <cell r="C1714" t="str">
            <v>UB_PCI Compliance Program</v>
          </cell>
          <cell r="H1714">
            <v>5020855</v>
          </cell>
          <cell r="AK1714" t="str">
            <v>Michael Tao</v>
          </cell>
        </row>
        <row r="1715">
          <cell r="C1715" t="str">
            <v>Ent Marketing Proc Design CO#1</v>
          </cell>
          <cell r="H1715">
            <v>5020020</v>
          </cell>
          <cell r="AK1715" t="str">
            <v>Lane Martin</v>
          </cell>
        </row>
        <row r="1716">
          <cell r="C1716" t="str">
            <v>HSBC_Risk Strategy - Follow-on</v>
          </cell>
          <cell r="H1716">
            <v>5021975</v>
          </cell>
          <cell r="AK1716" t="str">
            <v>Alexis Chan</v>
          </cell>
        </row>
        <row r="1717">
          <cell r="C1717" t="str">
            <v>Jeff_Reconciliation Re-Design</v>
          </cell>
          <cell r="H1717">
            <v>5025852</v>
          </cell>
          <cell r="AK1717" t="str">
            <v>John McCaffrey</v>
          </cell>
        </row>
        <row r="1718">
          <cell r="C1718" t="str">
            <v>MS_CTB_ORC_TOKYO</v>
          </cell>
          <cell r="H1718">
            <v>5025745</v>
          </cell>
          <cell r="AK1718" t="str">
            <v>Angela McGregor</v>
          </cell>
        </row>
        <row r="1719">
          <cell r="C1719" t="str">
            <v>13357-RAS-PeoplesBank</v>
          </cell>
          <cell r="H1719">
            <v>5030903</v>
          </cell>
          <cell r="AK1719" t="str">
            <v>Cristina Arechaga</v>
          </cell>
        </row>
        <row r="1720">
          <cell r="C1720" t="str">
            <v>FM_Hosting Services and PM</v>
          </cell>
          <cell r="H1720">
            <v>5024340</v>
          </cell>
          <cell r="AK1720" t="str">
            <v>Richard Rhodes</v>
          </cell>
        </row>
        <row r="1721">
          <cell r="C1721" t="str">
            <v>Macquarie_EBS Items Review</v>
          </cell>
          <cell r="H1721">
            <v>5025689</v>
          </cell>
          <cell r="AK1721" t="str">
            <v>Mike Drews</v>
          </cell>
        </row>
        <row r="1722">
          <cell r="C1722" t="str">
            <v>8505-RAS-Lakeland Bank</v>
          </cell>
          <cell r="H1722">
            <v>5030706</v>
          </cell>
          <cell r="AK1722" t="str">
            <v>Cristina Arechaga</v>
          </cell>
        </row>
        <row r="1723">
          <cell r="C1723" t="str">
            <v>Arthur State Bank_RAS</v>
          </cell>
          <cell r="H1723">
            <v>5039586</v>
          </cell>
          <cell r="AK1723" t="str">
            <v>Diane Banks</v>
          </cell>
        </row>
        <row r="1724">
          <cell r="C1724" t="str">
            <v>Symphony/Jabber Deployment PM</v>
          </cell>
          <cell r="H1724">
            <v>5023535</v>
          </cell>
          <cell r="AK1724" t="str">
            <v>Jeffrey Gheraldi</v>
          </cell>
        </row>
        <row r="1725">
          <cell r="C1725" t="str">
            <v>Mifflinburg Bank &amp; Trust C_RAS</v>
          </cell>
          <cell r="H1725">
            <v>5039688</v>
          </cell>
          <cell r="AK1725" t="str">
            <v>Diane Banks</v>
          </cell>
        </row>
        <row r="1726">
          <cell r="C1726" t="str">
            <v>Rabo_IQAO Execution</v>
          </cell>
          <cell r="H1726">
            <v>5025329</v>
          </cell>
          <cell r="AK1726" t="str">
            <v>DELETED USER</v>
          </cell>
        </row>
        <row r="1727">
          <cell r="C1727" t="str">
            <v>CNB_Interim BC Manager Co2</v>
          </cell>
          <cell r="H1727">
            <v>5024371</v>
          </cell>
          <cell r="AK1727" t="str">
            <v>DELETED USER</v>
          </cell>
        </row>
        <row r="1728">
          <cell r="C1728" t="str">
            <v>Ent Marketing Proc Design CO#2</v>
          </cell>
          <cell r="H1728">
            <v>5020020</v>
          </cell>
          <cell r="AK1728" t="str">
            <v>Lane Martin</v>
          </cell>
        </row>
        <row r="1729">
          <cell r="C1729" t="str">
            <v>Org Design Amd 2</v>
          </cell>
          <cell r="H1729">
            <v>5021976</v>
          </cell>
          <cell r="AK1729" t="str">
            <v>Mike Peretz</v>
          </cell>
        </row>
        <row r="1730">
          <cell r="C1730" t="str">
            <v>BBT_BankCard Operations</v>
          </cell>
          <cell r="H1730">
            <v>5023637</v>
          </cell>
          <cell r="AK1730" t="str">
            <v>Maximilian Mauro</v>
          </cell>
        </row>
        <row r="1731">
          <cell r="C1731" t="str">
            <v>TrustCoBank-Indep Loan Rvw Prg</v>
          </cell>
          <cell r="H1731">
            <v>5029864</v>
          </cell>
          <cell r="AK1731" t="str">
            <v>Patti Harrison</v>
          </cell>
        </row>
        <row r="1732">
          <cell r="C1732" t="str">
            <v>UB_ACBS Program Redesign</v>
          </cell>
          <cell r="H1732">
            <v>5025350</v>
          </cell>
          <cell r="AK1732" t="str">
            <v>Karl Augenstein</v>
          </cell>
        </row>
        <row r="1733">
          <cell r="C1733" t="str">
            <v>CommunityBB-Compliance Monitor</v>
          </cell>
          <cell r="H1733">
            <v>5029820</v>
          </cell>
          <cell r="AK1733" t="str">
            <v>Brigitte Howorko</v>
          </cell>
        </row>
        <row r="1734">
          <cell r="C1734" t="str">
            <v>CFG Community Bank_RAS</v>
          </cell>
          <cell r="H1734">
            <v>5039606</v>
          </cell>
          <cell r="AK1734" t="str">
            <v>Travis Peraza</v>
          </cell>
        </row>
        <row r="1735">
          <cell r="C1735" t="str">
            <v>First S&amp;L-Compliance Consult</v>
          </cell>
          <cell r="H1735">
            <v>5029930</v>
          </cell>
          <cell r="AK1735" t="str">
            <v>Amanda Pickering</v>
          </cell>
        </row>
        <row r="1736">
          <cell r="C1736" t="str">
            <v>FrMc_GPC Amd 5</v>
          </cell>
          <cell r="H1736">
            <v>5021682</v>
          </cell>
          <cell r="AK1736" t="str">
            <v>Ambika Kutty</v>
          </cell>
        </row>
        <row r="1737">
          <cell r="C1737" t="str">
            <v>Dir Bk &amp; Fin Ctr {Tahoe} CO#2</v>
          </cell>
          <cell r="H1737">
            <v>5016861</v>
          </cell>
          <cell r="AK1737" t="str">
            <v>Samuel Awsumb</v>
          </cell>
        </row>
        <row r="1738">
          <cell r="C1738" t="str">
            <v>BW Data Svcs Testing Ext02</v>
          </cell>
          <cell r="H1738">
            <v>5023513</v>
          </cell>
          <cell r="AK1738" t="str">
            <v>Matt Markham</v>
          </cell>
        </row>
        <row r="1739">
          <cell r="C1739" t="str">
            <v>UBS_VISA Infinite Card Launch</v>
          </cell>
          <cell r="H1739">
            <v>5025384</v>
          </cell>
          <cell r="AK1739" t="str">
            <v>Kurian Philip</v>
          </cell>
        </row>
        <row r="1740">
          <cell r="C1740" t="str">
            <v>FrMc_Single Security Amd1</v>
          </cell>
          <cell r="H1740">
            <v>5024733</v>
          </cell>
          <cell r="AK1740" t="str">
            <v>DELETED USER</v>
          </cell>
        </row>
        <row r="1741">
          <cell r="C1741" t="str">
            <v>3385-RAS-Peoples Bank</v>
          </cell>
          <cell r="H1741">
            <v>5030528</v>
          </cell>
          <cell r="AK1741" t="str">
            <v>Cristina Arechaga</v>
          </cell>
        </row>
        <row r="1742">
          <cell r="C1742" t="str">
            <v>WF_Corr Lndng Asst_P1</v>
          </cell>
          <cell r="H1742">
            <v>5023619</v>
          </cell>
          <cell r="AK1742" t="str">
            <v>Bryce VanDiver</v>
          </cell>
        </row>
        <row r="1743">
          <cell r="C1743" t="str">
            <v>BNPP_CCAR PMO - Phase 2</v>
          </cell>
          <cell r="H1743">
            <v>5022402</v>
          </cell>
          <cell r="AK1743" t="str">
            <v>Thanh Le Xuan</v>
          </cell>
        </row>
        <row r="1744">
          <cell r="C1744" t="str">
            <v>UB_IRA Rollover Program</v>
          </cell>
          <cell r="H1744">
            <v>5020771</v>
          </cell>
          <cell r="AK1744" t="str">
            <v>DELETED USER</v>
          </cell>
        </row>
        <row r="1745">
          <cell r="C1745" t="str">
            <v>2735-RAS-Union Bank &amp; Trust Co</v>
          </cell>
          <cell r="H1745">
            <v>5030483</v>
          </cell>
          <cell r="AK1745" t="str">
            <v>Cristina Arechaga</v>
          </cell>
        </row>
        <row r="1746">
          <cell r="C1746" t="str">
            <v>6044-RAS-Fisher National Bank</v>
          </cell>
          <cell r="H1746">
            <v>5030646</v>
          </cell>
          <cell r="AK1746" t="str">
            <v>Cristina Arechaga</v>
          </cell>
        </row>
        <row r="1747">
          <cell r="C1747" t="str">
            <v>Amex_GCP resrcechng+datascrce</v>
          </cell>
          <cell r="H1747">
            <v>5025458</v>
          </cell>
          <cell r="AK1747" t="str">
            <v>DELETED USER</v>
          </cell>
        </row>
        <row r="1748">
          <cell r="C1748" t="str">
            <v>Amex_GCP PaCE PMO</v>
          </cell>
          <cell r="H1748">
            <v>5025459</v>
          </cell>
          <cell r="AK1748" t="str">
            <v>DELETED USER</v>
          </cell>
        </row>
        <row r="1749">
          <cell r="C1749" t="str">
            <v>MS_Finance Reg Reporting</v>
          </cell>
          <cell r="H1749">
            <v>5025952</v>
          </cell>
          <cell r="AK1749" t="str">
            <v>Angela McGregor</v>
          </cell>
        </row>
        <row r="1750">
          <cell r="C1750" t="str">
            <v>Credit Card Insource CO #6</v>
          </cell>
          <cell r="H1750">
            <v>5021007</v>
          </cell>
          <cell r="AK1750" t="str">
            <v>George Simotas</v>
          </cell>
        </row>
        <row r="1751">
          <cell r="C1751" t="str">
            <v>Dir Bnk &amp; Fin Ctr {Tahoe} CO#3</v>
          </cell>
          <cell r="H1751">
            <v>5016861</v>
          </cell>
          <cell r="AK1751" t="str">
            <v>Samuel Awsumb</v>
          </cell>
        </row>
        <row r="1752">
          <cell r="C1752" t="str">
            <v>UB_BOTF Customer Journey Map</v>
          </cell>
          <cell r="H1752">
            <v>5023110</v>
          </cell>
          <cell r="AK1752" t="str">
            <v>Lane Martin</v>
          </cell>
        </row>
        <row r="1753">
          <cell r="C1753" t="str">
            <v>FX IT PMO Extension Amd 1</v>
          </cell>
          <cell r="H1753">
            <v>5024235</v>
          </cell>
          <cell r="AK1753" t="str">
            <v>Chelsea Mattias</v>
          </cell>
        </row>
        <row r="1754">
          <cell r="C1754" t="str">
            <v>BMO_AML/KYC PMO Co-1</v>
          </cell>
          <cell r="H1754">
            <v>5024551</v>
          </cell>
          <cell r="AK1754" t="str">
            <v>DELETED USER</v>
          </cell>
        </row>
        <row r="1755">
          <cell r="C1755" t="str">
            <v>FIS-First Republic Bank -ILT</v>
          </cell>
          <cell r="H1755">
            <v>5029931</v>
          </cell>
          <cell r="AK1755" t="str">
            <v>Rebecca Breland</v>
          </cell>
        </row>
        <row r="1756">
          <cell r="C1756" t="str">
            <v>Jeff_Data transparency 5(GEMI)</v>
          </cell>
          <cell r="H1756">
            <v>5024337</v>
          </cell>
          <cell r="AK1756" t="str">
            <v>DELETED USER</v>
          </cell>
        </row>
        <row r="1757">
          <cell r="C1757" t="str">
            <v>BC Interim Manager - MAR Ext</v>
          </cell>
          <cell r="H1757">
            <v>5024371</v>
          </cell>
          <cell r="AK1757" t="str">
            <v>DELETED USER</v>
          </cell>
        </row>
        <row r="1758">
          <cell r="C1758" t="str">
            <v>Origin Bank_RAS</v>
          </cell>
          <cell r="H1758">
            <v>5039697</v>
          </cell>
          <cell r="AK1758" t="str">
            <v>Diane Banks</v>
          </cell>
        </row>
        <row r="1759">
          <cell r="C1759" t="str">
            <v>CS TVC Ops Change w/ Cognizant</v>
          </cell>
          <cell r="H1759">
            <v>5024182</v>
          </cell>
        </row>
        <row r="1760">
          <cell r="C1760" t="str">
            <v>BMO_Jupiter DG - 2016 Ph II</v>
          </cell>
          <cell r="H1760">
            <v>5024362</v>
          </cell>
          <cell r="AK1760" t="str">
            <v>Michelle Fambro</v>
          </cell>
        </row>
        <row r="1761">
          <cell r="C1761" t="str">
            <v>Eagle Bank_RAS</v>
          </cell>
          <cell r="H1761">
            <v>5039623</v>
          </cell>
          <cell r="AK1761" t="str">
            <v>Diane Banks</v>
          </cell>
        </row>
        <row r="1762">
          <cell r="C1762" t="str">
            <v>AcademyMtg-HMDA Review</v>
          </cell>
          <cell r="H1762">
            <v>5029761</v>
          </cell>
          <cell r="AK1762" t="str">
            <v>Paula Witt</v>
          </cell>
        </row>
        <row r="1763">
          <cell r="C1763" t="str">
            <v>CrossFirst Bank_RAS</v>
          </cell>
          <cell r="H1763">
            <v>5039621</v>
          </cell>
          <cell r="AK1763" t="str">
            <v>Rebecca Breland</v>
          </cell>
        </row>
        <row r="1764">
          <cell r="C1764" t="str">
            <v>13235-RAS-Home Federal Bank of</v>
          </cell>
          <cell r="H1764">
            <v>5030899</v>
          </cell>
          <cell r="AK1764" t="str">
            <v>Cristina Arechaga</v>
          </cell>
        </row>
        <row r="1765">
          <cell r="C1765" t="str">
            <v>FrMc_SS March _ May</v>
          </cell>
          <cell r="H1765">
            <v>5024733</v>
          </cell>
          <cell r="AK1765" t="str">
            <v>DELETED USER</v>
          </cell>
        </row>
        <row r="1766">
          <cell r="C1766" t="str">
            <v>FrMc_Loan Coverage Insight</v>
          </cell>
          <cell r="H1766">
            <v>5026104</v>
          </cell>
          <cell r="AK1766" t="str">
            <v>Aditya Udas</v>
          </cell>
        </row>
        <row r="1767">
          <cell r="C1767" t="str">
            <v>LAS GPC Hosting</v>
          </cell>
          <cell r="H1767">
            <v>5023264</v>
          </cell>
          <cell r="AK1767" t="str">
            <v>Matt Markham</v>
          </cell>
        </row>
        <row r="1768">
          <cell r="C1768" t="str">
            <v>BNPP_IHC CCAR Projection</v>
          </cell>
          <cell r="H1768">
            <v>5025842</v>
          </cell>
          <cell r="AK1768" t="str">
            <v>Robin Williams</v>
          </cell>
        </row>
        <row r="1769">
          <cell r="C1769" t="str">
            <v>Barcap_IB Data Strategy</v>
          </cell>
          <cell r="H1769">
            <v>5026013</v>
          </cell>
          <cell r="AK1769" t="str">
            <v>Paul Tatseos</v>
          </cell>
        </row>
        <row r="1770">
          <cell r="C1770" t="str">
            <v>FedRes_ACH_ProgramDelivery</v>
          </cell>
          <cell r="H1770">
            <v>5024090</v>
          </cell>
        </row>
        <row r="1771">
          <cell r="C1771" t="str">
            <v>2638-RAS-Newfield National Ban</v>
          </cell>
          <cell r="H1771">
            <v>5030474</v>
          </cell>
          <cell r="AK1771" t="str">
            <v>Cristina Arechaga</v>
          </cell>
        </row>
        <row r="1772">
          <cell r="C1772" t="str">
            <v>45157-CCI-First Republic Bank</v>
          </cell>
          <cell r="H1772">
            <v>5030381</v>
          </cell>
          <cell r="AK1772" t="str">
            <v>Cristina Arechaga</v>
          </cell>
        </row>
        <row r="1773">
          <cell r="C1773" t="str">
            <v>Enterprise Change Sourcing</v>
          </cell>
          <cell r="H1773">
            <v>5023682</v>
          </cell>
          <cell r="AK1773" t="str">
            <v>Kaylin Kugler</v>
          </cell>
        </row>
        <row r="1774">
          <cell r="C1774" t="str">
            <v>Jeff_Geneva Implementation</v>
          </cell>
          <cell r="H1774">
            <v>5026218</v>
          </cell>
          <cell r="AK1774" t="str">
            <v>Chelsea Mattias</v>
          </cell>
        </row>
        <row r="1775">
          <cell r="C1775" t="str">
            <v>Barclays - Intrim CIO - extn 1</v>
          </cell>
          <cell r="H1775">
            <v>5024282</v>
          </cell>
          <cell r="AK1775" t="str">
            <v>Kevin Wells</v>
          </cell>
        </row>
        <row r="1776">
          <cell r="C1776" t="str">
            <v>2811-RAS-Origin Bank</v>
          </cell>
          <cell r="H1776">
            <v>5030488</v>
          </cell>
          <cell r="AK1776" t="str">
            <v>Cristina Arechaga</v>
          </cell>
        </row>
        <row r="1777">
          <cell r="C1777" t="str">
            <v>4232-RAS-Heritage Bank</v>
          </cell>
          <cell r="H1777">
            <v>5030605</v>
          </cell>
          <cell r="AK1777" t="str">
            <v>Cristina Arechaga</v>
          </cell>
        </row>
        <row r="1778">
          <cell r="C1778" t="str">
            <v>UAT Change Sourcing</v>
          </cell>
          <cell r="H1778">
            <v>5023263</v>
          </cell>
          <cell r="AK1778" t="str">
            <v>DELETED USER</v>
          </cell>
        </row>
        <row r="1779">
          <cell r="C1779" t="str">
            <v>FrMc_SS/CSP Integration</v>
          </cell>
          <cell r="H1779">
            <v>5022059</v>
          </cell>
          <cell r="AK1779" t="str">
            <v>John Gubala</v>
          </cell>
        </row>
        <row r="1780">
          <cell r="C1780" t="str">
            <v>6158-RAS-Mid-Cities Credit Uni</v>
          </cell>
          <cell r="H1780">
            <v>5030648</v>
          </cell>
          <cell r="AK1780" t="str">
            <v>Cristina Arechaga</v>
          </cell>
        </row>
        <row r="1781">
          <cell r="C1781" t="str">
            <v>UBS_Finance Data Lineage Co1</v>
          </cell>
          <cell r="H1781">
            <v>5026243</v>
          </cell>
          <cell r="AK1781" t="str">
            <v>DELETED USER</v>
          </cell>
        </row>
        <row r="1782">
          <cell r="C1782" t="str">
            <v>MS_IM_Operational Risk</v>
          </cell>
          <cell r="H1782">
            <v>5026164</v>
          </cell>
          <cell r="AK1782" t="str">
            <v>Orlin Jordanov</v>
          </cell>
        </row>
        <row r="1783">
          <cell r="C1783" t="str">
            <v>UBS_Finance Data Lineage</v>
          </cell>
          <cell r="H1783">
            <v>5026243</v>
          </cell>
          <cell r="AK1783" t="str">
            <v>DELETED USER</v>
          </cell>
        </row>
        <row r="1784">
          <cell r="C1784" t="str">
            <v>BL_Bus Prod Commercialization</v>
          </cell>
          <cell r="H1784">
            <v>5026277</v>
          </cell>
          <cell r="AK1784" t="str">
            <v>DELETED USER</v>
          </cell>
        </row>
        <row r="1785">
          <cell r="C1785" t="str">
            <v>CB_Loan Origination System PM</v>
          </cell>
          <cell r="H1785">
            <v>5026340</v>
          </cell>
          <cell r="AK1785" t="str">
            <v>Jeffrey Bordan</v>
          </cell>
        </row>
        <row r="1786">
          <cell r="C1786" t="str">
            <v>Great Southern National Ba_RAS</v>
          </cell>
          <cell r="H1786">
            <v>5039668</v>
          </cell>
          <cell r="AK1786" t="str">
            <v>Diane Banks</v>
          </cell>
        </row>
        <row r="1787">
          <cell r="C1787" t="str">
            <v>MS_Prime Brokerage Technology</v>
          </cell>
          <cell r="H1787">
            <v>5020142</v>
          </cell>
          <cell r="AK1787" t="str">
            <v>Angela McGregor</v>
          </cell>
        </row>
        <row r="1788">
          <cell r="C1788" t="str">
            <v>Bryn Mawr-Compliance Consult</v>
          </cell>
          <cell r="H1788">
            <v>5029920</v>
          </cell>
          <cell r="AK1788" t="str">
            <v>Steve Manitzas</v>
          </cell>
        </row>
        <row r="1789">
          <cell r="C1789" t="str">
            <v>MS_Source to Pay Amd 1</v>
          </cell>
          <cell r="H1789">
            <v>5024309</v>
          </cell>
          <cell r="AK1789" t="str">
            <v>James St. Jean</v>
          </cell>
        </row>
        <row r="1790">
          <cell r="C1790" t="str">
            <v>Jeff_Risk IT 2016 SoW</v>
          </cell>
          <cell r="H1790">
            <v>5026326</v>
          </cell>
          <cell r="AK1790" t="str">
            <v>DELETED USER</v>
          </cell>
        </row>
        <row r="1791">
          <cell r="C1791" t="str">
            <v>Carroll Community-MQC</v>
          </cell>
          <cell r="H1791">
            <v>5029756</v>
          </cell>
          <cell r="AK1791" t="str">
            <v>Keith Cole</v>
          </cell>
        </row>
        <row r="1792">
          <cell r="C1792" t="str">
            <v>FM_Modernization Dev Amd 2</v>
          </cell>
          <cell r="H1792">
            <v>5023292</v>
          </cell>
          <cell r="AK1792" t="str">
            <v>DELETED USER</v>
          </cell>
        </row>
        <row r="1793">
          <cell r="C1793" t="str">
            <v>Inland NW-Int Compliance Suppt</v>
          </cell>
          <cell r="H1793">
            <v>5029838</v>
          </cell>
          <cell r="AK1793" t="str">
            <v>Pamela Acciardo</v>
          </cell>
        </row>
        <row r="1794">
          <cell r="C1794" t="str">
            <v>Dexia_Murex EOD Monitoring</v>
          </cell>
          <cell r="H1794">
            <v>5026691</v>
          </cell>
          <cell r="AK1794" t="str">
            <v>DELETED USER</v>
          </cell>
        </row>
        <row r="1795">
          <cell r="C1795" t="str">
            <v>GS_ Reg Compliance Support CO3</v>
          </cell>
          <cell r="H1795">
            <v>5021799</v>
          </cell>
          <cell r="AK1795" t="str">
            <v>DELETED USER</v>
          </cell>
        </row>
        <row r="1796">
          <cell r="C1796" t="str">
            <v>HSBC CDCO Flex Extension</v>
          </cell>
          <cell r="H1796">
            <v>5025305</v>
          </cell>
          <cell r="AK1796" t="str">
            <v>Rahul Govada</v>
          </cell>
        </row>
        <row r="1797">
          <cell r="C1797" t="str">
            <v>BMO Harris Basel III 2016 Ph 2</v>
          </cell>
          <cell r="H1797">
            <v>5024802</v>
          </cell>
          <cell r="AK1797" t="str">
            <v>Ramnish Gupta</v>
          </cell>
        </row>
        <row r="1798">
          <cell r="C1798" t="str">
            <v>Citi_Hunter_Extension</v>
          </cell>
          <cell r="H1798">
            <v>5022251</v>
          </cell>
          <cell r="AK1798" t="str">
            <v>Robert Norris</v>
          </cell>
        </row>
        <row r="1799">
          <cell r="C1799" t="str">
            <v>Extension of LDNG</v>
          </cell>
          <cell r="H1799">
            <v>5022429</v>
          </cell>
          <cell r="AK1799" t="str">
            <v>Poorna Bhimavarapu</v>
          </cell>
        </row>
        <row r="1800">
          <cell r="C1800" t="str">
            <v>MS_LEAN Management_Ext3</v>
          </cell>
          <cell r="H1800">
            <v>5022850</v>
          </cell>
          <cell r="AK1800" t="str">
            <v>Angela McGregor</v>
          </cell>
        </row>
        <row r="1801">
          <cell r="C1801" t="str">
            <v>BMO_Business line Data Gov Co2</v>
          </cell>
          <cell r="H1801">
            <v>5019994</v>
          </cell>
          <cell r="AK1801" t="str">
            <v>Ramnish Gupta</v>
          </cell>
        </row>
        <row r="1802">
          <cell r="C1802" t="str">
            <v>BarCap_Cross Border</v>
          </cell>
          <cell r="H1802">
            <v>5026237</v>
          </cell>
          <cell r="AK1802" t="str">
            <v>Ryan Savoca</v>
          </cell>
        </row>
        <row r="1803">
          <cell r="C1803" t="str">
            <v>FrMc_GPC Design &amp; Build Amd 6</v>
          </cell>
          <cell r="H1803">
            <v>5021682</v>
          </cell>
          <cell r="AK1803" t="str">
            <v>Ambika Kutty</v>
          </cell>
        </row>
        <row r="1804">
          <cell r="C1804" t="str">
            <v>Jeff_OneJef PM Amd 3</v>
          </cell>
          <cell r="H1804">
            <v>5023978</v>
          </cell>
          <cell r="AK1804" t="str">
            <v>Mike Drews</v>
          </cell>
        </row>
        <row r="1805">
          <cell r="C1805" t="str">
            <v>GL_DOL Fiduciary - Phase I</v>
          </cell>
          <cell r="H1805">
            <v>5026341</v>
          </cell>
          <cell r="AK1805" t="str">
            <v>Jennifer Hsiung</v>
          </cell>
        </row>
        <row r="1806">
          <cell r="C1806" t="str">
            <v>BMO_data gov PMO</v>
          </cell>
          <cell r="H1806">
            <v>5025704</v>
          </cell>
          <cell r="AK1806" t="str">
            <v>Dev Anumolu</v>
          </cell>
        </row>
        <row r="1807">
          <cell r="C1807" t="str">
            <v>PCI Compliance Planning CO#1</v>
          </cell>
          <cell r="H1807">
            <v>5020855</v>
          </cell>
          <cell r="AK1807" t="str">
            <v>Michael Tao</v>
          </cell>
        </row>
        <row r="1808">
          <cell r="C1808" t="str">
            <v>MS_RRM Phase 2</v>
          </cell>
          <cell r="H1808">
            <v>5026463</v>
          </cell>
          <cell r="AK1808" t="str">
            <v>Mitali Drews</v>
          </cell>
        </row>
        <row r="1809">
          <cell r="C1809" t="str">
            <v>6312-RAS-Town &amp; Country Bank</v>
          </cell>
          <cell r="H1809">
            <v>5030652</v>
          </cell>
          <cell r="AK1809" t="str">
            <v>Cristina Arechaga</v>
          </cell>
        </row>
        <row r="1810">
          <cell r="C1810" t="str">
            <v>4291-RAS-First Bank of Boaz</v>
          </cell>
          <cell r="H1810">
            <v>5030563</v>
          </cell>
          <cell r="AK1810" t="str">
            <v>Cristina Arechaga</v>
          </cell>
        </row>
        <row r="1811">
          <cell r="C1811" t="str">
            <v>M.Y. Safra-InterimBSA Officer</v>
          </cell>
          <cell r="H1811">
            <v>5029996</v>
          </cell>
          <cell r="AK1811" t="str">
            <v>DELETED USER</v>
          </cell>
        </row>
        <row r="1812">
          <cell r="C1812" t="str">
            <v>FM_Human Capital Strategy</v>
          </cell>
          <cell r="H1812">
            <v>5026347</v>
          </cell>
          <cell r="AK1812" t="str">
            <v>Isaac Halpern</v>
          </cell>
        </row>
        <row r="1813">
          <cell r="C1813" t="str">
            <v>MG_EBS Strategic Assessment</v>
          </cell>
          <cell r="H1813">
            <v>5024295</v>
          </cell>
          <cell r="AK1813" t="str">
            <v>George Black</v>
          </cell>
        </row>
        <row r="1814">
          <cell r="C1814" t="str">
            <v>Citi_Markets_Equities_TechPMO</v>
          </cell>
          <cell r="H1814">
            <v>5026339</v>
          </cell>
          <cell r="AK1814" t="str">
            <v>Robert Norris</v>
          </cell>
        </row>
        <row r="1815">
          <cell r="C1815" t="str">
            <v>Credit Card Insource CO #7</v>
          </cell>
          <cell r="H1815">
            <v>5021007</v>
          </cell>
          <cell r="AK1815" t="str">
            <v>George Simotas</v>
          </cell>
        </row>
        <row r="1816">
          <cell r="C1816" t="str">
            <v>Jeff_Strategy Assess</v>
          </cell>
          <cell r="H1816">
            <v>5026420</v>
          </cell>
          <cell r="AK1816" t="str">
            <v>Mike Drews</v>
          </cell>
        </row>
        <row r="1817">
          <cell r="C1817" t="str">
            <v>Jeff_GETS Runbook</v>
          </cell>
          <cell r="H1817">
            <v>5026417</v>
          </cell>
          <cell r="AK1817" t="str">
            <v>Chelsea Mattias</v>
          </cell>
        </row>
        <row r="1818">
          <cell r="C1818" t="str">
            <v>9143-RAS-Royal Banks of Missou</v>
          </cell>
          <cell r="H1818">
            <v>5030739</v>
          </cell>
          <cell r="AK1818" t="str">
            <v>Cristina Arechaga</v>
          </cell>
        </row>
        <row r="1819">
          <cell r="C1819" t="str">
            <v>Jeff_Dealogic PM Support</v>
          </cell>
          <cell r="H1819">
            <v>5026513</v>
          </cell>
          <cell r="AK1819" t="str">
            <v>DELETED USER</v>
          </cell>
        </row>
        <row r="1820">
          <cell r="C1820" t="str">
            <v>ChSch_Origination Strategy</v>
          </cell>
          <cell r="H1820">
            <v>5026419</v>
          </cell>
          <cell r="AK1820" t="str">
            <v>Karl Augenstein</v>
          </cell>
        </row>
        <row r="1821">
          <cell r="C1821" t="str">
            <v>USB__PCI Amd 1</v>
          </cell>
          <cell r="H1821">
            <v>5025157</v>
          </cell>
          <cell r="AK1821" t="str">
            <v>David Cardone</v>
          </cell>
        </row>
        <row r="1822">
          <cell r="C1822" t="str">
            <v>CSP Amd 22 (UAT)</v>
          </cell>
          <cell r="H1822">
            <v>5022059</v>
          </cell>
          <cell r="AK1822" t="str">
            <v>John Gubala</v>
          </cell>
        </row>
        <row r="1823">
          <cell r="C1823" t="str">
            <v>Jeff_Data viz GEMI extension</v>
          </cell>
          <cell r="H1823">
            <v>5024337</v>
          </cell>
          <cell r="AK1823" t="str">
            <v>DELETED USER</v>
          </cell>
        </row>
        <row r="1824">
          <cell r="C1824" t="str">
            <v>8247-RAS-Glenview State Bank</v>
          </cell>
          <cell r="H1824">
            <v>5030701</v>
          </cell>
          <cell r="AK1824" t="str">
            <v>Cristina Arechaga</v>
          </cell>
        </row>
        <row r="1825">
          <cell r="C1825" t="str">
            <v>DCL_EOD Monitoring</v>
          </cell>
          <cell r="H1825">
            <v>5026692</v>
          </cell>
          <cell r="AK1825" t="str">
            <v>DELETED USER</v>
          </cell>
        </row>
        <row r="1826">
          <cell r="C1826" t="str">
            <v>ArthurState-Compliance Reviews</v>
          </cell>
          <cell r="H1826">
            <v>5030045</v>
          </cell>
          <cell r="AK1826" t="str">
            <v>Amanda Pickering</v>
          </cell>
        </row>
        <row r="1827">
          <cell r="C1827" t="str">
            <v>NatCap WA-CMSO</v>
          </cell>
          <cell r="H1827">
            <v>5029635</v>
          </cell>
          <cell r="AK1827" t="str">
            <v>Steve Manitzas</v>
          </cell>
        </row>
        <row r="1828">
          <cell r="C1828" t="str">
            <v>Clear Mount-CMSO</v>
          </cell>
          <cell r="H1828">
            <v>5029695</v>
          </cell>
          <cell r="AK1828" t="str">
            <v>Jeanette Wampler</v>
          </cell>
        </row>
        <row r="1829">
          <cell r="C1829" t="str">
            <v>Folsom Lake-Compliance Admin</v>
          </cell>
          <cell r="H1829">
            <v>5029933</v>
          </cell>
          <cell r="AK1829" t="str">
            <v>Dennis Smith</v>
          </cell>
        </row>
        <row r="1830">
          <cell r="C1830" t="str">
            <v>Rabo_IQAP EPS Amd 1</v>
          </cell>
          <cell r="H1830">
            <v>5025329</v>
          </cell>
          <cell r="AK1830" t="str">
            <v>DELETED USER</v>
          </cell>
        </row>
        <row r="1831">
          <cell r="C1831" t="str">
            <v>MS_CTB_ORC_TOKYO Amd 1</v>
          </cell>
          <cell r="H1831">
            <v>5025745</v>
          </cell>
          <cell r="AK1831" t="str">
            <v>Angela McGregor</v>
          </cell>
        </row>
        <row r="1832">
          <cell r="C1832" t="str">
            <v>FIS_CB_Core Mod - Bridge</v>
          </cell>
          <cell r="H1832">
            <v>5026586</v>
          </cell>
          <cell r="AK1832" t="str">
            <v>Jeffrey Bordan</v>
          </cell>
        </row>
        <row r="1833">
          <cell r="C1833" t="str">
            <v>RBC_CCAR PMO 2</v>
          </cell>
          <cell r="H1833">
            <v>5026638</v>
          </cell>
          <cell r="AK1833" t="str">
            <v>Robin Williams</v>
          </cell>
        </row>
        <row r="1834">
          <cell r="C1834" t="str">
            <v>Noah Bank-BSAAML Support</v>
          </cell>
          <cell r="H1834">
            <v>5029793</v>
          </cell>
          <cell r="AK1834" t="str">
            <v>Nancy Gregory</v>
          </cell>
        </row>
        <row r="1835">
          <cell r="C1835" t="str">
            <v>RBC_Mort Phase 1</v>
          </cell>
          <cell r="H1835">
            <v>5026563</v>
          </cell>
          <cell r="AK1835" t="str">
            <v>Vince Forte</v>
          </cell>
        </row>
        <row r="1836">
          <cell r="C1836" t="str">
            <v>CNB_Digital Assessment</v>
          </cell>
          <cell r="H1836">
            <v>5025418</v>
          </cell>
          <cell r="AK1836" t="str">
            <v>DELETED USER</v>
          </cell>
        </row>
        <row r="1837">
          <cell r="C1837" t="str">
            <v>11831-RAS-United Mississippi B</v>
          </cell>
          <cell r="H1837">
            <v>5030854</v>
          </cell>
          <cell r="AK1837" t="str">
            <v>Cristina Arechaga</v>
          </cell>
        </row>
        <row r="1838">
          <cell r="C1838" t="str">
            <v>FM_Common Lender Platform</v>
          </cell>
          <cell r="H1838">
            <v>5026524</v>
          </cell>
          <cell r="AK1838" t="str">
            <v>Raj Konduru</v>
          </cell>
        </row>
        <row r="1839">
          <cell r="C1839" t="str">
            <v>Core Mod - Phase 1 Delivery</v>
          </cell>
          <cell r="H1839">
            <v>5022357</v>
          </cell>
          <cell r="AK1839" t="str">
            <v>Jeffrey Bordan</v>
          </cell>
        </row>
        <row r="1840">
          <cell r="C1840" t="str">
            <v>ICB China-CC Compl Consulting</v>
          </cell>
          <cell r="H1840">
            <v>5029994</v>
          </cell>
          <cell r="AK1840" t="str">
            <v>Lori Robeson</v>
          </cell>
        </row>
        <row r="1841">
          <cell r="C1841" t="str">
            <v>Barcap_ Data Planning</v>
          </cell>
          <cell r="H1841">
            <v>5026585</v>
          </cell>
          <cell r="AK1841" t="str">
            <v>Paul Tatseos</v>
          </cell>
        </row>
        <row r="1842">
          <cell r="C1842" t="str">
            <v>Dir Bk &amp; Fin Ctr {Tahoe} CO#4</v>
          </cell>
          <cell r="H1842">
            <v>5016861</v>
          </cell>
          <cell r="AK1842" t="str">
            <v>Samuel Awsumb</v>
          </cell>
        </row>
        <row r="1843">
          <cell r="C1843" t="str">
            <v>9748-RAS-Farmers and Merchants</v>
          </cell>
          <cell r="H1843">
            <v>5030764</v>
          </cell>
          <cell r="AK1843" t="str">
            <v>Cristina Arechaga</v>
          </cell>
        </row>
        <row r="1844">
          <cell r="C1844" t="str">
            <v>BB&amp;T_BankCard Ops Process Re</v>
          </cell>
          <cell r="H1844">
            <v>5026656</v>
          </cell>
          <cell r="AK1844" t="str">
            <v>Henry Loosmore</v>
          </cell>
        </row>
        <row r="1845">
          <cell r="C1845" t="str">
            <v>4388-RAS-SouthFirst Bank</v>
          </cell>
          <cell r="H1845">
            <v>5030570</v>
          </cell>
          <cell r="AK1845" t="str">
            <v>Cristina Arechaga</v>
          </cell>
        </row>
        <row r="1846">
          <cell r="C1846" t="str">
            <v>ChSh_PAL Launch Support</v>
          </cell>
          <cell r="H1846">
            <v>5026769</v>
          </cell>
          <cell r="AK1846" t="str">
            <v>Karl Augenstein</v>
          </cell>
        </row>
        <row r="1847">
          <cell r="C1847" t="str">
            <v>FrMc_IRCI Test Lead</v>
          </cell>
          <cell r="H1847">
            <v>5026637</v>
          </cell>
          <cell r="AK1847" t="str">
            <v>Christopher Martines</v>
          </cell>
        </row>
        <row r="1848">
          <cell r="C1848" t="str">
            <v>Woori Bank-BSAAML Consulting</v>
          </cell>
          <cell r="H1848">
            <v>5029957</v>
          </cell>
          <cell r="AK1848" t="str">
            <v>Allan Cuttle</v>
          </cell>
        </row>
        <row r="1849">
          <cell r="C1849" t="str">
            <v>Midwest CB-Lend Compl Consult</v>
          </cell>
          <cell r="H1849">
            <v>5029847</v>
          </cell>
          <cell r="AK1849" t="str">
            <v>Paul Brinker</v>
          </cell>
        </row>
        <row r="1850">
          <cell r="C1850" t="str">
            <v>Jeff_Strategy Assess Ext1</v>
          </cell>
          <cell r="H1850">
            <v>5026420</v>
          </cell>
          <cell r="AK1850" t="str">
            <v>Mike Drews</v>
          </cell>
        </row>
        <row r="1851">
          <cell r="C1851" t="str">
            <v>GS_Tax Platform Redesign</v>
          </cell>
          <cell r="H1851">
            <v>5025082</v>
          </cell>
          <cell r="AK1851" t="str">
            <v>Bill Mollica</v>
          </cell>
        </row>
        <row r="1852">
          <cell r="C1852" t="str">
            <v>FIS - Kasikorn Bank</v>
          </cell>
          <cell r="H1852">
            <v>5027174</v>
          </cell>
          <cell r="AK1852" t="str">
            <v>Div Kaveria</v>
          </cell>
        </row>
        <row r="1853">
          <cell r="C1853" t="str">
            <v>UBS_Risk/Finance Data Supp</v>
          </cell>
          <cell r="H1853">
            <v>5026633</v>
          </cell>
          <cell r="AK1853" t="str">
            <v>DELETED USER</v>
          </cell>
        </row>
        <row r="1854">
          <cell r="C1854" t="str">
            <v>UB_Com &amp; Bus Bank DB Mkt Plan</v>
          </cell>
          <cell r="H1854">
            <v>5026743</v>
          </cell>
          <cell r="AK1854" t="str">
            <v>Michael Tao</v>
          </cell>
        </row>
        <row r="1855">
          <cell r="C1855" t="str">
            <v>282-RAS-Radius Bank</v>
          </cell>
          <cell r="H1855">
            <v>5030414</v>
          </cell>
          <cell r="AK1855" t="str">
            <v>Cristina Arechaga</v>
          </cell>
        </row>
        <row r="1856">
          <cell r="C1856" t="str">
            <v>22332-RAS-Bellwether Community</v>
          </cell>
          <cell r="H1856">
            <v>5030338</v>
          </cell>
          <cell r="AK1856" t="str">
            <v>Cristina Arechaga</v>
          </cell>
        </row>
        <row r="1857">
          <cell r="C1857" t="str">
            <v>LoanMe-Compliance Consulting</v>
          </cell>
          <cell r="H1857">
            <v>5029944</v>
          </cell>
          <cell r="AK1857" t="str">
            <v>Dennis Smith</v>
          </cell>
        </row>
        <row r="1858">
          <cell r="C1858" t="str">
            <v>FrMc_iUAT</v>
          </cell>
          <cell r="H1858">
            <v>5026745</v>
          </cell>
          <cell r="AK1858" t="str">
            <v>Matt Markham</v>
          </cell>
        </row>
        <row r="1859">
          <cell r="C1859" t="str">
            <v>FrMc_CSP LI Amd 23</v>
          </cell>
          <cell r="H1859">
            <v>5022059</v>
          </cell>
          <cell r="AK1859" t="str">
            <v>John Gubala</v>
          </cell>
        </row>
        <row r="1860">
          <cell r="C1860" t="str">
            <v>State Cap-Compl Co-Source-RAS</v>
          </cell>
          <cell r="H1860">
            <v>5030029</v>
          </cell>
          <cell r="AK1860" t="str">
            <v>Laura Steer</v>
          </cell>
        </row>
        <row r="1861">
          <cell r="C1861" t="str">
            <v>FrMc_Investor Rpt IT PMO Amd 1</v>
          </cell>
          <cell r="H1861">
            <v>5025029</v>
          </cell>
          <cell r="AK1861" t="str">
            <v>John Napolitano</v>
          </cell>
        </row>
        <row r="1862">
          <cell r="C1862" t="str">
            <v>HOME</v>
          </cell>
          <cell r="H1862">
            <v>5025097</v>
          </cell>
        </row>
        <row r="1863">
          <cell r="C1863" t="str">
            <v>Atlantic SB-TRID Consult</v>
          </cell>
          <cell r="H1863">
            <v>5029781</v>
          </cell>
          <cell r="AK1863" t="str">
            <v>John Eshoo</v>
          </cell>
        </row>
        <row r="1864">
          <cell r="C1864" t="str">
            <v>ChainBridge-MQC</v>
          </cell>
          <cell r="H1864">
            <v>5029647</v>
          </cell>
          <cell r="AK1864" t="str">
            <v>Keith Cole</v>
          </cell>
        </row>
        <row r="1865">
          <cell r="C1865" t="str">
            <v>FranklinSyn-Compliance Consult</v>
          </cell>
          <cell r="H1865">
            <v>5029830</v>
          </cell>
          <cell r="AK1865" t="str">
            <v>Louvera Walden</v>
          </cell>
        </row>
        <row r="1866">
          <cell r="C1866" t="str">
            <v>5038-RAS-Community Business Ba</v>
          </cell>
          <cell r="H1866">
            <v>5030587</v>
          </cell>
          <cell r="AK1866" t="str">
            <v>Cristina Arechaga</v>
          </cell>
        </row>
        <row r="1867">
          <cell r="C1867" t="str">
            <v>FIS-Crimea Treatment &amp; Process</v>
          </cell>
          <cell r="H1867">
            <v>5029828</v>
          </cell>
          <cell r="AK1867" t="str">
            <v>Nancy Gregory</v>
          </cell>
        </row>
        <row r="1868">
          <cell r="C1868" t="str">
            <v>Citi Rainbow US 2016</v>
          </cell>
          <cell r="H1868">
            <v>5017084</v>
          </cell>
          <cell r="AK1868" t="str">
            <v>DELETED USER</v>
          </cell>
        </row>
        <row r="1869">
          <cell r="C1869" t="str">
            <v>FrMc_CSP LI Amd 24</v>
          </cell>
          <cell r="H1869">
            <v>5022059</v>
          </cell>
          <cell r="AK1869" t="str">
            <v>John Gubala</v>
          </cell>
        </row>
        <row r="1870">
          <cell r="C1870" t="str">
            <v>FmRc_Loan CovInsight Amd 1</v>
          </cell>
          <cell r="H1870">
            <v>5026104</v>
          </cell>
          <cell r="AK1870" t="str">
            <v>Aditya Udas</v>
          </cell>
        </row>
        <row r="1871">
          <cell r="C1871" t="str">
            <v>OneJef PM Ext. 4</v>
          </cell>
          <cell r="H1871">
            <v>5023978</v>
          </cell>
          <cell r="AK1871" t="str">
            <v>Mike Drews</v>
          </cell>
        </row>
        <row r="1872">
          <cell r="C1872" t="str">
            <v>BNPP_CCAR Data &amp; IT Suppl FSRs</v>
          </cell>
          <cell r="H1872">
            <v>5025842</v>
          </cell>
          <cell r="AK1872" t="str">
            <v>Robin Williams</v>
          </cell>
        </row>
        <row r="1873">
          <cell r="C1873" t="str">
            <v>Ent Marketing Proc Design CO#3</v>
          </cell>
          <cell r="H1873">
            <v>5020020</v>
          </cell>
          <cell r="AK1873" t="str">
            <v>Lane Martin</v>
          </cell>
        </row>
        <row r="1874">
          <cell r="C1874" t="str">
            <v>RBC_Rewards Banking</v>
          </cell>
          <cell r="H1874">
            <v>5026893</v>
          </cell>
          <cell r="AK1874" t="str">
            <v>Paul Andrusyshyn</v>
          </cell>
        </row>
        <row r="1875">
          <cell r="C1875" t="str">
            <v>BMO_Calypso DA</v>
          </cell>
          <cell r="H1875">
            <v>5025702</v>
          </cell>
          <cell r="AK1875" t="str">
            <v>Ramnish Gupta</v>
          </cell>
        </row>
        <row r="1876">
          <cell r="C1876" t="str">
            <v>Jeff_Eqty Comp Tech PM</v>
          </cell>
          <cell r="H1876">
            <v>5026921</v>
          </cell>
          <cell r="AK1876" t="str">
            <v>Jeffrey Gheraldi</v>
          </cell>
        </row>
        <row r="1877">
          <cell r="C1877" t="str">
            <v>5th3rd_CM FRM 2020 Strategy</v>
          </cell>
          <cell r="H1877">
            <v>5026744</v>
          </cell>
          <cell r="AK1877" t="str">
            <v>DELETED USER</v>
          </cell>
        </row>
        <row r="1878">
          <cell r="C1878" t="str">
            <v>FrMc_CSP LI Amd 25</v>
          </cell>
          <cell r="H1878">
            <v>5022059</v>
          </cell>
          <cell r="AK1878" t="str">
            <v>John Gubala</v>
          </cell>
        </row>
        <row r="1879">
          <cell r="C1879" t="str">
            <v>BMO Harris_Data Intern</v>
          </cell>
          <cell r="H1879">
            <v>5026878</v>
          </cell>
          <cell r="AK1879" t="str">
            <v>Ramnish Gupta</v>
          </cell>
        </row>
        <row r="1880">
          <cell r="C1880" t="str">
            <v>Jefferies_Murex Amd 1</v>
          </cell>
          <cell r="H1880">
            <v>5020450</v>
          </cell>
          <cell r="AK1880" t="str">
            <v>DELETED USER</v>
          </cell>
        </row>
        <row r="1881">
          <cell r="C1881" t="str">
            <v>Geneva Impl. Ext. 1</v>
          </cell>
          <cell r="H1881">
            <v>5026218</v>
          </cell>
          <cell r="AK1881" t="str">
            <v>Chelsea Mattias</v>
          </cell>
        </row>
        <row r="1882">
          <cell r="C1882" t="str">
            <v>CFPB-Compliance Training</v>
          </cell>
          <cell r="H1882">
            <v>5029784</v>
          </cell>
          <cell r="AK1882" t="str">
            <v>Diane Banks</v>
          </cell>
        </row>
        <row r="1883">
          <cell r="C1883" t="str">
            <v>4284-RAS-Bank of Walker County</v>
          </cell>
          <cell r="H1883">
            <v>5030612</v>
          </cell>
          <cell r="AK1883" t="str">
            <v>Cristina Arechaga</v>
          </cell>
        </row>
        <row r="1884">
          <cell r="C1884" t="str">
            <v>3722-RAS-First National Bank S</v>
          </cell>
          <cell r="H1884">
            <v>5030547</v>
          </cell>
          <cell r="AK1884" t="str">
            <v>Cristina Arechaga</v>
          </cell>
        </row>
        <row r="1885">
          <cell r="C1885" t="str">
            <v>Jeff_Strategy Assess Ext2</v>
          </cell>
          <cell r="H1885">
            <v>5026420</v>
          </cell>
          <cell r="AK1885" t="str">
            <v>Mike Drews</v>
          </cell>
        </row>
        <row r="1886">
          <cell r="C1886" t="str">
            <v>USB__PCI Amd 2</v>
          </cell>
          <cell r="H1886">
            <v>5025157</v>
          </cell>
          <cell r="AK1886" t="str">
            <v>David Cardone</v>
          </cell>
        </row>
        <row r="1887">
          <cell r="C1887" t="str">
            <v>San_Tech Program Mgt</v>
          </cell>
          <cell r="H1887">
            <v>5026978</v>
          </cell>
          <cell r="AK1887" t="str">
            <v>Ridha Mesli</v>
          </cell>
        </row>
        <row r="1888">
          <cell r="C1888" t="str">
            <v>GL_DOL Fiduciary - Amd 1</v>
          </cell>
          <cell r="H1888">
            <v>5026341</v>
          </cell>
          <cell r="AK1888" t="str">
            <v>Jennifer Hsiung</v>
          </cell>
        </row>
        <row r="1889">
          <cell r="C1889" t="str">
            <v>BarCap_Fin Change Octon Amdt 3</v>
          </cell>
          <cell r="H1889">
            <v>5021072</v>
          </cell>
          <cell r="AK1889" t="str">
            <v>DELETED USER</v>
          </cell>
        </row>
        <row r="1890">
          <cell r="C1890" t="str">
            <v>FranklinSyn-CRA Consult</v>
          </cell>
          <cell r="H1890">
            <v>5029774</v>
          </cell>
          <cell r="AK1890" t="str">
            <v>Paula Witt</v>
          </cell>
        </row>
        <row r="1891">
          <cell r="C1891" t="str">
            <v>Ally_Wealth Integration Sup</v>
          </cell>
          <cell r="H1891">
            <v>5027012</v>
          </cell>
          <cell r="AK1891" t="str">
            <v>DELETED USER</v>
          </cell>
        </row>
        <row r="1892">
          <cell r="C1892" t="str">
            <v>RBC_Mort Phase 1 Amd 1</v>
          </cell>
          <cell r="H1892">
            <v>5026563</v>
          </cell>
          <cell r="AK1892" t="str">
            <v>Vince Forte</v>
          </cell>
        </row>
        <row r="1893">
          <cell r="C1893" t="str">
            <v>KB_Regulatory Reporting</v>
          </cell>
          <cell r="H1893">
            <v>5027004</v>
          </cell>
          <cell r="AK1893" t="str">
            <v>DELETED USER</v>
          </cell>
        </row>
        <row r="1894">
          <cell r="C1894" t="str">
            <v>32403-RAS-Academy Mortgage</v>
          </cell>
          <cell r="H1894">
            <v>5030363</v>
          </cell>
          <cell r="AK1894" t="str">
            <v>Cristina Arechaga</v>
          </cell>
        </row>
        <row r="1895">
          <cell r="C1895" t="str">
            <v>Reg Ops Q2 Support</v>
          </cell>
          <cell r="H1895">
            <v>5027034</v>
          </cell>
          <cell r="AK1895" t="str">
            <v>DELETED USER</v>
          </cell>
        </row>
        <row r="1896">
          <cell r="C1896" t="str">
            <v>HSBC_Risk Strategy - Ext 2</v>
          </cell>
          <cell r="H1896">
            <v>5021975</v>
          </cell>
          <cell r="AK1896" t="str">
            <v>Alexis Chan</v>
          </cell>
        </row>
        <row r="1897">
          <cell r="C1897" t="str">
            <v>Rabo_IQAO Execution Amd 2</v>
          </cell>
          <cell r="H1897">
            <v>5025329</v>
          </cell>
          <cell r="AK1897" t="str">
            <v>DELETED USER</v>
          </cell>
        </row>
        <row r="1898">
          <cell r="C1898" t="str">
            <v>HSBC CDCO Flex Ext. - Q3+</v>
          </cell>
          <cell r="H1898">
            <v>5025305</v>
          </cell>
          <cell r="AK1898" t="str">
            <v>Rahul Govada</v>
          </cell>
        </row>
        <row r="1899">
          <cell r="C1899" t="str">
            <v>ISF Bank-Compliance Reviews</v>
          </cell>
          <cell r="H1899">
            <v>5029900</v>
          </cell>
          <cell r="AK1899" t="str">
            <v>DELETED USER</v>
          </cell>
        </row>
        <row r="1900">
          <cell r="C1900" t="str">
            <v>Goldman Reg Ops Support Extn</v>
          </cell>
          <cell r="H1900">
            <v>5027034</v>
          </cell>
          <cell r="AK1900" t="str">
            <v>DELETED USER</v>
          </cell>
        </row>
        <row r="1901">
          <cell r="C1901" t="str">
            <v>UBS_DMO</v>
          </cell>
          <cell r="H1901">
            <v>5027126</v>
          </cell>
          <cell r="AK1901" t="str">
            <v>DELETED USER</v>
          </cell>
        </row>
        <row r="1902">
          <cell r="C1902" t="str">
            <v>MS Wealth_CSO and PGS/AI_F</v>
          </cell>
          <cell r="H1902">
            <v>5027253</v>
          </cell>
          <cell r="AK1902" t="str">
            <v>DELETED USER</v>
          </cell>
        </row>
        <row r="1903">
          <cell r="C1903" t="str">
            <v>MS Wealth_CMCP_Fixed</v>
          </cell>
          <cell r="H1903">
            <v>5027257</v>
          </cell>
          <cell r="AK1903" t="str">
            <v>Phil Kerkel</v>
          </cell>
        </row>
        <row r="1904">
          <cell r="C1904" t="str">
            <v>MS Wealth_CMCP_Variable</v>
          </cell>
          <cell r="H1904">
            <v>5027259</v>
          </cell>
          <cell r="AK1904" t="str">
            <v>Phil Kerkel</v>
          </cell>
        </row>
        <row r="1905">
          <cell r="C1905" t="str">
            <v>MS Wealth_PBO/PMO/PGS Fixed</v>
          </cell>
          <cell r="H1905">
            <v>5027260</v>
          </cell>
          <cell r="AK1905" t="str">
            <v>Phil Kerkel</v>
          </cell>
        </row>
        <row r="1906">
          <cell r="C1906" t="str">
            <v>MS Wealth_PBO/PMO/PGS Var</v>
          </cell>
          <cell r="H1906">
            <v>5027261</v>
          </cell>
          <cell r="AK1906" t="str">
            <v>Phil Kerkel</v>
          </cell>
        </row>
        <row r="1907">
          <cell r="C1907" t="str">
            <v>Stanley Bank_RAS</v>
          </cell>
          <cell r="H1907">
            <v>5039727</v>
          </cell>
          <cell r="AK1907" t="str">
            <v>Travis Peraza</v>
          </cell>
        </row>
        <row r="1908">
          <cell r="C1908" t="str">
            <v>Bank of Hawaii #306_RAS</v>
          </cell>
          <cell r="H1908">
            <v>5039591</v>
          </cell>
          <cell r="AK1908" t="str">
            <v>Diane Banks</v>
          </cell>
        </row>
        <row r="1909">
          <cell r="C1909" t="str">
            <v>1stConstitution-MQC</v>
          </cell>
          <cell r="H1909">
            <v>5029749</v>
          </cell>
          <cell r="AK1909" t="str">
            <v>Cristina Arechaga</v>
          </cell>
        </row>
        <row r="1910">
          <cell r="C1910" t="str">
            <v>DB_Stride PMO Q3</v>
          </cell>
          <cell r="H1910">
            <v>5026918</v>
          </cell>
          <cell r="AK1910" t="str">
            <v>DELETED USER</v>
          </cell>
        </row>
        <row r="1911">
          <cell r="C1911" t="str">
            <v>CTCommunity-CMSO</v>
          </cell>
          <cell r="H1911">
            <v>5029698</v>
          </cell>
          <cell r="AK1911" t="str">
            <v>John Eshoo</v>
          </cell>
        </row>
        <row r="1912">
          <cell r="C1912" t="str">
            <v>BarCap_Interim CIO 2</v>
          </cell>
          <cell r="H1912">
            <v>5026851</v>
          </cell>
          <cell r="AK1912" t="str">
            <v>Kevin Wells</v>
          </cell>
        </row>
        <row r="1913">
          <cell r="C1913" t="str">
            <v>FrMc_CSP IT PMO</v>
          </cell>
          <cell r="H1913">
            <v>5024554</v>
          </cell>
          <cell r="AK1913" t="str">
            <v>Darrell Rials</v>
          </cell>
        </row>
        <row r="1914">
          <cell r="C1914" t="str">
            <v>HarfordBank-Compliance Consult</v>
          </cell>
          <cell r="H1914">
            <v>5029836</v>
          </cell>
          <cell r="AK1914" t="str">
            <v>W. Annette Dredden</v>
          </cell>
        </row>
        <row r="1915">
          <cell r="C1915" t="str">
            <v>FrMc_CSP LI Main Program</v>
          </cell>
          <cell r="H1915">
            <v>5026992</v>
          </cell>
          <cell r="AK1915" t="str">
            <v>Thomas Wilson</v>
          </cell>
        </row>
        <row r="1916">
          <cell r="C1916" t="str">
            <v>MS Wealth_CSO and PGS/AI_V</v>
          </cell>
          <cell r="H1916">
            <v>5027255</v>
          </cell>
          <cell r="AK1916" t="str">
            <v>DELETED USER</v>
          </cell>
        </row>
        <row r="1917">
          <cell r="C1917" t="str">
            <v>Woodforest-ERMC</v>
          </cell>
          <cell r="H1917">
            <v>5029678</v>
          </cell>
          <cell r="AK1917" t="str">
            <v>Allan Cuttle</v>
          </cell>
        </row>
        <row r="1918">
          <cell r="C1918" t="str">
            <v>Boston FFCU-CMSO</v>
          </cell>
          <cell r="H1918">
            <v>5029688</v>
          </cell>
          <cell r="AK1918" t="str">
            <v>Jamar Green</v>
          </cell>
        </row>
        <row r="1919">
          <cell r="C1919" t="str">
            <v>PeapackGlad-MQC</v>
          </cell>
          <cell r="H1919">
            <v>5029653</v>
          </cell>
          <cell r="AK1919" t="str">
            <v>Cristina Arechaga</v>
          </cell>
        </row>
        <row r="1920">
          <cell r="C1920" t="str">
            <v>Dir Bk &amp; Fin Ctr {Tahoe} CO#5</v>
          </cell>
          <cell r="H1920">
            <v>5016861</v>
          </cell>
          <cell r="AK1920" t="str">
            <v>Samuel Awsumb</v>
          </cell>
        </row>
        <row r="1921">
          <cell r="C1921" t="str">
            <v>FX IT PMO Extension Amd 2</v>
          </cell>
          <cell r="H1921">
            <v>5024235</v>
          </cell>
          <cell r="AK1921" t="str">
            <v>Chelsea Mattias</v>
          </cell>
        </row>
        <row r="1922">
          <cell r="C1922" t="str">
            <v>USAA-TCC-Years 2&amp;3</v>
          </cell>
          <cell r="H1922">
            <v>5029742</v>
          </cell>
          <cell r="AK1922" t="str">
            <v>Willis Leitner</v>
          </cell>
        </row>
        <row r="1923">
          <cell r="C1923" t="str">
            <v>Citi_Equities PMO</v>
          </cell>
          <cell r="H1923">
            <v>5027157</v>
          </cell>
          <cell r="AK1923" t="str">
            <v>Robert Norris</v>
          </cell>
        </row>
        <row r="1924">
          <cell r="C1924" t="str">
            <v>GL_DOL Phase II</v>
          </cell>
          <cell r="H1924">
            <v>5027002</v>
          </cell>
          <cell r="AK1924" t="str">
            <v>Jennifer Hsiung</v>
          </cell>
        </row>
        <row r="1925">
          <cell r="C1925" t="str">
            <v>ALIC_DOL Phase I</v>
          </cell>
          <cell r="H1925">
            <v>5027058</v>
          </cell>
          <cell r="AK1925" t="str">
            <v>David Vasecka</v>
          </cell>
        </row>
        <row r="1926">
          <cell r="C1926" t="str">
            <v>Jeff_IT PM Support</v>
          </cell>
          <cell r="H1926">
            <v>5027268</v>
          </cell>
          <cell r="AK1926" t="str">
            <v>DELETED USER</v>
          </cell>
        </row>
        <row r="1927">
          <cell r="C1927" t="str">
            <v>TCV fix -GL_DOL Phase II</v>
          </cell>
          <cell r="H1927">
            <v>5027002</v>
          </cell>
          <cell r="AK1927" t="str">
            <v>Suzanne Madden</v>
          </cell>
        </row>
        <row r="1928">
          <cell r="C1928" t="str">
            <v>FrMc_Credit Risk PM</v>
          </cell>
          <cell r="H1928">
            <v>5027080</v>
          </cell>
          <cell r="AK1928" t="str">
            <v>Matt Markham</v>
          </cell>
        </row>
        <row r="1929">
          <cell r="C1929" t="str">
            <v>FM_LAI Postmortem</v>
          </cell>
          <cell r="H1929">
            <v>5027105</v>
          </cell>
          <cell r="AK1929" t="str">
            <v>DELETED USER</v>
          </cell>
        </row>
        <row r="1930">
          <cell r="C1930" t="str">
            <v>UBS_VISA Infinite Card Launch</v>
          </cell>
          <cell r="H1930">
            <v>5025384</v>
          </cell>
          <cell r="AK1930" t="str">
            <v>Kurian Philip</v>
          </cell>
        </row>
        <row r="1931">
          <cell r="C1931" t="str">
            <v>HB_Credit/Debit Card Conver</v>
          </cell>
          <cell r="H1931">
            <v>5027248</v>
          </cell>
          <cell r="AK1931" t="str">
            <v>Daniela Hawkins</v>
          </cell>
        </row>
        <row r="1932">
          <cell r="C1932" t="str">
            <v>Cathay Bank-MQC</v>
          </cell>
          <cell r="H1932">
            <v>5029646</v>
          </cell>
          <cell r="AK1932" t="str">
            <v>Cristina Arechaga</v>
          </cell>
        </row>
        <row r="1933">
          <cell r="C1933" t="str">
            <v>FIS-Goldman-RMSC Services</v>
          </cell>
          <cell r="H1933">
            <v>5029525</v>
          </cell>
          <cell r="AK1933" t="str">
            <v>Ginger Dahlin</v>
          </cell>
        </row>
        <row r="1934">
          <cell r="C1934" t="str">
            <v>5th3rd_Wholesale Strategy</v>
          </cell>
          <cell r="H1934">
            <v>5027202</v>
          </cell>
          <cell r="AK1934" t="str">
            <v>DELETED USER</v>
          </cell>
        </row>
        <row r="1935">
          <cell r="C1935" t="str">
            <v>WF_Lead Mgmt TOM</v>
          </cell>
          <cell r="H1935">
            <v>5024415</v>
          </cell>
          <cell r="AK1935" t="str">
            <v>Bryce VanDiver</v>
          </cell>
        </row>
        <row r="1936">
          <cell r="C1936" t="str">
            <v>2731-RAS-Trustmark National Ba</v>
          </cell>
          <cell r="H1936">
            <v>5030482</v>
          </cell>
          <cell r="AK1936" t="str">
            <v>Cristina Arechaga</v>
          </cell>
        </row>
        <row r="1937">
          <cell r="C1937" t="str">
            <v>FirstAmericanItl-CMSO</v>
          </cell>
          <cell r="H1937">
            <v>5029757</v>
          </cell>
          <cell r="AK1937" t="str">
            <v>Marianne Byrne</v>
          </cell>
        </row>
        <row r="1938">
          <cell r="C1938" t="str">
            <v>Georgetown-CMSO</v>
          </cell>
          <cell r="H1938">
            <v>5029666</v>
          </cell>
          <cell r="AK1938" t="str">
            <v>Jamar Green</v>
          </cell>
        </row>
        <row r="1939">
          <cell r="C1939" t="str">
            <v>Cathay Bank-BSA Consulting</v>
          </cell>
          <cell r="H1939">
            <v>5029545</v>
          </cell>
          <cell r="AK1939" t="str">
            <v>Allan Cuttle</v>
          </cell>
        </row>
        <row r="1940">
          <cell r="C1940" t="str">
            <v>CityFirstDC-CMSO</v>
          </cell>
          <cell r="H1940">
            <v>5029694</v>
          </cell>
          <cell r="AK1940" t="str">
            <v>W. Annette Dredden</v>
          </cell>
        </row>
        <row r="1941">
          <cell r="C1941" t="str">
            <v>Hills Bank-Strat Plan Consult</v>
          </cell>
          <cell r="H1941">
            <v>5029993</v>
          </cell>
          <cell r="AK1941" t="str">
            <v>Allan Cuttle</v>
          </cell>
        </row>
        <row r="1942">
          <cell r="C1942" t="str">
            <v>AmericanBankCtr-MQC</v>
          </cell>
          <cell r="H1942">
            <v>5029744</v>
          </cell>
          <cell r="AK1942" t="str">
            <v>Cristina Arechaga</v>
          </cell>
        </row>
        <row r="1943">
          <cell r="C1943" t="str">
            <v>Citi Products Extension</v>
          </cell>
          <cell r="H1943">
            <v>5024513</v>
          </cell>
          <cell r="AK1943" t="str">
            <v>DELETED USER</v>
          </cell>
        </row>
        <row r="1944">
          <cell r="C1944" t="str">
            <v>DB_Stride PMO Extension</v>
          </cell>
          <cell r="H1944">
            <v>5026918</v>
          </cell>
          <cell r="AK1944" t="str">
            <v>DELETED USER</v>
          </cell>
        </row>
        <row r="1945">
          <cell r="C1945" t="str">
            <v>Jeff_Dealogic Ext. 2</v>
          </cell>
          <cell r="H1945">
            <v>5026513</v>
          </cell>
          <cell r="AK1945" t="str">
            <v>DELETED USER</v>
          </cell>
        </row>
        <row r="1946">
          <cell r="C1946" t="str">
            <v>FrMc_CRT Tech PMO</v>
          </cell>
          <cell r="H1946">
            <v>5027288</v>
          </cell>
          <cell r="AK1946" t="str">
            <v>Bharath Chikkamaranahalli Bhaskar</v>
          </cell>
        </row>
        <row r="1947">
          <cell r="C1947" t="str">
            <v>Jeff_OPS-App_Tool_dev</v>
          </cell>
          <cell r="H1947">
            <v>5027246</v>
          </cell>
          <cell r="AK1947" t="str">
            <v>DELETED USER</v>
          </cell>
        </row>
        <row r="1948">
          <cell r="C1948" t="str">
            <v>Jeff_InfoSec Project Manager</v>
          </cell>
          <cell r="H1948">
            <v>5026892</v>
          </cell>
          <cell r="AK1948" t="str">
            <v>Jeffrey Gheraldi</v>
          </cell>
        </row>
        <row r="1949">
          <cell r="C1949" t="str">
            <v>FrMc_CDW Support</v>
          </cell>
          <cell r="H1949">
            <v>5027289</v>
          </cell>
          <cell r="AK1949" t="str">
            <v>Mike Peretz</v>
          </cell>
        </row>
        <row r="1950">
          <cell r="C1950" t="str">
            <v>Boeing Employees Credit Un_RAS</v>
          </cell>
          <cell r="H1950">
            <v>5039600</v>
          </cell>
          <cell r="AK1950" t="str">
            <v>Travis Peraza</v>
          </cell>
        </row>
        <row r="1951">
          <cell r="C1951" t="str">
            <v>JonesWalker-Mtg Serv Compl Rvw</v>
          </cell>
          <cell r="H1951">
            <v>5029840</v>
          </cell>
          <cell r="AK1951" t="str">
            <v>Dennis Smith</v>
          </cell>
        </row>
        <row r="1952">
          <cell r="C1952" t="str">
            <v>BNPP_CCAR Program Extension</v>
          </cell>
          <cell r="H1952">
            <v>5022402</v>
          </cell>
          <cell r="AK1952" t="str">
            <v>Thanh Le Xuan</v>
          </cell>
        </row>
        <row r="1953">
          <cell r="C1953" t="str">
            <v>39971-RAS-Nail McKinney P.A.</v>
          </cell>
          <cell r="H1953">
            <v>5030377</v>
          </cell>
          <cell r="AK1953" t="str">
            <v>Cristina Arechaga</v>
          </cell>
        </row>
        <row r="1954">
          <cell r="C1954" t="str">
            <v>Dir Bk &amp; Fin Ctr {Tahoe} CO#6</v>
          </cell>
          <cell r="H1954">
            <v>5016861</v>
          </cell>
          <cell r="AK1954" t="str">
            <v>Samuel Awsumb</v>
          </cell>
        </row>
        <row r="1955">
          <cell r="C1955" t="str">
            <v>3462-RAS-Talbot State Bank</v>
          </cell>
          <cell r="H1955">
            <v>5030532</v>
          </cell>
          <cell r="AK1955" t="str">
            <v>Cristina Arechaga</v>
          </cell>
        </row>
        <row r="1956">
          <cell r="C1956" t="str">
            <v>FrMc_LAS Service Dev</v>
          </cell>
          <cell r="H1956">
            <v>5021682</v>
          </cell>
          <cell r="AK1956" t="str">
            <v>Ambika Kutty</v>
          </cell>
        </row>
        <row r="1957">
          <cell r="C1957" t="str">
            <v>CB_LOS PM Amd 1</v>
          </cell>
          <cell r="H1957">
            <v>5026340</v>
          </cell>
          <cell r="AK1957" t="str">
            <v>Jeffrey Bordan</v>
          </cell>
        </row>
        <row r="1958">
          <cell r="C1958" t="str">
            <v>Amex_Data Files</v>
          </cell>
          <cell r="H1958">
            <v>5025458</v>
          </cell>
          <cell r="AK1958" t="str">
            <v>DELETED USER</v>
          </cell>
        </row>
        <row r="1959">
          <cell r="C1959" t="str">
            <v>Bloomberg Dash PM</v>
          </cell>
          <cell r="H1959">
            <v>5027332</v>
          </cell>
          <cell r="AK1959" t="str">
            <v>Jeffrey Gheraldi</v>
          </cell>
        </row>
        <row r="1960">
          <cell r="C1960" t="str">
            <v>SS - Data Acquisition Analysis</v>
          </cell>
          <cell r="H1960">
            <v>5027328</v>
          </cell>
          <cell r="AK1960" t="str">
            <v>Matt Markham</v>
          </cell>
        </row>
        <row r="1961">
          <cell r="C1961" t="str">
            <v>11089-RAS-Citizens National Ba</v>
          </cell>
          <cell r="H1961">
            <v>5030818</v>
          </cell>
          <cell r="AK1961" t="str">
            <v>Cristina Arechaga</v>
          </cell>
        </row>
        <row r="1962">
          <cell r="C1962" t="str">
            <v>2488-RAS-First Community Bank</v>
          </cell>
          <cell r="H1962">
            <v>5030462</v>
          </cell>
          <cell r="AK1962" t="str">
            <v>Cristina Arechaga</v>
          </cell>
        </row>
        <row r="1963">
          <cell r="C1963" t="str">
            <v>FM Hosting Services and PM</v>
          </cell>
          <cell r="H1963">
            <v>5024340</v>
          </cell>
          <cell r="AK1963" t="str">
            <v>Richard Rhodes</v>
          </cell>
        </row>
        <row r="1964">
          <cell r="C1964" t="str">
            <v>BNPP_IHC Central PMO</v>
          </cell>
          <cell r="H1964">
            <v>5022849</v>
          </cell>
          <cell r="AK1964" t="str">
            <v>Season Man</v>
          </cell>
        </row>
        <row r="1965">
          <cell r="C1965" t="str">
            <v>JonesWalker-CmplAuditOutsource</v>
          </cell>
          <cell r="H1965">
            <v>5029839</v>
          </cell>
          <cell r="AK1965" t="str">
            <v>Dennis Smith</v>
          </cell>
        </row>
        <row r="1966">
          <cell r="C1966" t="str">
            <v>BMO_Lending Data</v>
          </cell>
          <cell r="H1966">
            <v>5027378</v>
          </cell>
          <cell r="AK1966" t="str">
            <v>Ramnish Gupta</v>
          </cell>
        </row>
        <row r="1967">
          <cell r="C1967" t="str">
            <v>MS_Treasury _Cash Forecasting</v>
          </cell>
          <cell r="H1967">
            <v>5027369</v>
          </cell>
          <cell r="AK1967" t="str">
            <v>Sandra Paris</v>
          </cell>
        </row>
        <row r="1968">
          <cell r="C1968" t="str">
            <v>FIS I&amp;W - PlanView Imp PMO</v>
          </cell>
          <cell r="H1968">
            <v>5027453</v>
          </cell>
          <cell r="AK1968" t="str">
            <v>Janet Gray</v>
          </cell>
        </row>
        <row r="1969">
          <cell r="C1969" t="str">
            <v>COBA_Broadridge Assess</v>
          </cell>
          <cell r="H1969">
            <v>5027364</v>
          </cell>
          <cell r="AK1969" t="str">
            <v>Alexander Greco</v>
          </cell>
        </row>
        <row r="1970">
          <cell r="C1970" t="str">
            <v>Credit/Debit Card Conv CO#1</v>
          </cell>
          <cell r="H1970">
            <v>5027248</v>
          </cell>
          <cell r="AK1970" t="str">
            <v>Daniela Hawkins</v>
          </cell>
        </row>
        <row r="1971">
          <cell r="C1971" t="str">
            <v>1stCapital-MQC</v>
          </cell>
          <cell r="H1971">
            <v>5029640</v>
          </cell>
          <cell r="AK1971" t="str">
            <v>Cristina Arechaga</v>
          </cell>
        </row>
        <row r="1972">
          <cell r="C1972" t="str">
            <v>Borrowers-FL RiskAssessment 17</v>
          </cell>
          <cell r="H1972">
            <v>5030053</v>
          </cell>
          <cell r="AK1972" t="str">
            <v>Paula Witt</v>
          </cell>
        </row>
        <row r="1973">
          <cell r="C1973" t="str">
            <v>Patterson State Bank_RAS</v>
          </cell>
          <cell r="H1973">
            <v>5039700</v>
          </cell>
          <cell r="AK1973" t="str">
            <v>Travis Peraza</v>
          </cell>
        </row>
        <row r="1974">
          <cell r="C1974" t="str">
            <v>CapitalCity-Compliance Consult</v>
          </cell>
          <cell r="H1974">
            <v>5029808</v>
          </cell>
          <cell r="AK1974" t="str">
            <v>Anna Proleika</v>
          </cell>
        </row>
        <row r="1975">
          <cell r="C1975" t="str">
            <v>Amalgamated Bank_RAS</v>
          </cell>
          <cell r="H1975">
            <v>5039582</v>
          </cell>
          <cell r="AK1975" t="str">
            <v>Travis Peraza</v>
          </cell>
        </row>
        <row r="1976">
          <cell r="C1976" t="str">
            <v>RBC_Mortgage Phase 2</v>
          </cell>
          <cell r="H1976">
            <v>5026563</v>
          </cell>
          <cell r="AK1976" t="str">
            <v>Vince Forte</v>
          </cell>
        </row>
        <row r="1977">
          <cell r="C1977" t="str">
            <v>BMO_GE Data Gov</v>
          </cell>
          <cell r="H1977">
            <v>5027367</v>
          </cell>
          <cell r="AK1977" t="str">
            <v>Ramnish Gupta</v>
          </cell>
        </row>
        <row r="1978">
          <cell r="C1978" t="str">
            <v>West Texas-Compliance Support</v>
          </cell>
          <cell r="H1978">
            <v>5030038</v>
          </cell>
          <cell r="AK1978" t="str">
            <v>Randall Patton</v>
          </cell>
        </row>
        <row r="1979">
          <cell r="C1979" t="str">
            <v>Alma Bank-AML Alert Clearing</v>
          </cell>
          <cell r="H1979">
            <v>5029912</v>
          </cell>
          <cell r="AK1979" t="str">
            <v>Chintan Patel</v>
          </cell>
        </row>
        <row r="1980">
          <cell r="C1980" t="str">
            <v>Jeff_OneJef PM Ext. 5</v>
          </cell>
          <cell r="H1980">
            <v>5023978</v>
          </cell>
          <cell r="AK1980" t="str">
            <v>Mike Drews</v>
          </cell>
        </row>
        <row r="1981">
          <cell r="C1981" t="str">
            <v>San_Risk Data Steward</v>
          </cell>
          <cell r="H1981">
            <v>5027421</v>
          </cell>
          <cell r="AK1981" t="str">
            <v>Ridha Mesli</v>
          </cell>
        </row>
        <row r="1982">
          <cell r="C1982" t="str">
            <v>Jeff_T2 Impact Assessment</v>
          </cell>
          <cell r="H1982">
            <v>5027383</v>
          </cell>
          <cell r="AK1982" t="str">
            <v>Michael Martinen</v>
          </cell>
        </row>
        <row r="1983">
          <cell r="C1983" t="str">
            <v>ChSh_DOL Policy Support</v>
          </cell>
          <cell r="H1983">
            <v>5027389</v>
          </cell>
          <cell r="AK1983" t="str">
            <v>Michelle Fambro</v>
          </cell>
        </row>
        <row r="1984">
          <cell r="C1984" t="str">
            <v>DB_DOL Phase 1</v>
          </cell>
          <cell r="H1984">
            <v>5027376</v>
          </cell>
          <cell r="AK1984" t="str">
            <v>Justin Gonlag</v>
          </cell>
        </row>
        <row r="1985">
          <cell r="C1985" t="str">
            <v>ALIC_DOL Phase 2</v>
          </cell>
          <cell r="H1985">
            <v>5027431</v>
          </cell>
          <cell r="AK1985" t="str">
            <v>Ripple Bhullar</v>
          </cell>
        </row>
        <row r="1986">
          <cell r="C1986" t="str">
            <v>Dir Bk &amp; Fin Ctr {Tahoe} CO#7</v>
          </cell>
          <cell r="H1986">
            <v>5016861</v>
          </cell>
          <cell r="AK1986" t="str">
            <v>Samuel Awsumb</v>
          </cell>
        </row>
        <row r="1987">
          <cell r="C1987" t="str">
            <v>Jeff_MI Business Analyst</v>
          </cell>
          <cell r="H1987">
            <v>5027418</v>
          </cell>
          <cell r="AK1987" t="str">
            <v>Jon Herna</v>
          </cell>
        </row>
        <row r="1988">
          <cell r="C1988" t="str">
            <v>Univest-EWRA</v>
          </cell>
          <cell r="H1988">
            <v>5029602</v>
          </cell>
          <cell r="AK1988" t="str">
            <v>Allan Cuttle</v>
          </cell>
        </row>
        <row r="1989">
          <cell r="C1989" t="str">
            <v>Extn. FRM 2020 - Bridge</v>
          </cell>
          <cell r="H1989">
            <v>5026744</v>
          </cell>
          <cell r="AK1989" t="str">
            <v>DELETED USER</v>
          </cell>
        </row>
        <row r="1990">
          <cell r="C1990" t="str">
            <v>FTCI_Digital Strategy</v>
          </cell>
          <cell r="H1990">
            <v>5027419</v>
          </cell>
          <cell r="AK1990" t="str">
            <v>DELETED USER</v>
          </cell>
        </row>
        <row r="1991">
          <cell r="C1991" t="str">
            <v>Post Close - Direct / Indirect</v>
          </cell>
          <cell r="H1991">
            <v>5030197</v>
          </cell>
          <cell r="AK1991" t="str">
            <v>Lonnie Ingram</v>
          </cell>
        </row>
        <row r="1992">
          <cell r="C1992" t="str">
            <v>Jeff_Geneva Impl. Ext. 2</v>
          </cell>
          <cell r="H1992">
            <v>5026218</v>
          </cell>
          <cell r="AK1992" t="str">
            <v>Chelsea Mattias</v>
          </cell>
        </row>
        <row r="1993">
          <cell r="C1993" t="str">
            <v>MS_FRANCE_SBA</v>
          </cell>
          <cell r="H1993">
            <v>5027917</v>
          </cell>
          <cell r="AK1993" t="str">
            <v>Angela McGregor</v>
          </cell>
        </row>
        <row r="1994">
          <cell r="C1994" t="str">
            <v>MiT_Affil Clearing Analysis</v>
          </cell>
          <cell r="H1994">
            <v>5027429</v>
          </cell>
          <cell r="AK1994" t="str">
            <v>George Black</v>
          </cell>
        </row>
        <row r="1995">
          <cell r="C1995" t="str">
            <v>9430-RAS-Murphy Bank</v>
          </cell>
          <cell r="H1995">
            <v>5030747</v>
          </cell>
          <cell r="AK1995" t="str">
            <v>Cristina Arechaga</v>
          </cell>
        </row>
        <row r="1996">
          <cell r="C1996" t="str">
            <v>Signature-ERMC</v>
          </cell>
          <cell r="H1996">
            <v>5029639</v>
          </cell>
          <cell r="AK1996" t="str">
            <v>Allan Cuttle</v>
          </cell>
        </row>
        <row r="1997">
          <cell r="C1997" t="str">
            <v>BarCap_CCAR Extension 2 4Q16</v>
          </cell>
          <cell r="H1997">
            <v>5021072</v>
          </cell>
          <cell r="AK1997" t="str">
            <v>DELETED USER</v>
          </cell>
        </row>
        <row r="1998">
          <cell r="C1998" t="str">
            <v>BarCap CCAR Extension</v>
          </cell>
          <cell r="H1998">
            <v>5021072</v>
          </cell>
          <cell r="AK1998" t="str">
            <v>DELETED USER</v>
          </cell>
        </row>
        <row r="1999">
          <cell r="C1999" t="str">
            <v>BarCap CCAR extension 1 4Q16</v>
          </cell>
          <cell r="H1999">
            <v>5021072</v>
          </cell>
          <cell r="AK1999" t="str">
            <v>DELETED USER</v>
          </cell>
        </row>
        <row r="2000">
          <cell r="C2000" t="str">
            <v>Jeff_OPS-App_Tool_dev-2</v>
          </cell>
          <cell r="H2000">
            <v>5027435</v>
          </cell>
          <cell r="AK2000" t="str">
            <v>DELETED USER</v>
          </cell>
        </row>
        <row r="2001">
          <cell r="C2001" t="str">
            <v>8575-RAS-Merchants Bank of Ban</v>
          </cell>
          <cell r="H2001">
            <v>5030711</v>
          </cell>
          <cell r="AK2001" t="str">
            <v>Cristina Arechaga</v>
          </cell>
        </row>
        <row r="2002">
          <cell r="C2002" t="str">
            <v>9252-RAS-BOKF  N.A. (Bank of O</v>
          </cell>
          <cell r="H2002">
            <v>5030741</v>
          </cell>
          <cell r="AK2002" t="str">
            <v>Cristina Arechaga</v>
          </cell>
        </row>
        <row r="2003">
          <cell r="C2003" t="str">
            <v>125598-RAS-All Western Mortgag</v>
          </cell>
          <cell r="H2003">
            <v>5030404</v>
          </cell>
          <cell r="AK2003" t="str">
            <v>Cristina Arechaga</v>
          </cell>
        </row>
        <row r="2004">
          <cell r="C2004" t="str">
            <v>Mid Penn-MQC</v>
          </cell>
          <cell r="H2004">
            <v>5029589</v>
          </cell>
          <cell r="AK2004" t="str">
            <v>Keith Cole</v>
          </cell>
        </row>
        <row r="2005">
          <cell r="C2005" t="str">
            <v>1stMariner-CMSO</v>
          </cell>
          <cell r="H2005">
            <v>5029654</v>
          </cell>
          <cell r="AK2005" t="str">
            <v>W. Annette Dredden</v>
          </cell>
        </row>
        <row r="2006">
          <cell r="C2006" t="str">
            <v>Enterprise-MQC</v>
          </cell>
          <cell r="H2006">
            <v>5029617</v>
          </cell>
          <cell r="AK2006" t="str">
            <v>Keith Cole</v>
          </cell>
        </row>
        <row r="2007">
          <cell r="C2007" t="str">
            <v>CRT Tech PMO Amd 1</v>
          </cell>
          <cell r="H2007">
            <v>5027288</v>
          </cell>
          <cell r="AK2007" t="str">
            <v>Bharath Chikkamaranahalli Bhaskar</v>
          </cell>
        </row>
        <row r="2008">
          <cell r="C2008" t="str">
            <v>Murphy Bank_RAS</v>
          </cell>
          <cell r="H2008">
            <v>5039691</v>
          </cell>
          <cell r="AK2008" t="str">
            <v>Diane Banks</v>
          </cell>
        </row>
        <row r="2009">
          <cell r="C2009" t="str">
            <v>Dir Bk &amp; Fin Ctr {Tahoe} CO#10</v>
          </cell>
          <cell r="H2009">
            <v>5016861</v>
          </cell>
          <cell r="AK2009" t="str">
            <v>Samuel Awsumb</v>
          </cell>
        </row>
        <row r="2010">
          <cell r="C2010" t="str">
            <v>DB Stride UAT Ext</v>
          </cell>
          <cell r="H2010">
            <v>5026918</v>
          </cell>
          <cell r="AK2010" t="str">
            <v>DELETED USER</v>
          </cell>
        </row>
        <row r="2011">
          <cell r="C2011" t="str">
            <v>Jefferies_Murex 2</v>
          </cell>
          <cell r="H2011">
            <v>5027488</v>
          </cell>
          <cell r="AK2011" t="str">
            <v>Chelsea Mattias</v>
          </cell>
        </row>
        <row r="2012">
          <cell r="C2012" t="str">
            <v>MS RRM Phase 3</v>
          </cell>
          <cell r="H2012">
            <v>5026463</v>
          </cell>
          <cell r="AK2012" t="str">
            <v>Mitali Drews</v>
          </cell>
        </row>
        <row r="2013">
          <cell r="C2013" t="str">
            <v>MotorFunding-Compl Consult-A</v>
          </cell>
          <cell r="H2013">
            <v>5029949</v>
          </cell>
          <cell r="AK2013" t="str">
            <v>DELETED USER</v>
          </cell>
        </row>
        <row r="2014">
          <cell r="C2014" t="str">
            <v>FM_Loan Delivery Next Gen 6</v>
          </cell>
          <cell r="H2014">
            <v>5022429</v>
          </cell>
          <cell r="AK2014" t="str">
            <v>Poorna Bhimavarapu</v>
          </cell>
        </row>
        <row r="2015">
          <cell r="C2015" t="str">
            <v>KB_Regulatory Reporting Co1</v>
          </cell>
          <cell r="H2015">
            <v>5027004</v>
          </cell>
          <cell r="AK2015" t="str">
            <v>DELETED USER</v>
          </cell>
        </row>
        <row r="2016">
          <cell r="C2016" t="str">
            <v>MS_Prime Brokerage Tech_Ext3</v>
          </cell>
          <cell r="H2016">
            <v>5020142</v>
          </cell>
          <cell r="AK2016" t="str">
            <v>Angela McGregor</v>
          </cell>
        </row>
        <row r="2017">
          <cell r="C2017" t="str">
            <v>MS_Wealth Platform Prgm Mgmt</v>
          </cell>
          <cell r="H2017">
            <v>5027468</v>
          </cell>
          <cell r="AK2017" t="str">
            <v>Orlin Jordanov</v>
          </cell>
        </row>
        <row r="2018">
          <cell r="C2018" t="str">
            <v>FM_Int Consumer Feedback</v>
          </cell>
          <cell r="H2018">
            <v>5027445</v>
          </cell>
          <cell r="AK2018" t="str">
            <v>Poorna Bhimavarapu</v>
          </cell>
        </row>
        <row r="2019">
          <cell r="C2019" t="str">
            <v>Dir Bk &amp; Fin Ctr {Tahoe} CO#9</v>
          </cell>
          <cell r="H2019">
            <v>5016861</v>
          </cell>
          <cell r="AK2019" t="str">
            <v>Samuel Awsumb</v>
          </cell>
        </row>
        <row r="2020">
          <cell r="C2020" t="str">
            <v>ALIC_DOL Phase I Extension</v>
          </cell>
          <cell r="H2020">
            <v>5027058</v>
          </cell>
          <cell r="AK2020" t="str">
            <v>David Vasecka</v>
          </cell>
        </row>
        <row r="2021">
          <cell r="C2021" t="str">
            <v>Goldman ERCP Extension- Q4</v>
          </cell>
          <cell r="H2021">
            <v>5027034</v>
          </cell>
          <cell r="AK2021" t="str">
            <v>DELETED USER</v>
          </cell>
        </row>
        <row r="2022">
          <cell r="C2022" t="str">
            <v>DB_DOL Asset Management</v>
          </cell>
          <cell r="H2022">
            <v>5027477</v>
          </cell>
          <cell r="AK2022" t="str">
            <v>Mitali Drews</v>
          </cell>
        </row>
        <row r="2023">
          <cell r="C2023" t="str">
            <v>14763-RAS-BBVA Compass Bancsha</v>
          </cell>
          <cell r="H2023">
            <v>5030919</v>
          </cell>
          <cell r="AK2023" t="str">
            <v>Cristina Arechaga</v>
          </cell>
        </row>
        <row r="2024">
          <cell r="C2024" t="str">
            <v>RBC_Ops Engineering Amd 1</v>
          </cell>
          <cell r="H2024">
            <v>5024366</v>
          </cell>
          <cell r="AK2024" t="str">
            <v>George Black</v>
          </cell>
        </row>
        <row r="2025">
          <cell r="C2025" t="str">
            <v>MS Gladiator Finance Support</v>
          </cell>
          <cell r="H2025">
            <v>5018358</v>
          </cell>
          <cell r="AK2025" t="str">
            <v>Iruka Brown</v>
          </cell>
        </row>
        <row r="2026">
          <cell r="C2026" t="str">
            <v>RBC_SRM PMO</v>
          </cell>
          <cell r="H2026">
            <v>5027508</v>
          </cell>
          <cell r="AK2026" t="str">
            <v>Shar Hassan</v>
          </cell>
        </row>
        <row r="2027">
          <cell r="C2027" t="str">
            <v>FmRc_IRCI Process &amp; Tech Write</v>
          </cell>
          <cell r="H2027">
            <v>5027472</v>
          </cell>
          <cell r="AK2027" t="str">
            <v>Linda Graham</v>
          </cell>
        </row>
        <row r="2028">
          <cell r="C2028" t="str">
            <v>Jeff_CCO Annual Report</v>
          </cell>
          <cell r="H2028">
            <v>5024869</v>
          </cell>
          <cell r="AK2028" t="str">
            <v>Mike Drews</v>
          </cell>
        </row>
        <row r="2029">
          <cell r="C2029" t="str">
            <v>Citi_T+2 Testing and Command</v>
          </cell>
          <cell r="H2029">
            <v>5027476</v>
          </cell>
          <cell r="AK2029" t="str">
            <v>Michael Martinen</v>
          </cell>
        </row>
        <row r="2030">
          <cell r="C2030" t="str">
            <v>MS_Market Risk Infrastructure</v>
          </cell>
          <cell r="H2030">
            <v>5027428</v>
          </cell>
          <cell r="AK2030" t="str">
            <v>Iruka Brown</v>
          </cell>
        </row>
        <row r="2031">
          <cell r="C2031" t="str">
            <v>UBS DMO - Amd1</v>
          </cell>
          <cell r="H2031">
            <v>5027126</v>
          </cell>
          <cell r="AK2031" t="str">
            <v>DELETED USER</v>
          </cell>
        </row>
        <row r="2032">
          <cell r="C2032" t="str">
            <v>UBS DMO - Amd 2</v>
          </cell>
          <cell r="H2032">
            <v>5027126</v>
          </cell>
          <cell r="AK2032" t="str">
            <v>DELETED USER</v>
          </cell>
        </row>
        <row r="2033">
          <cell r="C2033" t="str">
            <v>Dir Bk &amp; Fin Ctr {Tahoe} CO#11</v>
          </cell>
          <cell r="H2033">
            <v>5016861</v>
          </cell>
          <cell r="AK2033" t="str">
            <v>Samuel Awsumb</v>
          </cell>
        </row>
        <row r="2034">
          <cell r="C2034" t="str">
            <v>FIS_ACBS Pitch</v>
          </cell>
          <cell r="H2034">
            <v>5027592</v>
          </cell>
          <cell r="AK2034" t="str">
            <v>Aditi Shukla</v>
          </cell>
        </row>
        <row r="2035">
          <cell r="C2035" t="str">
            <v>FrMc_SFDGM_Support</v>
          </cell>
          <cell r="H2035">
            <v>5027460</v>
          </cell>
          <cell r="AK2035" t="str">
            <v>Aditya Udas</v>
          </cell>
        </row>
        <row r="2036">
          <cell r="C2036" t="str">
            <v>GS_Global Tax Support</v>
          </cell>
          <cell r="H2036">
            <v>5027473</v>
          </cell>
          <cell r="AK2036" t="str">
            <v>Bill Mollica</v>
          </cell>
        </row>
        <row r="2037">
          <cell r="C2037" t="str">
            <v>Citi_EQ_QuantPB Amd 1</v>
          </cell>
          <cell r="H2037">
            <v>5027157</v>
          </cell>
          <cell r="AK2037" t="str">
            <v>Robert Norris</v>
          </cell>
        </row>
        <row r="2038">
          <cell r="C2038" t="str">
            <v>FrMc_CSP 2016 Adds Amd 1</v>
          </cell>
          <cell r="H2038">
            <v>5026992</v>
          </cell>
          <cell r="AK2038" t="str">
            <v>Thomas Wilson</v>
          </cell>
        </row>
        <row r="2039">
          <cell r="C2039" t="str">
            <v>Jeff_Account Attestation</v>
          </cell>
          <cell r="H2039">
            <v>5027550</v>
          </cell>
          <cell r="AK2039" t="str">
            <v>Jon Herna</v>
          </cell>
        </row>
        <row r="2040">
          <cell r="C2040" t="str">
            <v>FM_HC Planning Execution</v>
          </cell>
          <cell r="H2040">
            <v>5027557</v>
          </cell>
          <cell r="AK2040" t="str">
            <v>Gregory Barry</v>
          </cell>
        </row>
        <row r="2041">
          <cell r="C2041" t="str">
            <v>Jeff_T2 Phase 2</v>
          </cell>
          <cell r="H2041">
            <v>5027602</v>
          </cell>
          <cell r="AK2041" t="str">
            <v>DELETED USER</v>
          </cell>
        </row>
        <row r="2042">
          <cell r="C2042" t="str">
            <v>Extn FRM Strategy - Phase 2</v>
          </cell>
          <cell r="H2042">
            <v>5026744</v>
          </cell>
          <cell r="AK2042" t="str">
            <v>DELETED USER</v>
          </cell>
        </row>
        <row r="2043">
          <cell r="C2043" t="str">
            <v>WF_Integrated Leads TOM Design</v>
          </cell>
          <cell r="H2043">
            <v>5024415</v>
          </cell>
          <cell r="AK2043" t="str">
            <v>Bryce VanDiver</v>
          </cell>
        </row>
        <row r="2044">
          <cell r="C2044" t="str">
            <v>3689-RAS-Bank of Travelers Res</v>
          </cell>
          <cell r="H2044">
            <v>5030545</v>
          </cell>
          <cell r="AK2044" t="str">
            <v>Cristina Arechaga</v>
          </cell>
        </row>
        <row r="2045">
          <cell r="C2045" t="str">
            <v>FM_Hosting Services Amd 2</v>
          </cell>
          <cell r="H2045">
            <v>5024340</v>
          </cell>
          <cell r="AK2045" t="str">
            <v>Richard Rhodes</v>
          </cell>
        </row>
        <row r="2046">
          <cell r="C2046" t="str">
            <v>FrMc_Pricing Execution PM</v>
          </cell>
          <cell r="H2046">
            <v>5027680</v>
          </cell>
          <cell r="AK2046" t="str">
            <v>Sebastian Ekberg</v>
          </cell>
        </row>
        <row r="2047">
          <cell r="C2047" t="str">
            <v>18085-RAS-State Holding Compan</v>
          </cell>
          <cell r="H2047">
            <v>5030326</v>
          </cell>
          <cell r="AK2047" t="str">
            <v>Travis Peraza</v>
          </cell>
        </row>
        <row r="2048">
          <cell r="C2048" t="str">
            <v>MitUFJ_Affiliate Clearing P1</v>
          </cell>
          <cell r="H2048">
            <v>5027622</v>
          </cell>
          <cell r="AK2048" t="str">
            <v>George Black</v>
          </cell>
        </row>
        <row r="2049">
          <cell r="C2049" t="str">
            <v>Jeff_Dealogic PM Support Amd 2</v>
          </cell>
          <cell r="H2049">
            <v>5026513</v>
          </cell>
          <cell r="AK2049" t="str">
            <v>DELETED USER</v>
          </cell>
        </row>
        <row r="2050">
          <cell r="C2050" t="str">
            <v>UB_Fin Bk&amp;FinCtr (Tahoe) CO12</v>
          </cell>
          <cell r="H2050">
            <v>5016861</v>
          </cell>
          <cell r="AK2050" t="str">
            <v>Samuel Awsumb</v>
          </cell>
        </row>
        <row r="2051">
          <cell r="C2051" t="str">
            <v>FrMc_CRT PMO AMD 2</v>
          </cell>
          <cell r="H2051">
            <v>5027288</v>
          </cell>
          <cell r="AK2051" t="str">
            <v>Bharath Chikkamaranahalli Bhaskar</v>
          </cell>
        </row>
        <row r="2052">
          <cell r="C2052" t="str">
            <v>TrustCoBank-CCO &amp; CRO Consult</v>
          </cell>
          <cell r="H2052">
            <v>5030031</v>
          </cell>
          <cell r="AK2052" t="str">
            <v>Eric Holmquist</v>
          </cell>
        </row>
        <row r="2053">
          <cell r="C2053" t="str">
            <v>MS Gladiator Op Mapping</v>
          </cell>
          <cell r="H2053">
            <v>5018358</v>
          </cell>
          <cell r="AK2053" t="str">
            <v>Iruka Brown</v>
          </cell>
        </row>
        <row r="2054">
          <cell r="C2054" t="str">
            <v>Sabadell-BSASystem Alt Revw</v>
          </cell>
          <cell r="H2054">
            <v>5029906</v>
          </cell>
          <cell r="AK2054" t="str">
            <v>Ginger Dahlin</v>
          </cell>
        </row>
        <row r="2055">
          <cell r="C2055" t="str">
            <v>ALIC DOL Phase 1 - Amd 2</v>
          </cell>
          <cell r="H2055">
            <v>5027058</v>
          </cell>
          <cell r="AK2055" t="str">
            <v>David Vasecka</v>
          </cell>
        </row>
        <row r="2056">
          <cell r="C2056" t="str">
            <v>FIS_Derivs Utility On-boarding</v>
          </cell>
          <cell r="H2056">
            <v>5027673</v>
          </cell>
          <cell r="AK2056" t="str">
            <v>George Black</v>
          </cell>
        </row>
        <row r="2057">
          <cell r="C2057" t="str">
            <v>RBC_Real Estate Loan Process</v>
          </cell>
          <cell r="H2057">
            <v>5027620</v>
          </cell>
          <cell r="AK2057" t="str">
            <v>Vince Forte</v>
          </cell>
        </row>
        <row r="2058">
          <cell r="C2058" t="str">
            <v>Mount Hope-CMSO</v>
          </cell>
          <cell r="H2058">
            <v>5029673</v>
          </cell>
          <cell r="AK2058" t="str">
            <v>Steve Manitzas</v>
          </cell>
        </row>
        <row r="2059">
          <cell r="C2059" t="str">
            <v>FrMc_LAS 2017</v>
          </cell>
          <cell r="H2059">
            <v>5027977</v>
          </cell>
          <cell r="AK2059" t="str">
            <v>Chinmoy Bhatiya</v>
          </cell>
        </row>
        <row r="2060">
          <cell r="C2060" t="str">
            <v>FIS I&amp;W - PlanView Imp PMO</v>
          </cell>
          <cell r="H2060">
            <v>5027453</v>
          </cell>
          <cell r="AK2060" t="str">
            <v>Janet Gray</v>
          </cell>
        </row>
        <row r="2061">
          <cell r="C2061" t="str">
            <v>MS_ISGPO_OCR_JBA</v>
          </cell>
          <cell r="H2061">
            <v>5027934</v>
          </cell>
          <cell r="AK2061" t="str">
            <v>Angela McGregor</v>
          </cell>
        </row>
        <row r="2062">
          <cell r="C2062" t="str">
            <v>Commercial-BSAAML AC</v>
          </cell>
          <cell r="H2062">
            <v>5029751</v>
          </cell>
          <cell r="AK2062" t="str">
            <v>Kristi Hegert</v>
          </cell>
        </row>
        <row r="2063">
          <cell r="C2063" t="str">
            <v>TrustCoBank-Staff Augmentation</v>
          </cell>
          <cell r="H2063">
            <v>5029865</v>
          </cell>
          <cell r="AK2063" t="str">
            <v>Laura Steer</v>
          </cell>
        </row>
        <row r="2064">
          <cell r="C2064" t="str">
            <v>BMO_Lending Data Amd 1</v>
          </cell>
          <cell r="H2064">
            <v>5027378</v>
          </cell>
          <cell r="AK2064" t="str">
            <v>Ramnish Gupta</v>
          </cell>
        </row>
        <row r="2065">
          <cell r="C2065" t="str">
            <v>2390-RAS-River Town Bank</v>
          </cell>
          <cell r="H2065">
            <v>5030449</v>
          </cell>
          <cell r="AK2065" t="str">
            <v>Cristina Arechaga</v>
          </cell>
        </row>
        <row r="2066">
          <cell r="C2066" t="str">
            <v>FrMc_CRT PMO</v>
          </cell>
          <cell r="H2066">
            <v>5027614</v>
          </cell>
          <cell r="AK2066" t="str">
            <v>Raj Konduru</v>
          </cell>
        </row>
        <row r="2067">
          <cell r="C2067" t="str">
            <v>Citi_InvServ_TechPMO</v>
          </cell>
          <cell r="H2067">
            <v>5027662</v>
          </cell>
          <cell r="AK2067" t="str">
            <v>Robert Norris</v>
          </cell>
        </row>
        <row r="2068">
          <cell r="C2068" t="str">
            <v>Amex_Product Sales Audit</v>
          </cell>
          <cell r="H2068">
            <v>5027627</v>
          </cell>
          <cell r="AK2068" t="str">
            <v>DELETED USER</v>
          </cell>
        </row>
        <row r="2069">
          <cell r="C2069" t="str">
            <v>Bloomberg Dash PM Ext.1</v>
          </cell>
          <cell r="H2069">
            <v>5027332</v>
          </cell>
          <cell r="AK2069" t="str">
            <v>Jeffrey Gheraldi</v>
          </cell>
        </row>
        <row r="2070">
          <cell r="C2070" t="str">
            <v>FrMc_SS Data Acquisition Amd 1</v>
          </cell>
          <cell r="H2070">
            <v>5027328</v>
          </cell>
          <cell r="AK2070" t="str">
            <v>Matt Markham</v>
          </cell>
        </row>
        <row r="2071">
          <cell r="C2071" t="str">
            <v>BMO Harris_Fin Reg Support</v>
          </cell>
          <cell r="H2071">
            <v>5027670</v>
          </cell>
          <cell r="AK2071" t="str">
            <v>Ramnish Gupta</v>
          </cell>
        </row>
        <row r="2072">
          <cell r="C2072" t="str">
            <v>UBS_CCAR Readiness</v>
          </cell>
          <cell r="H2072">
            <v>5027675</v>
          </cell>
          <cell r="AK2072" t="str">
            <v>DELETED USER</v>
          </cell>
        </row>
        <row r="2073">
          <cell r="C2073" t="str">
            <v>Investors-ERMC</v>
          </cell>
          <cell r="H2073">
            <v>5029632</v>
          </cell>
          <cell r="AK2073" t="str">
            <v>Allan Cuttle</v>
          </cell>
        </row>
        <row r="2074">
          <cell r="C2074" t="str">
            <v>Patriot FCU-MQC</v>
          </cell>
          <cell r="H2074">
            <v>5029652</v>
          </cell>
          <cell r="AK2074" t="str">
            <v>Juan Pimentel</v>
          </cell>
        </row>
        <row r="2075">
          <cell r="C2075" t="str">
            <v>FrMc_iUAT execution Amd 1</v>
          </cell>
          <cell r="H2075">
            <v>5026745</v>
          </cell>
          <cell r="AK2075" t="str">
            <v>Matt Markham</v>
          </cell>
        </row>
        <row r="2076">
          <cell r="C2076" t="str">
            <v>MS _CTB CCN003 Amd 1</v>
          </cell>
          <cell r="H2076">
            <v>5015156</v>
          </cell>
          <cell r="AK2076" t="str">
            <v>Angela McGregor</v>
          </cell>
        </row>
        <row r="2077">
          <cell r="C2077" t="str">
            <v>CDCo FLEX ext. close-out 2016</v>
          </cell>
          <cell r="H2077">
            <v>5025305</v>
          </cell>
          <cell r="AK2077" t="str">
            <v>Rahul Govada</v>
          </cell>
        </row>
        <row r="2078">
          <cell r="C2078" t="str">
            <v>3083-RAS-Bank of Commerce</v>
          </cell>
          <cell r="H2078">
            <v>5030510</v>
          </cell>
          <cell r="AK2078" t="str">
            <v>Cristina Arechaga</v>
          </cell>
        </row>
        <row r="2079">
          <cell r="C2079" t="str">
            <v>3384-RAS-Community Bank of San</v>
          </cell>
          <cell r="H2079">
            <v>5030527</v>
          </cell>
          <cell r="AK2079" t="str">
            <v>Cristina Arechaga</v>
          </cell>
        </row>
        <row r="2080">
          <cell r="C2080" t="str">
            <v>MS_GORR Reg Reporting Controls</v>
          </cell>
          <cell r="H2080">
            <v>5027760</v>
          </cell>
          <cell r="AK2080" t="str">
            <v>Angela McGregor</v>
          </cell>
        </row>
        <row r="2081">
          <cell r="C2081" t="str">
            <v>Eqty Comp Tech PM Ext.</v>
          </cell>
          <cell r="H2081">
            <v>5026921</v>
          </cell>
          <cell r="AK2081" t="str">
            <v>Jeffrey Gheraldi</v>
          </cell>
        </row>
        <row r="2082">
          <cell r="C2082" t="str">
            <v>MS_Wealth Platform Amd 1</v>
          </cell>
          <cell r="H2082">
            <v>5027468</v>
          </cell>
          <cell r="AK2082" t="str">
            <v>Orlin Jordanov</v>
          </cell>
        </row>
        <row r="2083">
          <cell r="C2083" t="str">
            <v>Putnam 1st Mercantile Bank_RAS</v>
          </cell>
          <cell r="H2083">
            <v>5039709</v>
          </cell>
          <cell r="AK2083" t="str">
            <v>Diane Banks</v>
          </cell>
        </row>
        <row r="2084">
          <cell r="C2084" t="str">
            <v>FIS_Alma Bank Interviews</v>
          </cell>
          <cell r="H2084">
            <v>5027771</v>
          </cell>
          <cell r="AK2084" t="str">
            <v>DELETED USER</v>
          </cell>
        </row>
        <row r="2085">
          <cell r="C2085" t="str">
            <v>FrMc_Loan Cov Insight Amd 2</v>
          </cell>
          <cell r="H2085">
            <v>5026104</v>
          </cell>
          <cell r="AK2085" t="str">
            <v>Aditya Udas</v>
          </cell>
        </row>
        <row r="2086">
          <cell r="C2086" t="str">
            <v>Jeff_OneJef PM SOW Ext. 6</v>
          </cell>
          <cell r="H2086">
            <v>5027840</v>
          </cell>
          <cell r="AK2086" t="str">
            <v>Mike Drews</v>
          </cell>
        </row>
        <row r="2087">
          <cell r="C2087" t="str">
            <v>GL_DOL Videos</v>
          </cell>
          <cell r="H2087">
            <v>5027943</v>
          </cell>
          <cell r="AK2087" t="str">
            <v>Jennifer Hsiung</v>
          </cell>
        </row>
        <row r="2088">
          <cell r="C2088" t="str">
            <v>Happy State Bank_RAS</v>
          </cell>
          <cell r="H2088">
            <v>5039670</v>
          </cell>
          <cell r="AK2088" t="str">
            <v>Travis Peraza</v>
          </cell>
        </row>
        <row r="2089">
          <cell r="C2089" t="str">
            <v>LAFinancial-MQC</v>
          </cell>
          <cell r="H2089">
            <v>5029649</v>
          </cell>
          <cell r="AK2089" t="str">
            <v>Cristina Arechaga</v>
          </cell>
        </row>
        <row r="2090">
          <cell r="C2090" t="str">
            <v>3169-RAS-WestAmerica Bank</v>
          </cell>
          <cell r="H2090">
            <v>5030520</v>
          </cell>
          <cell r="AK2090" t="str">
            <v>Cristina Arechaga</v>
          </cell>
        </row>
        <row r="2091">
          <cell r="C2091" t="str">
            <v>7302-RAS-Grant County Bank</v>
          </cell>
          <cell r="H2091">
            <v>5030626</v>
          </cell>
          <cell r="AK2091" t="str">
            <v>Cristina Arechaga</v>
          </cell>
        </row>
        <row r="2092">
          <cell r="C2092" t="str">
            <v>MS_ORC Reg PMO</v>
          </cell>
          <cell r="H2092">
            <v>5027921</v>
          </cell>
          <cell r="AK2092" t="str">
            <v>Angela McGregor</v>
          </cell>
        </row>
        <row r="2093">
          <cell r="C2093" t="str">
            <v>BarCap_PB-Equity Finance MTM</v>
          </cell>
          <cell r="H2093">
            <v>5027768</v>
          </cell>
          <cell r="AK2093" t="str">
            <v>DELETED USER</v>
          </cell>
        </row>
        <row r="2094">
          <cell r="C2094" t="str">
            <v>NT_GFS robotics p1</v>
          </cell>
          <cell r="H2094">
            <v>5027916</v>
          </cell>
          <cell r="AK2094" t="str">
            <v>DELETED USER</v>
          </cell>
        </row>
        <row r="2095">
          <cell r="C2095" t="str">
            <v>MS_DOL Program Execution</v>
          </cell>
          <cell r="H2095">
            <v>5027829</v>
          </cell>
          <cell r="AK2095" t="str">
            <v>Phil Kerkel</v>
          </cell>
        </row>
        <row r="2096">
          <cell r="C2096" t="str">
            <v>Jeff_Geneva Impl. Ext. 3</v>
          </cell>
          <cell r="H2096">
            <v>5026218</v>
          </cell>
          <cell r="AK2096" t="str">
            <v>Chelsea Mattias</v>
          </cell>
        </row>
        <row r="2097">
          <cell r="C2097" t="str">
            <v>WF_ORA Program Delivery 17</v>
          </cell>
          <cell r="H2097">
            <v>5027918</v>
          </cell>
          <cell r="AK2097" t="str">
            <v>Elizabeth Allen</v>
          </cell>
        </row>
        <row r="2098">
          <cell r="C2098" t="str">
            <v>9917-RAS-Happy State Bank</v>
          </cell>
          <cell r="H2098">
            <v>5030772</v>
          </cell>
          <cell r="AK2098" t="str">
            <v>Cristina Arechaga</v>
          </cell>
        </row>
        <row r="2099">
          <cell r="C2099" t="str">
            <v>MS Gladiator Finance Dec 2016</v>
          </cell>
          <cell r="H2099">
            <v>5018358</v>
          </cell>
          <cell r="AK2099" t="str">
            <v>Iruka Brown</v>
          </cell>
        </row>
        <row r="2100">
          <cell r="C2100" t="str">
            <v>Home FSB-MQC</v>
          </cell>
          <cell r="H2100">
            <v>5029588</v>
          </cell>
          <cell r="AK2100" t="str">
            <v>Juan Pimentel</v>
          </cell>
        </row>
        <row r="2101">
          <cell r="C2101" t="str">
            <v>GS_Tax Platform Redesign AMD 1</v>
          </cell>
          <cell r="H2101">
            <v>5025082</v>
          </cell>
          <cell r="AK2101" t="str">
            <v>Bill Mollica</v>
          </cell>
        </row>
        <row r="2102">
          <cell r="C2102" t="str">
            <v>SSBO - Strategy ISG Ext.4</v>
          </cell>
          <cell r="H2102">
            <v>5015156</v>
          </cell>
          <cell r="AK2102" t="str">
            <v>Angela McGregor</v>
          </cell>
        </row>
        <row r="2103">
          <cell r="C2103" t="str">
            <v>MS_Wealth Platform Amd 2</v>
          </cell>
          <cell r="H2103">
            <v>5027468</v>
          </cell>
          <cell r="AK2103" t="str">
            <v>Orlin Jordanov</v>
          </cell>
        </row>
        <row r="2104">
          <cell r="C2104" t="str">
            <v>MS_CAP_PMO</v>
          </cell>
          <cell r="H2104">
            <v>5027838</v>
          </cell>
          <cell r="AK2104" t="str">
            <v>Angela McGregor</v>
          </cell>
        </row>
        <row r="2105">
          <cell r="C2105" t="str">
            <v>OFAC - CTB ISG Ext. 3</v>
          </cell>
          <cell r="H2105">
            <v>5015156</v>
          </cell>
          <cell r="AK2105" t="str">
            <v>Angela McGregor</v>
          </cell>
        </row>
        <row r="2106">
          <cell r="C2106" t="str">
            <v>SS - MBS APP Amd 2</v>
          </cell>
          <cell r="H2106">
            <v>5027328</v>
          </cell>
          <cell r="AK2106" t="str">
            <v>Matt Markham</v>
          </cell>
        </row>
        <row r="2107">
          <cell r="C2107" t="str">
            <v>MS_Digital Wealth PMO Amd 3</v>
          </cell>
          <cell r="H2107">
            <v>5027468</v>
          </cell>
          <cell r="AK2107" t="str">
            <v>Orlin Jordanov</v>
          </cell>
        </row>
        <row r="2108">
          <cell r="C2108" t="str">
            <v>Provident State Bank_RAS</v>
          </cell>
          <cell r="H2108">
            <v>5039708</v>
          </cell>
          <cell r="AK2108" t="str">
            <v>Travis Peraza</v>
          </cell>
        </row>
        <row r="2109">
          <cell r="C2109" t="str">
            <v>FM_Hosting Services Amd 3</v>
          </cell>
          <cell r="H2109">
            <v>5024340</v>
          </cell>
          <cell r="AK2109" t="str">
            <v>Richard Rhodes</v>
          </cell>
        </row>
        <row r="2110">
          <cell r="C2110" t="str">
            <v>11778-RAS-Provident State Bank</v>
          </cell>
          <cell r="H2110">
            <v>5030851</v>
          </cell>
          <cell r="AK2110" t="str">
            <v>Cristina Arechaga</v>
          </cell>
        </row>
        <row r="2111">
          <cell r="C2111" t="str">
            <v>Watertown-CMSO</v>
          </cell>
          <cell r="H2111">
            <v>5029641</v>
          </cell>
          <cell r="AK2111" t="str">
            <v>Jamar Green</v>
          </cell>
        </row>
        <row r="2112">
          <cell r="C2112" t="str">
            <v>Cecil Bank-CMSO</v>
          </cell>
          <cell r="H2112">
            <v>5029658</v>
          </cell>
          <cell r="AK2112" t="str">
            <v>Steve Manitzas</v>
          </cell>
        </row>
        <row r="2113">
          <cell r="C2113" t="str">
            <v>Audubon-Compliance Admin</v>
          </cell>
          <cell r="H2113">
            <v>5029782</v>
          </cell>
          <cell r="AK2113" t="str">
            <v>Bonita Riccaboni</v>
          </cell>
        </row>
        <row r="2114">
          <cell r="C2114" t="str">
            <v>Franklin-Compliance Admin</v>
          </cell>
          <cell r="H2114">
            <v>5029533</v>
          </cell>
          <cell r="AK2114" t="str">
            <v>Lorraine Williams</v>
          </cell>
        </row>
        <row r="2115">
          <cell r="C2115" t="str">
            <v>68193-RAS-National Credit Unio</v>
          </cell>
          <cell r="H2115">
            <v>5030391</v>
          </cell>
          <cell r="AK2115" t="str">
            <v>Cristina Arechaga</v>
          </cell>
        </row>
        <row r="2116">
          <cell r="C2116" t="str">
            <v>River Oaks-Compliance Audits</v>
          </cell>
          <cell r="H2116">
            <v>5029952</v>
          </cell>
          <cell r="AK2116" t="str">
            <v>DELETED USER</v>
          </cell>
        </row>
        <row r="2117">
          <cell r="C2117" t="str">
            <v>Farmers-Compliance Admin-RAS</v>
          </cell>
          <cell r="H2117">
            <v>5029928</v>
          </cell>
          <cell r="AK2117" t="str">
            <v>Steve Manitzas</v>
          </cell>
        </row>
        <row r="2118">
          <cell r="C2118" t="str">
            <v>Landmark-Audit Serv &amp; Train</v>
          </cell>
          <cell r="H2118">
            <v>5029901</v>
          </cell>
          <cell r="AK2118" t="str">
            <v>DELETED USER</v>
          </cell>
        </row>
        <row r="2119">
          <cell r="C2119" t="str">
            <v>South Shore-CMSO</v>
          </cell>
          <cell r="H2119">
            <v>5029719</v>
          </cell>
          <cell r="AK2119" t="str">
            <v>Laura Steer</v>
          </cell>
        </row>
        <row r="2120">
          <cell r="C2120" t="str">
            <v>ShoreUnited-CMSO</v>
          </cell>
          <cell r="H2120">
            <v>5029718</v>
          </cell>
          <cell r="AK2120" t="str">
            <v>Steve Manitzas</v>
          </cell>
        </row>
        <row r="2121">
          <cell r="C2121" t="str">
            <v>Cape Cod 5c-CMSO</v>
          </cell>
          <cell r="H2121">
            <v>5029691</v>
          </cell>
          <cell r="AK2121" t="str">
            <v>Leigh Tribou</v>
          </cell>
        </row>
        <row r="2122">
          <cell r="C2122" t="str">
            <v>Dime Bank-CMSO</v>
          </cell>
          <cell r="H2122">
            <v>5029626</v>
          </cell>
          <cell r="AK2122" t="str">
            <v>Gail Rassler</v>
          </cell>
        </row>
        <row r="2123">
          <cell r="C2123" t="str">
            <v>MCNB Bank-Compliance Admin</v>
          </cell>
          <cell r="H2123">
            <v>5029555</v>
          </cell>
          <cell r="AK2123" t="str">
            <v>Steve Manitzas</v>
          </cell>
        </row>
        <row r="2124">
          <cell r="C2124" t="str">
            <v>PeapackGlad-Compl Admin-RAS</v>
          </cell>
          <cell r="H2124">
            <v>5029904</v>
          </cell>
          <cell r="AK2124" t="str">
            <v>John Eshoo</v>
          </cell>
        </row>
        <row r="2125">
          <cell r="C2125" t="str">
            <v>NatCUA-TCC</v>
          </cell>
          <cell r="H2125">
            <v>5031233</v>
          </cell>
          <cell r="AK2125" t="str">
            <v>Diane Banks</v>
          </cell>
        </row>
        <row r="2126">
          <cell r="C2126" t="str">
            <v>Har Co MD-CMSO</v>
          </cell>
          <cell r="H2126">
            <v>5029628</v>
          </cell>
          <cell r="AK2126" t="str">
            <v>W. Annette Dredden</v>
          </cell>
        </row>
        <row r="2127">
          <cell r="C2127" t="str">
            <v>Harbor MD-CMSO</v>
          </cell>
          <cell r="H2127">
            <v>5029629</v>
          </cell>
          <cell r="AK2127" t="str">
            <v>W. Annette Dredden</v>
          </cell>
        </row>
        <row r="2128">
          <cell r="C2128" t="str">
            <v>ICB China-CMSO 17</v>
          </cell>
          <cell r="H2128">
            <v>5029630</v>
          </cell>
          <cell r="AK2128" t="str">
            <v>DELETED USER</v>
          </cell>
        </row>
        <row r="2129">
          <cell r="C2129" t="str">
            <v>Harvard-CMSO</v>
          </cell>
          <cell r="H2129">
            <v>5029597</v>
          </cell>
          <cell r="AK2129" t="str">
            <v>Laura Steer</v>
          </cell>
        </row>
        <row r="2130">
          <cell r="C2130" t="str">
            <v>Noah Bank-CMSO</v>
          </cell>
          <cell r="H2130">
            <v>5029636</v>
          </cell>
          <cell r="AK2130" t="str">
            <v>Patti Harrison</v>
          </cell>
        </row>
        <row r="2131">
          <cell r="C2131" t="str">
            <v>PS Bank-CMSO</v>
          </cell>
          <cell r="H2131">
            <v>5029601</v>
          </cell>
          <cell r="AK2131" t="str">
            <v>Gail Rassler</v>
          </cell>
        </row>
        <row r="2132">
          <cell r="C2132" t="str">
            <v>Envision-CMSO</v>
          </cell>
          <cell r="H2132">
            <v>5029611</v>
          </cell>
          <cell r="AK2132" t="str">
            <v>Leigh Tribou</v>
          </cell>
        </row>
        <row r="2133">
          <cell r="C2133" t="str">
            <v>MainStreet-CMSO</v>
          </cell>
          <cell r="H2133">
            <v>5029670</v>
          </cell>
          <cell r="AK2133" t="str">
            <v>DELETED USER</v>
          </cell>
        </row>
        <row r="2134">
          <cell r="C2134" t="str">
            <v>DC Teachers-CMSO</v>
          </cell>
          <cell r="H2134">
            <v>5029699</v>
          </cell>
          <cell r="AK2134" t="str">
            <v>W. Annette Dredden</v>
          </cell>
        </row>
        <row r="2135">
          <cell r="C2135" t="str">
            <v>Leader Bank-CMSO</v>
          </cell>
          <cell r="H2135">
            <v>5029707</v>
          </cell>
          <cell r="AK2135" t="str">
            <v>Jamar Green</v>
          </cell>
        </row>
        <row r="2136">
          <cell r="C2136" t="str">
            <v>PatriotBank-CMSO</v>
          </cell>
          <cell r="H2136">
            <v>5029716</v>
          </cell>
          <cell r="AK2136" t="str">
            <v>DELETED USER</v>
          </cell>
        </row>
        <row r="2137">
          <cell r="C2137" t="str">
            <v>St Casimirs-CMSO</v>
          </cell>
          <cell r="H2137">
            <v>5029720</v>
          </cell>
          <cell r="AK2137" t="str">
            <v>W. Annette Dredden</v>
          </cell>
        </row>
        <row r="2138">
          <cell r="C2138" t="str">
            <v>BoilingSpring-CMSO</v>
          </cell>
          <cell r="H2138">
            <v>5029735</v>
          </cell>
          <cell r="AK2138" t="str">
            <v>Patti Harrison</v>
          </cell>
        </row>
        <row r="2139">
          <cell r="C2139" t="str">
            <v>Country NY-CMSO</v>
          </cell>
          <cell r="H2139">
            <v>5029662</v>
          </cell>
          <cell r="AK2139" t="str">
            <v>John Eshoo</v>
          </cell>
        </row>
        <row r="2140">
          <cell r="C2140" t="str">
            <v>Avidia Bank-CMSO</v>
          </cell>
          <cell r="H2140">
            <v>5029683</v>
          </cell>
          <cell r="AK2140" t="str">
            <v>Laura Steer</v>
          </cell>
        </row>
        <row r="2141">
          <cell r="C2141" t="str">
            <v>First State-CMSO</v>
          </cell>
          <cell r="H2141">
            <v>5029702</v>
          </cell>
          <cell r="AK2141" t="str">
            <v>Steve Manitzas</v>
          </cell>
        </row>
        <row r="2142">
          <cell r="C2142" t="str">
            <v>Carroll Community-CMSO</v>
          </cell>
          <cell r="H2142">
            <v>5029763</v>
          </cell>
          <cell r="AK2142" t="str">
            <v>W. Annette Dredden</v>
          </cell>
        </row>
        <row r="2143">
          <cell r="C2143" t="str">
            <v>Parkersburg-CMSO</v>
          </cell>
          <cell r="H2143">
            <v>5029715</v>
          </cell>
          <cell r="AK2143" t="str">
            <v>Jeanette Wampler</v>
          </cell>
        </row>
        <row r="2144">
          <cell r="C2144" t="str">
            <v>Millennium-Monitoring Reviews</v>
          </cell>
          <cell r="H2144">
            <v>5029997</v>
          </cell>
          <cell r="AK2144" t="str">
            <v>Patti Harrison</v>
          </cell>
        </row>
        <row r="2145">
          <cell r="C2145" t="str">
            <v>Boston Comm-Compliance Support</v>
          </cell>
          <cell r="H2145">
            <v>5029801</v>
          </cell>
          <cell r="AK2145" t="str">
            <v>Juan Pimentel</v>
          </cell>
        </row>
        <row r="2146">
          <cell r="C2146" t="str">
            <v>CapitalB NA-Compl Mon&amp; RegAwns</v>
          </cell>
          <cell r="H2146">
            <v>5029805</v>
          </cell>
          <cell r="AK2146" t="str">
            <v>Jeanette Wampler</v>
          </cell>
        </row>
        <row r="2147">
          <cell r="C2147" t="str">
            <v>CountyFirst-Compl Rvws&amp;Consult</v>
          </cell>
          <cell r="H2147">
            <v>5029822</v>
          </cell>
          <cell r="AK2147" t="str">
            <v>DELETED USER</v>
          </cell>
        </row>
        <row r="2148">
          <cell r="C2148" t="str">
            <v>Lusitania-CMSE</v>
          </cell>
          <cell r="H2148">
            <v>5029634</v>
          </cell>
          <cell r="AK2148" t="str">
            <v>Lois Baxter</v>
          </cell>
        </row>
        <row r="2149">
          <cell r="C2149" t="str">
            <v>Midstate CB-Compliance Monitor</v>
          </cell>
          <cell r="H2149">
            <v>5029845</v>
          </cell>
          <cell r="AK2149" t="str">
            <v>W. Annette Dredden</v>
          </cell>
        </row>
        <row r="2150">
          <cell r="C2150" t="str">
            <v>AmerBusBank-Compliance Admin</v>
          </cell>
          <cell r="H2150">
            <v>5029913</v>
          </cell>
          <cell r="AK2150" t="str">
            <v>Jason Spelliscy</v>
          </cell>
        </row>
        <row r="2151">
          <cell r="C2151" t="str">
            <v>Sabadell-Compl Monitor Support</v>
          </cell>
          <cell r="H2151">
            <v>5029861</v>
          </cell>
          <cell r="AK2151" t="str">
            <v>Anna Proleika</v>
          </cell>
        </row>
        <row r="2152">
          <cell r="C2152" t="str">
            <v>MidCoast-CMSO</v>
          </cell>
          <cell r="H2152">
            <v>5029610</v>
          </cell>
          <cell r="AK2152" t="str">
            <v>Steve Manitzas</v>
          </cell>
        </row>
        <row r="2153">
          <cell r="C2153" t="str">
            <v>Texas Cap-RCM</v>
          </cell>
          <cell r="H2153">
            <v>5029614</v>
          </cell>
          <cell r="AK2153" t="str">
            <v>Leah Robinson</v>
          </cell>
        </row>
        <row r="2154">
          <cell r="C2154" t="str">
            <v>Dean Co-Op-CMSO</v>
          </cell>
          <cell r="H2154">
            <v>5029663</v>
          </cell>
          <cell r="AK2154" t="str">
            <v>Leigh Tribou</v>
          </cell>
        </row>
        <row r="2155">
          <cell r="C2155" t="str">
            <v>1st Capital-Compliance Admin</v>
          </cell>
          <cell r="H2155">
            <v>5029909</v>
          </cell>
          <cell r="AK2155" t="str">
            <v>Brigitte Howorko</v>
          </cell>
        </row>
        <row r="2156">
          <cell r="C2156" t="str">
            <v>Mount Dora-CMSO</v>
          </cell>
          <cell r="H2156">
            <v>5029672</v>
          </cell>
          <cell r="AK2156" t="str">
            <v>Louvera Walden</v>
          </cell>
        </row>
        <row r="2157">
          <cell r="C2157" t="str">
            <v>Citizens FL-Compliance Admin</v>
          </cell>
          <cell r="H2157">
            <v>5029923</v>
          </cell>
          <cell r="AK2157" t="str">
            <v>Anna Proleika</v>
          </cell>
        </row>
        <row r="2158">
          <cell r="C2158" t="str">
            <v>Citizens WV-Compliance Admin</v>
          </cell>
          <cell r="H2158">
            <v>5029924</v>
          </cell>
          <cell r="AK2158" t="str">
            <v>Jeanette Wampler</v>
          </cell>
        </row>
        <row r="2159">
          <cell r="C2159" t="str">
            <v>FinancialR-Compl Mon&amp;Consult</v>
          </cell>
          <cell r="H2159">
            <v>5029929</v>
          </cell>
          <cell r="AK2159" t="str">
            <v>Patti Harrison</v>
          </cell>
        </row>
        <row r="2160">
          <cell r="C2160" t="str">
            <v>Members 1st-CMSO</v>
          </cell>
          <cell r="H2160">
            <v>5029710</v>
          </cell>
          <cell r="AK2160" t="str">
            <v>Gail Rassler</v>
          </cell>
        </row>
        <row r="2161">
          <cell r="C2161" t="str">
            <v>Westchester-CMSO</v>
          </cell>
          <cell r="H2161">
            <v>5029723</v>
          </cell>
          <cell r="AK2161" t="str">
            <v>David Belfer</v>
          </cell>
        </row>
        <row r="2162">
          <cell r="C2162" t="str">
            <v>NJCommunity-Compliance Admin</v>
          </cell>
          <cell r="H2162">
            <v>5029950</v>
          </cell>
          <cell r="AK2162" t="str">
            <v>DELETED USER</v>
          </cell>
        </row>
        <row r="2163">
          <cell r="C2163" t="str">
            <v>Plumas Bank-Compliance Admin</v>
          </cell>
          <cell r="H2163">
            <v>5029951</v>
          </cell>
          <cell r="AK2163" t="str">
            <v>Elizabeth Jablonski</v>
          </cell>
        </row>
        <row r="2164">
          <cell r="C2164" t="str">
            <v>Farmers FL-Compliance Reviews</v>
          </cell>
          <cell r="H2164">
            <v>5029984</v>
          </cell>
          <cell r="AK2164" t="str">
            <v>DELETED USER</v>
          </cell>
        </row>
        <row r="2165">
          <cell r="C2165" t="str">
            <v>Texas Nat-Internal Audit</v>
          </cell>
          <cell r="H2165">
            <v>5029796</v>
          </cell>
          <cell r="AK2165" t="str">
            <v>Mary Louise Radley</v>
          </cell>
        </row>
        <row r="2166">
          <cell r="C2166" t="str">
            <v>Malaga Bank-RMSC BSAAML-AltClr</v>
          </cell>
          <cell r="H2166">
            <v>5029844</v>
          </cell>
          <cell r="AK2166" t="str">
            <v>Chintan Patel</v>
          </cell>
        </row>
        <row r="2167">
          <cell r="C2167" t="str">
            <v>Business1st-Compl Audits_Rvw</v>
          </cell>
          <cell r="H2167">
            <v>5029860</v>
          </cell>
          <cell r="AK2167" t="str">
            <v>Mary Louise Radley</v>
          </cell>
        </row>
        <row r="2168">
          <cell r="C2168" t="str">
            <v>Martha's VY-CMSO</v>
          </cell>
          <cell r="H2168">
            <v>5029709</v>
          </cell>
          <cell r="AK2168" t="str">
            <v>Leigh Tribou</v>
          </cell>
        </row>
        <row r="2169">
          <cell r="C2169" t="str">
            <v>Danbury-Compliance Consulting</v>
          </cell>
          <cell r="H2169">
            <v>5029981</v>
          </cell>
          <cell r="AK2169" t="str">
            <v>Mariana Dumanovsky</v>
          </cell>
        </row>
        <row r="2170">
          <cell r="C2170" t="str">
            <v>Peoples Bank NA_RAS</v>
          </cell>
          <cell r="H2170">
            <v>5039703</v>
          </cell>
          <cell r="AK2170" t="str">
            <v>Diane Banks</v>
          </cell>
        </row>
        <row r="2171">
          <cell r="C2171" t="str">
            <v>MS_ORD 2017</v>
          </cell>
          <cell r="H2171">
            <v>5027913</v>
          </cell>
          <cell r="AK2171" t="str">
            <v>Dan Schutzman</v>
          </cell>
        </row>
        <row r="2172">
          <cell r="C2172" t="str">
            <v>Woodlands Bank_RAS</v>
          </cell>
          <cell r="H2172">
            <v>5039746</v>
          </cell>
          <cell r="AK2172" t="str">
            <v>Diane Banks</v>
          </cell>
        </row>
        <row r="2173">
          <cell r="C2173" t="str">
            <v>FNB Bank-Compl Monitor/RAS</v>
          </cell>
          <cell r="H2173">
            <v>5029550</v>
          </cell>
          <cell r="AK2173" t="str">
            <v>Jeanette Wampler</v>
          </cell>
        </row>
        <row r="2174">
          <cell r="C2174" t="str">
            <v>NuVisionFCU-CMSO</v>
          </cell>
          <cell r="H2174">
            <v>5029714</v>
          </cell>
          <cell r="AK2174" t="str">
            <v>Mary Louise Radley</v>
          </cell>
        </row>
        <row r="2175">
          <cell r="C2175" t="str">
            <v>NorthEastCB-CMSO</v>
          </cell>
          <cell r="H2175">
            <v>5029713</v>
          </cell>
          <cell r="AK2175" t="str">
            <v>David Belfer</v>
          </cell>
        </row>
        <row r="2176">
          <cell r="C2176" t="str">
            <v>Guardians-CMSO</v>
          </cell>
          <cell r="H2176">
            <v>5029552</v>
          </cell>
          <cell r="AK2176" t="str">
            <v>Anna Proleika</v>
          </cell>
        </row>
        <row r="2177">
          <cell r="C2177" t="str">
            <v>Marshall-CMSO</v>
          </cell>
          <cell r="H2177">
            <v>5029609</v>
          </cell>
          <cell r="AK2177" t="str">
            <v>Steve Manitzas</v>
          </cell>
        </row>
        <row r="2178">
          <cell r="C2178" t="str">
            <v>CommunityDL-CMSO</v>
          </cell>
          <cell r="H2178">
            <v>5029696</v>
          </cell>
          <cell r="AK2178" t="str">
            <v>Gail Rassler</v>
          </cell>
        </row>
        <row r="2179">
          <cell r="C2179" t="str">
            <v>LAFinancial-CMSO</v>
          </cell>
          <cell r="H2179">
            <v>5029706</v>
          </cell>
          <cell r="AK2179" t="str">
            <v>Brigitte Howorko</v>
          </cell>
        </row>
        <row r="2180">
          <cell r="C2180" t="str">
            <v>Rosedale-Compl Mon&amp;Consult</v>
          </cell>
          <cell r="H2180">
            <v>5029558</v>
          </cell>
          <cell r="AK2180" t="str">
            <v>W. Annette Dredden</v>
          </cell>
        </row>
        <row r="2181">
          <cell r="C2181" t="str">
            <v>MS_Gladiator 2017</v>
          </cell>
          <cell r="H2181">
            <v>5027915</v>
          </cell>
          <cell r="AK2181" t="str">
            <v>Dan Schutzman</v>
          </cell>
        </row>
        <row r="2182">
          <cell r="C2182" t="str">
            <v>Achieva-BSA IT</v>
          </cell>
          <cell r="H2182">
            <v>5029621</v>
          </cell>
          <cell r="AK2182" t="str">
            <v>Anna Proleika</v>
          </cell>
        </row>
        <row r="2183">
          <cell r="C2183" t="str">
            <v>Habib-CMSO</v>
          </cell>
          <cell r="H2183">
            <v>5029580</v>
          </cell>
        </row>
        <row r="2184">
          <cell r="C2184" t="str">
            <v>Argent FCU-CMSO</v>
          </cell>
          <cell r="H2184">
            <v>5029656</v>
          </cell>
          <cell r="AK2184" t="str">
            <v>Steve Manitzas</v>
          </cell>
        </row>
        <row r="2185">
          <cell r="C2185" t="str">
            <v>Delmarva-CMSO</v>
          </cell>
          <cell r="H2185">
            <v>5029606</v>
          </cell>
          <cell r="AK2185" t="str">
            <v>Steve Manitzas</v>
          </cell>
        </row>
        <row r="2186">
          <cell r="C2186" t="str">
            <v>Sanibel Captiva Community _RAS</v>
          </cell>
          <cell r="H2186">
            <v>5039720</v>
          </cell>
          <cell r="AK2186" t="str">
            <v>Diane Banks</v>
          </cell>
        </row>
        <row r="2187">
          <cell r="C2187" t="str">
            <v>1stRichmond-MQC</v>
          </cell>
          <cell r="H2187">
            <v>5029643</v>
          </cell>
          <cell r="AK2187" t="str">
            <v>Keith Cole</v>
          </cell>
        </row>
        <row r="2188">
          <cell r="C2188" t="str">
            <v>Chesapeake-CMSO</v>
          </cell>
          <cell r="H2188">
            <v>5029659</v>
          </cell>
          <cell r="AK2188" t="str">
            <v>W. Annette Dredden</v>
          </cell>
        </row>
        <row r="2189">
          <cell r="C2189" t="str">
            <v>1stExchange-CMSO</v>
          </cell>
          <cell r="H2189">
            <v>5029680</v>
          </cell>
          <cell r="AK2189" t="str">
            <v>Jeanette Wampler</v>
          </cell>
        </row>
        <row r="2190">
          <cell r="C2190" t="str">
            <v>Queensborough National Ban_RAS</v>
          </cell>
          <cell r="H2190">
            <v>5039711</v>
          </cell>
          <cell r="AK2190" t="str">
            <v>Travis Peraza</v>
          </cell>
        </row>
        <row r="2191">
          <cell r="C2191" t="str">
            <v>1880 Bank-CMSO</v>
          </cell>
          <cell r="H2191">
            <v>5029620</v>
          </cell>
          <cell r="AK2191" t="str">
            <v>DELETED USER</v>
          </cell>
        </row>
        <row r="2192">
          <cell r="C2192" t="str">
            <v>B of Monroe-CMSO</v>
          </cell>
          <cell r="H2192">
            <v>5029684</v>
          </cell>
          <cell r="AK2192" t="str">
            <v>Steve Manitzas</v>
          </cell>
        </row>
        <row r="2193">
          <cell r="C2193" t="str">
            <v>Charlestown-CMSO</v>
          </cell>
          <cell r="H2193">
            <v>5029693</v>
          </cell>
          <cell r="AK2193" t="str">
            <v>Kristina Slattery</v>
          </cell>
        </row>
        <row r="2194">
          <cell r="C2194" t="str">
            <v>CalhounBank-CMSO</v>
          </cell>
          <cell r="H2194">
            <v>5029690</v>
          </cell>
          <cell r="AK2194" t="str">
            <v>Steve Manitzas</v>
          </cell>
        </row>
        <row r="2195">
          <cell r="C2195" t="str">
            <v>BerkshireMA-CMSO</v>
          </cell>
          <cell r="H2195">
            <v>5029686</v>
          </cell>
          <cell r="AK2195" t="str">
            <v>Laura Steer</v>
          </cell>
        </row>
        <row r="2196">
          <cell r="C2196" t="str">
            <v>FidelityDDB-Compliance Audits</v>
          </cell>
          <cell r="H2196">
            <v>5029985</v>
          </cell>
          <cell r="AK2196" t="str">
            <v>Gail Rassler</v>
          </cell>
        </row>
        <row r="2197">
          <cell r="C2197" t="str">
            <v>Century BTC-CMSO</v>
          </cell>
          <cell r="H2197">
            <v>5029692</v>
          </cell>
          <cell r="AK2197" t="str">
            <v>Pamela Acciardo</v>
          </cell>
        </row>
        <row r="2198">
          <cell r="C2198" t="str">
            <v>Unified-Compl Monitor Support</v>
          </cell>
          <cell r="H2198">
            <v>5029813</v>
          </cell>
          <cell r="AK2198" t="str">
            <v>Kristina Slattery</v>
          </cell>
        </row>
        <row r="2199">
          <cell r="C2199" t="str">
            <v>Delanco FSB-Compliance Admin</v>
          </cell>
          <cell r="H2199">
            <v>5029926</v>
          </cell>
          <cell r="AK2199" t="str">
            <v>Bonita Riccaboni</v>
          </cell>
        </row>
        <row r="2200">
          <cell r="C2200" t="str">
            <v>Gold Coast-CMSO</v>
          </cell>
          <cell r="H2200">
            <v>5029667</v>
          </cell>
          <cell r="AK2200" t="str">
            <v>John Eshoo</v>
          </cell>
        </row>
        <row r="2201">
          <cell r="C2201" t="str">
            <v>Century BTC-Cybersec Analyst</v>
          </cell>
          <cell r="H2201">
            <v>5029921</v>
          </cell>
          <cell r="AK2201" t="str">
            <v>David Lott</v>
          </cell>
        </row>
        <row r="2202">
          <cell r="C2202" t="str">
            <v>Middletown-CMSE</v>
          </cell>
          <cell r="H2202">
            <v>5029671</v>
          </cell>
          <cell r="AK2202" t="str">
            <v>Steve Manitzas</v>
          </cell>
        </row>
        <row r="2203">
          <cell r="C2203" t="str">
            <v>1st Absecon-CMSO</v>
          </cell>
          <cell r="H2203">
            <v>5029679</v>
          </cell>
          <cell r="AK2203" t="str">
            <v>Elizabeth Rozsa</v>
          </cell>
        </row>
        <row r="2204">
          <cell r="C2204" t="str">
            <v>BucksCounty-CMSO</v>
          </cell>
          <cell r="H2204">
            <v>5029689</v>
          </cell>
          <cell r="AK2204" t="str">
            <v>Bonita Riccaboni</v>
          </cell>
        </row>
        <row r="2205">
          <cell r="C2205" t="str">
            <v>Alma Bank-Cybersec Consult</v>
          </cell>
          <cell r="H2205">
            <v>5029542</v>
          </cell>
          <cell r="AK2205" t="str">
            <v>William Gienke</v>
          </cell>
        </row>
        <row r="2206">
          <cell r="C2206" t="str">
            <v>Direct FCU-Compl Monitor-RAS</v>
          </cell>
          <cell r="H2206">
            <v>5029927</v>
          </cell>
          <cell r="AK2206" t="str">
            <v>Leigh Tribou</v>
          </cell>
        </row>
        <row r="2207">
          <cell r="C2207" t="str">
            <v>Monument PA-Compliance Admin</v>
          </cell>
          <cell r="H2207">
            <v>5029948</v>
          </cell>
          <cell r="AK2207" t="str">
            <v>Gail Rassler</v>
          </cell>
        </row>
        <row r="2208">
          <cell r="C2208" t="str">
            <v>Middlesex-Compliance Consult</v>
          </cell>
          <cell r="H2208">
            <v>5029946</v>
          </cell>
          <cell r="AK2208" t="str">
            <v>Laura Steer</v>
          </cell>
        </row>
        <row r="2209">
          <cell r="C2209" t="str">
            <v>Fayette-Compliance Admin</v>
          </cell>
          <cell r="H2209">
            <v>5029786</v>
          </cell>
          <cell r="AK2209" t="str">
            <v>Jeanette Wampler</v>
          </cell>
        </row>
        <row r="2210">
          <cell r="C2210" t="str">
            <v>Capital NJ-CMSO</v>
          </cell>
          <cell r="H2210">
            <v>5029657</v>
          </cell>
          <cell r="AK2210" t="str">
            <v>Bonita Riccaboni</v>
          </cell>
        </row>
        <row r="2211">
          <cell r="C2211" t="str">
            <v>Reading-Compliance Consulting</v>
          </cell>
          <cell r="H2211">
            <v>5030021</v>
          </cell>
          <cell r="AK2211" t="str">
            <v>Laura Steer</v>
          </cell>
        </row>
        <row r="2212">
          <cell r="C2212" t="str">
            <v>1stCapital-Compliance Audits</v>
          </cell>
          <cell r="H2212">
            <v>5029911</v>
          </cell>
          <cell r="AK2212" t="str">
            <v>Randall Patton</v>
          </cell>
        </row>
        <row r="2213">
          <cell r="C2213" t="str">
            <v>AllianceB&amp;T-Internal Audit 17</v>
          </cell>
          <cell r="H2213">
            <v>5029964</v>
          </cell>
          <cell r="AK2213" t="str">
            <v>Mary Louise Radley</v>
          </cell>
        </row>
        <row r="2214">
          <cell r="C2214" t="str">
            <v>Members 1st-ERMC</v>
          </cell>
          <cell r="H2214">
            <v>5029711</v>
          </cell>
          <cell r="AK2214" t="str">
            <v>Allan Cuttle</v>
          </cell>
        </row>
        <row r="2215">
          <cell r="C2215" t="str">
            <v>ChainBridge-Compliance Audits</v>
          </cell>
          <cell r="H2215">
            <v>5029975</v>
          </cell>
          <cell r="AK2215" t="str">
            <v>DELETED USER</v>
          </cell>
        </row>
        <row r="2216">
          <cell r="C2216" t="str">
            <v>Caixa Geral-Compliance Consult</v>
          </cell>
          <cell r="H2216">
            <v>5029802</v>
          </cell>
          <cell r="AK2216" t="str">
            <v>William Sachs</v>
          </cell>
        </row>
        <row r="2217">
          <cell r="C2217" t="str">
            <v>Piedmont-MQC</v>
          </cell>
          <cell r="H2217">
            <v>5029590</v>
          </cell>
          <cell r="AK2217" t="str">
            <v>Cristina Arechaga</v>
          </cell>
        </row>
        <row r="2218">
          <cell r="C2218" t="str">
            <v>Malvern-Compliance Admin</v>
          </cell>
          <cell r="H2218">
            <v>5029791</v>
          </cell>
          <cell r="AK2218" t="str">
            <v>Gail Rassler</v>
          </cell>
        </row>
        <row r="2219">
          <cell r="C2219" t="str">
            <v>Arundel FSB-CMSO</v>
          </cell>
          <cell r="H2219">
            <v>5029682</v>
          </cell>
          <cell r="AK2219" t="str">
            <v>Steve Manitzas</v>
          </cell>
        </row>
        <row r="2220">
          <cell r="C2220" t="str">
            <v>Provident-CMSO</v>
          </cell>
          <cell r="H2220">
            <v>5029638</v>
          </cell>
          <cell r="AK2220" t="str">
            <v>W. Annette Dredden</v>
          </cell>
        </row>
        <row r="2221">
          <cell r="C2221" t="str">
            <v>Firefighter-Compl&amp;BSA Support</v>
          </cell>
          <cell r="H2221">
            <v>5029986</v>
          </cell>
          <cell r="AK2221" t="str">
            <v>Dennis Smith</v>
          </cell>
        </row>
        <row r="2222">
          <cell r="C2222" t="str">
            <v>ALIC_DOL Transformation</v>
          </cell>
          <cell r="H2222">
            <v>5027963</v>
          </cell>
          <cell r="AK2222" t="str">
            <v>Ripple Bhullar</v>
          </cell>
        </row>
        <row r="2223">
          <cell r="C2223" t="str">
            <v>WilliamPenn-CMSO</v>
          </cell>
          <cell r="H2223">
            <v>5029724</v>
          </cell>
          <cell r="AK2223" t="str">
            <v>Gail Rassler</v>
          </cell>
        </row>
        <row r="2224">
          <cell r="C2224" t="str">
            <v>Fieldpoint-CMSO</v>
          </cell>
          <cell r="H2224">
            <v>5029664</v>
          </cell>
          <cell r="AK2224" t="str">
            <v>DELETED USER</v>
          </cell>
        </row>
        <row r="2225">
          <cell r="C2225" t="str">
            <v>SunStateFCU-CMSO</v>
          </cell>
          <cell r="H2225">
            <v>5029721</v>
          </cell>
          <cell r="AK2225" t="str">
            <v>Louvera Walden</v>
          </cell>
        </row>
        <row r="2226">
          <cell r="C2226" t="str">
            <v>CommerceBank-Model Validation</v>
          </cell>
          <cell r="H2226">
            <v>5029978</v>
          </cell>
          <cell r="AK2226" t="str">
            <v>Allan Cuttle</v>
          </cell>
        </row>
        <row r="2227">
          <cell r="C2227" t="str">
            <v>Bear State-Compliance Consult</v>
          </cell>
          <cell r="H2227">
            <v>5029967</v>
          </cell>
          <cell r="AK2227" t="str">
            <v>Dennis Smith</v>
          </cell>
        </row>
        <row r="2228">
          <cell r="C2228" t="str">
            <v>MS_ISGPO_OCR_JBA Amd 1</v>
          </cell>
          <cell r="H2228">
            <v>5027934</v>
          </cell>
          <cell r="AK2228" t="str">
            <v>Angela McGregor</v>
          </cell>
        </row>
        <row r="2229">
          <cell r="C2229" t="str">
            <v>1stCapital-Compliance Monitor</v>
          </cell>
          <cell r="H2229">
            <v>5029958</v>
          </cell>
          <cell r="AK2229" t="str">
            <v>Randall Patton</v>
          </cell>
        </row>
        <row r="2230">
          <cell r="C2230" t="str">
            <v>FrMc_CDW Data Analysis Amd 1</v>
          </cell>
          <cell r="H2230">
            <v>5027289</v>
          </cell>
          <cell r="AK2230" t="str">
            <v>Mike Peretz</v>
          </cell>
        </row>
        <row r="2231">
          <cell r="C2231" t="str">
            <v>MS_Wealth Uni-Fy Governance</v>
          </cell>
          <cell r="H2231">
            <v>5027927</v>
          </cell>
          <cell r="AK2231" t="str">
            <v>Robert Norris</v>
          </cell>
        </row>
        <row r="2232">
          <cell r="C2232" t="str">
            <v>EQ_PMO_Quant_2017</v>
          </cell>
          <cell r="H2232">
            <v>5027157</v>
          </cell>
          <cell r="AK2232" t="str">
            <v>Robert Norris</v>
          </cell>
        </row>
        <row r="2233">
          <cell r="C2233" t="str">
            <v>MS Finance take 2</v>
          </cell>
          <cell r="H2233">
            <v>5025952</v>
          </cell>
          <cell r="AK2233" t="str">
            <v>Angela McGregor</v>
          </cell>
        </row>
        <row r="2234">
          <cell r="C2234" t="str">
            <v>GL_DOL Phase III</v>
          </cell>
          <cell r="H2234">
            <v>5027984</v>
          </cell>
          <cell r="AK2234" t="str">
            <v>Jennifer Hsiung</v>
          </cell>
        </row>
        <row r="2235">
          <cell r="C2235" t="str">
            <v>MetLife_MUREX MANAGED SERVICES</v>
          </cell>
          <cell r="H2235">
            <v>5027968</v>
          </cell>
          <cell r="AK2235" t="str">
            <v>DELETED USER</v>
          </cell>
        </row>
        <row r="2236">
          <cell r="C2236" t="str">
            <v>ISG CTB Change Note 13 (US)</v>
          </cell>
          <cell r="H2236">
            <v>5025687</v>
          </cell>
          <cell r="AK2236" t="str">
            <v>Mitali Drews</v>
          </cell>
        </row>
        <row r="2237">
          <cell r="C2237" t="str">
            <v>FrMc_IRCI Phase 3 Amd 2</v>
          </cell>
          <cell r="H2237">
            <v>5025029</v>
          </cell>
          <cell r="AK2237" t="str">
            <v>John Napolitano</v>
          </cell>
        </row>
        <row r="2238">
          <cell r="C2238" t="str">
            <v>MS_Wealth Ops CTB 2017</v>
          </cell>
          <cell r="H2238">
            <v>5027949</v>
          </cell>
          <cell r="AK2238" t="str">
            <v>Mary Huang</v>
          </cell>
        </row>
        <row r="2239">
          <cell r="C2239" t="str">
            <v>MS_OFAC - GFC Amd 7</v>
          </cell>
          <cell r="H2239">
            <v>5018451</v>
          </cell>
          <cell r="AK2239" t="str">
            <v>Ruben Sooriya</v>
          </cell>
        </row>
        <row r="2240">
          <cell r="C2240" t="str">
            <v>Jeff_IT PM Staff Aug</v>
          </cell>
          <cell r="H2240">
            <v>5028182</v>
          </cell>
          <cell r="AK2240" t="str">
            <v>Jeffrey Gheraldi</v>
          </cell>
        </row>
        <row r="2241">
          <cell r="C2241" t="str">
            <v>DB DOL Wealth - Phase II</v>
          </cell>
          <cell r="H2241">
            <v>5027376</v>
          </cell>
          <cell r="AK2241" t="str">
            <v>Justin Gonlag</v>
          </cell>
        </row>
        <row r="2242">
          <cell r="C2242" t="str">
            <v>MS_TSY Cash Forecasting Amd1</v>
          </cell>
          <cell r="H2242">
            <v>5027369</v>
          </cell>
          <cell r="AK2242" t="str">
            <v>Sandra Paris</v>
          </cell>
        </row>
        <row r="2243">
          <cell r="C2243" t="str">
            <v>HSBC_CDCO Flex Ext 2017</v>
          </cell>
          <cell r="H2243">
            <v>5025305</v>
          </cell>
          <cell r="AK2243" t="str">
            <v>Rahul Govada</v>
          </cell>
        </row>
        <row r="2244">
          <cell r="C2244" t="str">
            <v>MS_Market Risk Infra Amd 1</v>
          </cell>
          <cell r="H2244">
            <v>5027428</v>
          </cell>
          <cell r="AK2244" t="str">
            <v>Iruka Brown</v>
          </cell>
        </row>
        <row r="2245">
          <cell r="C2245" t="str">
            <v>FIS I&amp;W - PlanView Imp PMO Ext</v>
          </cell>
          <cell r="H2245">
            <v>5027453</v>
          </cell>
          <cell r="AK2245" t="str">
            <v>Janet Gray</v>
          </cell>
        </row>
        <row r="2246">
          <cell r="C2246" t="str">
            <v>RBC_CCAR PMO 3</v>
          </cell>
          <cell r="H2246">
            <v>5027835</v>
          </cell>
          <cell r="AK2246" t="str">
            <v>Robin Williams</v>
          </cell>
        </row>
        <row r="2247">
          <cell r="C2247" t="str">
            <v>16354-RAS-Intrust Financial Co</v>
          </cell>
          <cell r="H2247">
            <v>5030924</v>
          </cell>
          <cell r="AK2247" t="str">
            <v>Cristina Arechaga</v>
          </cell>
        </row>
        <row r="2248">
          <cell r="C2248" t="str">
            <v>Jeff_Murex Environment Manager</v>
          </cell>
          <cell r="H2248">
            <v>5027979</v>
          </cell>
          <cell r="AK2248" t="str">
            <v>Chelsea Mattias</v>
          </cell>
        </row>
        <row r="2249">
          <cell r="C2249" t="str">
            <v>FIS-Goldman RISC Services</v>
          </cell>
          <cell r="H2249">
            <v>5029532</v>
          </cell>
          <cell r="AK2249" t="str">
            <v>Geoffrey Lash</v>
          </cell>
        </row>
        <row r="2250">
          <cell r="C2250" t="str">
            <v>Jeff_OPS-App_Tool_dev-3 Fix</v>
          </cell>
          <cell r="H2250">
            <v>5027875</v>
          </cell>
          <cell r="AK2250" t="str">
            <v>Mike Drews</v>
          </cell>
        </row>
        <row r="2251">
          <cell r="C2251" t="str">
            <v>Jeff_OPS-App_Tool_dev-3</v>
          </cell>
          <cell r="H2251">
            <v>5027875</v>
          </cell>
          <cell r="AK2251" t="str">
            <v>Mike Drews</v>
          </cell>
        </row>
        <row r="2252">
          <cell r="C2252" t="str">
            <v>UB_Tahoe_Future_Releases</v>
          </cell>
          <cell r="H2252">
            <v>5028117</v>
          </cell>
          <cell r="AK2252" t="str">
            <v>Samuel Awsumb</v>
          </cell>
        </row>
        <row r="2253">
          <cell r="C2253" t="str">
            <v>LenderLive-Compliance Testing</v>
          </cell>
          <cell r="H2253">
            <v>5029995</v>
          </cell>
          <cell r="AK2253" t="str">
            <v>DELETED USER</v>
          </cell>
        </row>
        <row r="2254">
          <cell r="C2254" t="str">
            <v>UBS Visa Infinite Launch Amd 2</v>
          </cell>
          <cell r="H2254">
            <v>5025384</v>
          </cell>
          <cell r="AK2254" t="str">
            <v>Kurian Philip</v>
          </cell>
        </row>
        <row r="2255">
          <cell r="C2255" t="str">
            <v>1st Western-Cybersec Analyst</v>
          </cell>
          <cell r="H2255">
            <v>5029910</v>
          </cell>
          <cell r="AK2255" t="str">
            <v>Robert Farmer</v>
          </cell>
        </row>
        <row r="2256">
          <cell r="C2256" t="str">
            <v>FrMc_CSP IT PMO AMD (1)</v>
          </cell>
          <cell r="H2256">
            <v>5024554</v>
          </cell>
          <cell r="AK2256" t="str">
            <v>Darrell Rials</v>
          </cell>
        </row>
        <row r="2257">
          <cell r="C2257" t="str">
            <v>DOL in Annuities - Pt 1</v>
          </cell>
          <cell r="H2257">
            <v>5027829</v>
          </cell>
          <cell r="AK2257" t="str">
            <v>Phil Kerkel</v>
          </cell>
        </row>
        <row r="2258">
          <cell r="C2258" t="str">
            <v>1stColonial-Compliance Support</v>
          </cell>
          <cell r="H2258">
            <v>5030042</v>
          </cell>
          <cell r="AK2258" t="str">
            <v>Lorraine Williams</v>
          </cell>
        </row>
        <row r="2259">
          <cell r="C2259" t="str">
            <v>Jeff_SEC Response</v>
          </cell>
          <cell r="H2259">
            <v>5028030</v>
          </cell>
          <cell r="AK2259" t="str">
            <v>Jon Herna</v>
          </cell>
        </row>
        <row r="2260">
          <cell r="C2260" t="str">
            <v>HSBC_CDCo_RBWM 2017</v>
          </cell>
          <cell r="H2260">
            <v>5028087</v>
          </cell>
          <cell r="AK2260" t="str">
            <v>DELETED USER</v>
          </cell>
        </row>
        <row r="2261">
          <cell r="C2261" t="str">
            <v>Peoples Bank_RAS</v>
          </cell>
          <cell r="H2261">
            <v>5039701</v>
          </cell>
          <cell r="AK2261" t="str">
            <v>Travis Peraza</v>
          </cell>
        </row>
        <row r="2262">
          <cell r="C2262" t="str">
            <v>Citi_T2 Phase 2</v>
          </cell>
          <cell r="H2262">
            <v>5028196</v>
          </cell>
          <cell r="AK2262" t="str">
            <v>Michael Martinen</v>
          </cell>
        </row>
        <row r="2263">
          <cell r="C2263" t="str">
            <v>MitUFJ - Affiliiate Clring Ext</v>
          </cell>
          <cell r="H2263">
            <v>5027622</v>
          </cell>
          <cell r="AK2263" t="str">
            <v>George Black</v>
          </cell>
        </row>
        <row r="2264">
          <cell r="C2264" t="str">
            <v>Investors-BSAAML Alert Clear</v>
          </cell>
          <cell r="H2264">
            <v>5029940</v>
          </cell>
          <cell r="AK2264" t="str">
            <v>Ginger Dahlin</v>
          </cell>
        </row>
        <row r="2265">
          <cell r="C2265" t="str">
            <v>PatriotBank-Training</v>
          </cell>
          <cell r="H2265">
            <v>5029759</v>
          </cell>
          <cell r="AK2265" t="str">
            <v>John Eshoo</v>
          </cell>
        </row>
        <row r="2266">
          <cell r="C2266" t="str">
            <v>5th3rd Vision 2020-Resource Co</v>
          </cell>
          <cell r="H2266">
            <v>5028107</v>
          </cell>
          <cell r="AK2266" t="str">
            <v>DELETED USER</v>
          </cell>
        </row>
        <row r="2267">
          <cell r="C2267" t="str">
            <v>RBC_Credit Policy Office PMO</v>
          </cell>
          <cell r="H2267">
            <v>5028146</v>
          </cell>
          <cell r="AK2267" t="str">
            <v>Robin Williams</v>
          </cell>
        </row>
        <row r="2268">
          <cell r="C2268" t="str">
            <v>Amex_Comm-Sales Practices</v>
          </cell>
          <cell r="H2268">
            <v>5028116</v>
          </cell>
          <cell r="AK2268" t="str">
            <v>DELETED USER</v>
          </cell>
        </row>
        <row r="2269">
          <cell r="C2269" t="str">
            <v>MS Wealth Goals Based Ext.</v>
          </cell>
          <cell r="H2269">
            <v>5027468</v>
          </cell>
          <cell r="AK2269" t="str">
            <v>Orlin Jordanov</v>
          </cell>
        </row>
        <row r="2270">
          <cell r="C2270" t="str">
            <v>MS_Wealth Platform Prgm Mgmt4</v>
          </cell>
          <cell r="H2270">
            <v>5027468</v>
          </cell>
          <cell r="AK2270" t="str">
            <v>Orlin Jordanov</v>
          </cell>
        </row>
        <row r="2271">
          <cell r="C2271" t="str">
            <v>FrMc_SS Data 30 day Amd 3</v>
          </cell>
          <cell r="H2271">
            <v>5027328</v>
          </cell>
          <cell r="AK2271" t="str">
            <v>Matt Markham</v>
          </cell>
        </row>
        <row r="2272">
          <cell r="C2272" t="str">
            <v>FIS I&amp;W - PlanView Feb Ext</v>
          </cell>
          <cell r="H2272">
            <v>5027453</v>
          </cell>
          <cell r="AK2272" t="str">
            <v>Janet Gray</v>
          </cell>
        </row>
        <row r="2273">
          <cell r="C2273" t="str">
            <v>CashExpress-Compliance Consult</v>
          </cell>
          <cell r="H2273">
            <v>5029809</v>
          </cell>
          <cell r="AK2273" t="str">
            <v>Joseph Schmidt</v>
          </cell>
        </row>
        <row r="2274">
          <cell r="C2274" t="str">
            <v>Bancshares-Q HMDA Data Anlysis</v>
          </cell>
          <cell r="H2274">
            <v>5030048</v>
          </cell>
          <cell r="AK2274" t="str">
            <v>Paula Witt</v>
          </cell>
        </row>
        <row r="2275">
          <cell r="C2275" t="str">
            <v>USAA-TILA-RESPA Consult</v>
          </cell>
          <cell r="H2275">
            <v>5029779</v>
          </cell>
          <cell r="AK2275" t="str">
            <v>Willis Leitner</v>
          </cell>
        </row>
        <row r="2276">
          <cell r="C2276" t="str">
            <v>San - Data Steward Supp. ext.</v>
          </cell>
          <cell r="H2276">
            <v>5027421</v>
          </cell>
          <cell r="AK2276" t="str">
            <v>Ridha Mesli</v>
          </cell>
        </row>
        <row r="2277">
          <cell r="C2277" t="str">
            <v>Jeff_T2 Implementation</v>
          </cell>
          <cell r="H2277">
            <v>5028112</v>
          </cell>
          <cell r="AK2277" t="str">
            <v>Michael Martinen</v>
          </cell>
        </row>
        <row r="2278">
          <cell r="C2278" t="str">
            <v>1stNatElmer-Compl Monitor-RAS</v>
          </cell>
          <cell r="H2278">
            <v>5029962</v>
          </cell>
          <cell r="AK2278" t="str">
            <v>Gail Rassler</v>
          </cell>
        </row>
        <row r="2279">
          <cell r="C2279" t="str">
            <v>1stAmerican-BSA IT</v>
          </cell>
          <cell r="H2279">
            <v>5029733</v>
          </cell>
          <cell r="AK2279" t="str">
            <v>Charles Mcwilliam</v>
          </cell>
        </row>
        <row r="2280">
          <cell r="C2280" t="str">
            <v>Premier Bank of Arkansas_RAS</v>
          </cell>
          <cell r="H2280">
            <v>5039705</v>
          </cell>
          <cell r="AK2280" t="str">
            <v>Travis Peraza</v>
          </cell>
        </row>
        <row r="2281">
          <cell r="C2281" t="str">
            <v>GreatPlains-FL RiskAssess 17</v>
          </cell>
          <cell r="H2281">
            <v>5029934</v>
          </cell>
          <cell r="AK2281" t="str">
            <v>Paula Witt</v>
          </cell>
        </row>
        <row r="2282">
          <cell r="C2282" t="str">
            <v>Alpine B&amp;T-CC Compl Consult</v>
          </cell>
          <cell r="H2282">
            <v>5029576</v>
          </cell>
          <cell r="AK2282" t="str">
            <v>Lori Robeson</v>
          </cell>
        </row>
        <row r="2283">
          <cell r="C2283" t="str">
            <v>Enterprise-CC Compliance Revw</v>
          </cell>
          <cell r="H2283">
            <v>5029983</v>
          </cell>
          <cell r="AK2283" t="str">
            <v>Lori Robeson</v>
          </cell>
        </row>
        <row r="2284">
          <cell r="C2284" t="str">
            <v>P&amp;GMehoopany-EWRA</v>
          </cell>
          <cell r="H2284">
            <v>5029731</v>
          </cell>
          <cell r="AK2284" t="str">
            <v>Allan Cuttle</v>
          </cell>
        </row>
        <row r="2285">
          <cell r="C2285" t="str">
            <v>1stFreedom-CRA &amp; HMDA Consult</v>
          </cell>
          <cell r="H2285">
            <v>5029961</v>
          </cell>
          <cell r="AK2285" t="str">
            <v>Pamela Acciardo</v>
          </cell>
        </row>
        <row r="2286">
          <cell r="C2286" t="str">
            <v>Mountain Am-ERMC</v>
          </cell>
          <cell r="H2286">
            <v>5029712</v>
          </cell>
          <cell r="AK2286" t="str">
            <v>Allan Cuttle</v>
          </cell>
        </row>
        <row r="2287">
          <cell r="C2287" t="str">
            <v>MS_Wealth Aladdin PMO/PM</v>
          </cell>
          <cell r="H2287">
            <v>5028203</v>
          </cell>
          <cell r="AK2287" t="str">
            <v>DELETED USER</v>
          </cell>
        </row>
        <row r="2288">
          <cell r="C2288" t="str">
            <v>18493-RAS-United Bank (formerl</v>
          </cell>
          <cell r="H2288">
            <v>5030328</v>
          </cell>
          <cell r="AK2288" t="str">
            <v>Cristina Arechaga</v>
          </cell>
        </row>
        <row r="2289">
          <cell r="C2289" t="str">
            <v>FIS_BarCap Deriv Util Support</v>
          </cell>
          <cell r="H2289">
            <v>5028208</v>
          </cell>
          <cell r="AK2289" t="str">
            <v>DELETED USER</v>
          </cell>
        </row>
        <row r="2290">
          <cell r="C2290" t="str">
            <v>CommerceBank-Model Validations</v>
          </cell>
          <cell r="H2290">
            <v>5029818</v>
          </cell>
          <cell r="AK2290" t="str">
            <v>Allan Cuttle</v>
          </cell>
        </row>
        <row r="2291">
          <cell r="C2291" t="str">
            <v>Credit/Debit Card Conv CO#2</v>
          </cell>
          <cell r="H2291">
            <v>5027248</v>
          </cell>
          <cell r="AK2291" t="str">
            <v>Daniela Hawkins</v>
          </cell>
        </row>
        <row r="2292">
          <cell r="C2292" t="str">
            <v>RBC_CCAR QA Review</v>
          </cell>
          <cell r="H2292">
            <v>5028143</v>
          </cell>
          <cell r="AK2292" t="str">
            <v>Thanh Le Xuan</v>
          </cell>
        </row>
        <row r="2293">
          <cell r="C2293" t="str">
            <v>13388-RAS-Westfield Bank</v>
          </cell>
          <cell r="H2293">
            <v>5030907</v>
          </cell>
          <cell r="AK2293" t="str">
            <v>Cristina Arechaga</v>
          </cell>
        </row>
        <row r="2294">
          <cell r="C2294" t="str">
            <v>FrMc_CRT BA</v>
          </cell>
          <cell r="H2294">
            <v>5028222</v>
          </cell>
          <cell r="AK2294" t="str">
            <v>Raj Konduru</v>
          </cell>
        </row>
        <row r="2295">
          <cell r="C2295" t="str">
            <v>Cross River-Compliance Support</v>
          </cell>
          <cell r="H2295">
            <v>5029824</v>
          </cell>
          <cell r="AK2295" t="str">
            <v>DELETED USER</v>
          </cell>
        </row>
        <row r="2296">
          <cell r="C2296" t="str">
            <v>DOL in Annuities - Pt 2</v>
          </cell>
          <cell r="H2296">
            <v>5027829</v>
          </cell>
          <cell r="AK2296" t="str">
            <v>Phil Kerkel</v>
          </cell>
        </row>
        <row r="2297">
          <cell r="C2297" t="str">
            <v>GL_Training Delivery</v>
          </cell>
          <cell r="H2297">
            <v>5028253</v>
          </cell>
          <cell r="AK2297" t="str">
            <v>Jennifer Hsiung</v>
          </cell>
        </row>
        <row r="2298">
          <cell r="C2298" t="str">
            <v>WA Trust-Compliance Monitoring</v>
          </cell>
          <cell r="H2298">
            <v>5029867</v>
          </cell>
          <cell r="AK2298" t="str">
            <v>Mary Louise Radley</v>
          </cell>
        </row>
        <row r="2299">
          <cell r="C2299" t="str">
            <v>Atlantic SB-Consult&amp;Advert Rvw</v>
          </cell>
          <cell r="H2299">
            <v>5030046</v>
          </cell>
          <cell r="AK2299" t="str">
            <v>John Eshoo</v>
          </cell>
        </row>
        <row r="2300">
          <cell r="C2300" t="str">
            <v>FrMc_IRCI Master Integrator</v>
          </cell>
          <cell r="H2300">
            <v>5028269</v>
          </cell>
          <cell r="AK2300" t="str">
            <v>John Napolitano</v>
          </cell>
        </row>
        <row r="2301">
          <cell r="C2301" t="str">
            <v>120387-RAS-Giact Systems  Inc.</v>
          </cell>
          <cell r="H2301">
            <v>5030401</v>
          </cell>
          <cell r="AK2301" t="str">
            <v>Cristina Arechaga</v>
          </cell>
        </row>
        <row r="2302">
          <cell r="C2302" t="str">
            <v>BMO_DRUM March</v>
          </cell>
          <cell r="H2302">
            <v>5027378</v>
          </cell>
          <cell r="AK2302" t="str">
            <v>Ramnish Gupta</v>
          </cell>
        </row>
        <row r="2303">
          <cell r="C2303" t="str">
            <v>Mountain Am-ERM Implementation</v>
          </cell>
          <cell r="H2303">
            <v>5029849</v>
          </cell>
          <cell r="AK2303" t="str">
            <v>Allan Cuttle</v>
          </cell>
        </row>
        <row r="2304">
          <cell r="C2304" t="str">
            <v>RBCUS_Enterprise Risk</v>
          </cell>
          <cell r="H2304">
            <v>5028246</v>
          </cell>
          <cell r="AK2304" t="str">
            <v>DELETED USER</v>
          </cell>
        </row>
        <row r="2305">
          <cell r="C2305" t="str">
            <v>Stanley-Annual Compliance Revw</v>
          </cell>
          <cell r="H2305">
            <v>5029863</v>
          </cell>
          <cell r="AK2305" t="str">
            <v>Randall Patton</v>
          </cell>
        </row>
        <row r="2306">
          <cell r="C2306" t="str">
            <v>123993-RAS-Tiger Financial Man</v>
          </cell>
          <cell r="H2306">
            <v>5030403</v>
          </cell>
          <cell r="AK2306" t="str">
            <v>Cristina Arechaga</v>
          </cell>
        </row>
        <row r="2307">
          <cell r="C2307" t="str">
            <v>MS_Wealth Platform Prgm Mgmt5</v>
          </cell>
          <cell r="H2307">
            <v>5027468</v>
          </cell>
          <cell r="AK2307" t="str">
            <v>Orlin Jordanov</v>
          </cell>
        </row>
        <row r="2308">
          <cell r="C2308" t="str">
            <v>Grand Bank-CMSO</v>
          </cell>
          <cell r="H2308">
            <v>5029668</v>
          </cell>
          <cell r="AK2308" t="str">
            <v>Bonita Riccaboni</v>
          </cell>
        </row>
        <row r="2309">
          <cell r="C2309" t="str">
            <v>UB_Tahoe_Future_Releases_CO#2</v>
          </cell>
          <cell r="H2309">
            <v>5028117</v>
          </cell>
          <cell r="AK2309" t="str">
            <v>Samuel Awsumb</v>
          </cell>
        </row>
        <row r="2310">
          <cell r="C2310" t="str">
            <v>10635-RAS-PlainsCapital Bank</v>
          </cell>
          <cell r="H2310">
            <v>5030808</v>
          </cell>
          <cell r="AK2310" t="str">
            <v>Cristina Arechaga</v>
          </cell>
        </row>
        <row r="2311">
          <cell r="C2311" t="str">
            <v>ColonialFSB-Compliance Consult</v>
          </cell>
          <cell r="H2311">
            <v>5029816</v>
          </cell>
          <cell r="AK2311" t="str">
            <v>Leigh Tribou</v>
          </cell>
        </row>
        <row r="2312">
          <cell r="C2312" t="str">
            <v>Windsor-FL Stat Analysis</v>
          </cell>
          <cell r="H2312">
            <v>5029798</v>
          </cell>
          <cell r="AK2312" t="str">
            <v>Paula Witt</v>
          </cell>
        </row>
        <row r="2313">
          <cell r="C2313" t="str">
            <v>Modern Bank-Compliance Monitor</v>
          </cell>
          <cell r="H2313">
            <v>5029848</v>
          </cell>
          <cell r="AK2313" t="str">
            <v>John Eshoo</v>
          </cell>
        </row>
        <row r="2314">
          <cell r="C2314" t="str">
            <v>AE_APEX Integration</v>
          </cell>
          <cell r="H2314">
            <v>5028283</v>
          </cell>
          <cell r="AK2314" t="str">
            <v>DELETED USER</v>
          </cell>
        </row>
        <row r="2315">
          <cell r="C2315" t="str">
            <v>BancoBrasil-Compliance Admin</v>
          </cell>
          <cell r="H2315">
            <v>5029914</v>
          </cell>
          <cell r="AK2315" t="str">
            <v>Anna Proleika</v>
          </cell>
        </row>
        <row r="2316">
          <cell r="C2316" t="str">
            <v>Putnam County State Bank_RAS</v>
          </cell>
          <cell r="H2316">
            <v>5039710</v>
          </cell>
          <cell r="AK2316" t="str">
            <v>Diane Banks</v>
          </cell>
        </row>
        <row r="2317">
          <cell r="C2317" t="str">
            <v>MS Wealth Goals Based Ext2</v>
          </cell>
          <cell r="H2317">
            <v>5027468</v>
          </cell>
          <cell r="AK2317" t="str">
            <v>Orlin Jordanov</v>
          </cell>
        </row>
        <row r="2318">
          <cell r="C2318" t="str">
            <v>Renew FGLLC-CMS Dev - Phase 2</v>
          </cell>
          <cell r="H2318">
            <v>5030022</v>
          </cell>
          <cell r="AK2318" t="str">
            <v>Lori Robeson</v>
          </cell>
        </row>
        <row r="2319">
          <cell r="C2319" t="str">
            <v>Tiger Financial Mgmt LLC_RAS</v>
          </cell>
          <cell r="H2319">
            <v>5039732</v>
          </cell>
          <cell r="AK2319" t="str">
            <v>Travis Peraza</v>
          </cell>
        </row>
        <row r="2320">
          <cell r="C2320" t="str">
            <v>UB_Tahoe_Future_Releases_CO#1</v>
          </cell>
          <cell r="H2320">
            <v>5028117</v>
          </cell>
          <cell r="AK2320" t="str">
            <v>Samuel Awsumb</v>
          </cell>
        </row>
        <row r="2321">
          <cell r="C2321" t="str">
            <v>Clear Mount-FL Stat Analysis</v>
          </cell>
          <cell r="H2321">
            <v>5029925</v>
          </cell>
          <cell r="AK2321" t="str">
            <v>Paula Witt</v>
          </cell>
        </row>
        <row r="2322">
          <cell r="C2322" t="str">
            <v>FIS_BarCap Deriv Util Extn</v>
          </cell>
          <cell r="H2322">
            <v>5028208</v>
          </cell>
          <cell r="AK2322" t="str">
            <v>DELETED USER</v>
          </cell>
        </row>
        <row r="2323">
          <cell r="C2323" t="str">
            <v>FrMc_IRCI Testing</v>
          </cell>
          <cell r="H2323">
            <v>5028245</v>
          </cell>
          <cell r="AK2323" t="str">
            <v>DELETED USER</v>
          </cell>
        </row>
        <row r="2324">
          <cell r="C2324" t="str">
            <v>BoW_Data Advisory</v>
          </cell>
          <cell r="H2324">
            <v>5028314</v>
          </cell>
          <cell r="AK2324" t="str">
            <v>Paul Tatseos</v>
          </cell>
        </row>
        <row r="2325">
          <cell r="C2325" t="str">
            <v>Axoni_Blockchain Biz Strategy</v>
          </cell>
          <cell r="H2325">
            <v>5028175</v>
          </cell>
          <cell r="AK2325" t="str">
            <v>DELETED USER</v>
          </cell>
        </row>
        <row r="2326">
          <cell r="C2326" t="str">
            <v>FrMc_Disclosures CDW</v>
          </cell>
          <cell r="H2326">
            <v>5027289</v>
          </cell>
          <cell r="AK2326" t="str">
            <v>Mike Peretz</v>
          </cell>
        </row>
        <row r="2327">
          <cell r="C2327" t="str">
            <v>FrMc_APP AMD 1</v>
          </cell>
          <cell r="H2327">
            <v>5027460</v>
          </cell>
          <cell r="AK2327" t="str">
            <v>Aditya Udas</v>
          </cell>
        </row>
        <row r="2328">
          <cell r="C2328" t="str">
            <v>Texas Cap-Alert Clearing</v>
          </cell>
          <cell r="H2328">
            <v>5029795</v>
          </cell>
          <cell r="AK2328" t="str">
            <v>Ginger Dahlin</v>
          </cell>
        </row>
        <row r="2329">
          <cell r="C2329" t="str">
            <v>2650-RAS-Paragon Commercial Ba</v>
          </cell>
          <cell r="H2329">
            <v>5030475</v>
          </cell>
          <cell r="AK2329" t="str">
            <v>Cristina Arechaga</v>
          </cell>
        </row>
        <row r="2330">
          <cell r="C2330" t="str">
            <v>BMO_Spotfire Ph1</v>
          </cell>
          <cell r="H2330">
            <v>5028321</v>
          </cell>
          <cell r="AK2330" t="str">
            <v>Matthias Daus</v>
          </cell>
        </row>
        <row r="2331">
          <cell r="C2331" t="str">
            <v>CapOne_COI Self Clear Conver</v>
          </cell>
          <cell r="H2331">
            <v>5028322</v>
          </cell>
          <cell r="AK2331" t="str">
            <v>Jennifer Hsiung</v>
          </cell>
        </row>
        <row r="2332">
          <cell r="C2332" t="str">
            <v>BarCap_CTB CDO Support</v>
          </cell>
          <cell r="H2332">
            <v>5028191</v>
          </cell>
          <cell r="AK2332" t="str">
            <v>David Roberts</v>
          </cell>
        </row>
        <row r="2333">
          <cell r="C2333" t="str">
            <v>FrMc_Pricing Execution Amd 1</v>
          </cell>
          <cell r="H2333">
            <v>5027680</v>
          </cell>
          <cell r="AK2333" t="str">
            <v>Sebastian Ekberg</v>
          </cell>
        </row>
        <row r="2334">
          <cell r="C2334" t="str">
            <v>Orange Lake-DebtCollectMonitor</v>
          </cell>
          <cell r="H2334">
            <v>5029850</v>
          </cell>
          <cell r="AK2334" t="str">
            <v>Abram Anderson</v>
          </cell>
        </row>
        <row r="2335">
          <cell r="C2335" t="str">
            <v>Ridgewood-CMSE - 17 w/RAS</v>
          </cell>
          <cell r="H2335">
            <v>5029746</v>
          </cell>
          <cell r="AK2335" t="str">
            <v>DELETED USER</v>
          </cell>
        </row>
        <row r="2336">
          <cell r="C2336" t="str">
            <v>8891-RAS-Helm Bank  USA</v>
          </cell>
          <cell r="H2336">
            <v>5030728</v>
          </cell>
          <cell r="AK2336" t="str">
            <v>Cristina Arechaga</v>
          </cell>
        </row>
        <row r="2337">
          <cell r="C2337" t="str">
            <v>EmployeesCU-CFPB Ready Revw</v>
          </cell>
          <cell r="H2337">
            <v>5029892</v>
          </cell>
          <cell r="AK2337" t="str">
            <v>Amanda Pickering</v>
          </cell>
        </row>
        <row r="2338">
          <cell r="C2338" t="str">
            <v>WAC_CC Launch Workshop</v>
          </cell>
          <cell r="H2338">
            <v>5028183</v>
          </cell>
          <cell r="AK2338" t="str">
            <v>Henry Loosmore</v>
          </cell>
        </row>
        <row r="2339">
          <cell r="C2339" t="str">
            <v>2884-RAS-First Bank</v>
          </cell>
          <cell r="H2339">
            <v>5030494</v>
          </cell>
          <cell r="AK2339" t="str">
            <v>Cristina Arechaga</v>
          </cell>
        </row>
        <row r="2340">
          <cell r="C2340" t="str">
            <v>MS Wealth Unify Ext1</v>
          </cell>
          <cell r="H2340">
            <v>5027927</v>
          </cell>
          <cell r="AK2340" t="str">
            <v>Robert Norris</v>
          </cell>
        </row>
        <row r="2341">
          <cell r="C2341" t="str">
            <v>BMO FDIC reg strategy</v>
          </cell>
          <cell r="H2341">
            <v>5028495</v>
          </cell>
          <cell r="AK2341" t="str">
            <v>George Simotas</v>
          </cell>
        </row>
        <row r="2342">
          <cell r="C2342" t="str">
            <v>MS_FID IT Communications</v>
          </cell>
          <cell r="H2342">
            <v>5028298</v>
          </cell>
          <cell r="AK2342" t="str">
            <v>Mitali Drews</v>
          </cell>
        </row>
        <row r="2343">
          <cell r="C2343" t="str">
            <v>Jeff_Alpha Capture Support</v>
          </cell>
          <cell r="H2343">
            <v>5028411</v>
          </cell>
          <cell r="AK2343" t="str">
            <v>John McCaffrey</v>
          </cell>
        </row>
        <row r="2344">
          <cell r="C2344" t="str">
            <v>27029-RAS-Lighthouse Bank</v>
          </cell>
          <cell r="H2344">
            <v>5030344</v>
          </cell>
          <cell r="AK2344" t="str">
            <v>Cristina Arechaga</v>
          </cell>
        </row>
        <row r="2345">
          <cell r="C2345" t="str">
            <v>3464-RAS-Bank of Soperton</v>
          </cell>
          <cell r="H2345">
            <v>5030533</v>
          </cell>
          <cell r="AK2345" t="str">
            <v>Cristina Arechaga</v>
          </cell>
        </row>
        <row r="2346">
          <cell r="C2346" t="str">
            <v>NJCommunity-Compliance Offcer</v>
          </cell>
          <cell r="H2346">
            <v>5030016</v>
          </cell>
          <cell r="AK2346" t="str">
            <v>DELETED USER</v>
          </cell>
        </row>
        <row r="2347">
          <cell r="C2347" t="str">
            <v>Plus-CMSO</v>
          </cell>
          <cell r="H2347">
            <v>5029578</v>
          </cell>
          <cell r="AK2347" t="str">
            <v>Anna Proleika</v>
          </cell>
        </row>
        <row r="2348">
          <cell r="C2348" t="str">
            <v>Citi_QPB - 2017 Amd 3</v>
          </cell>
          <cell r="H2348">
            <v>5027157</v>
          </cell>
          <cell r="AK2348" t="str">
            <v>Robert Norris</v>
          </cell>
        </row>
        <row r="2349">
          <cell r="C2349" t="str">
            <v>Seattle CU-Compliance Monitor</v>
          </cell>
          <cell r="H2349">
            <v>5030027</v>
          </cell>
          <cell r="AK2349" t="str">
            <v>Elizabeth Jablonski</v>
          </cell>
        </row>
        <row r="2350">
          <cell r="C2350" t="str">
            <v>8653-RAS-First Nat Bank of Lay</v>
          </cell>
          <cell r="H2350">
            <v>5030715</v>
          </cell>
          <cell r="AK2350" t="str">
            <v>Cristina Arechaga</v>
          </cell>
        </row>
        <row r="2351">
          <cell r="C2351" t="str">
            <v>FrMc_Business Resiliency PMO</v>
          </cell>
          <cell r="H2351">
            <v>5028562</v>
          </cell>
          <cell r="AK2351" t="str">
            <v>Karl Augenstein</v>
          </cell>
        </row>
        <row r="2352">
          <cell r="C2352" t="str">
            <v>RedDough-BSA Consulting</v>
          </cell>
          <cell r="H2352">
            <v>5029778</v>
          </cell>
          <cell r="AK2352" t="str">
            <v>DELETED USER</v>
          </cell>
        </row>
        <row r="2353">
          <cell r="C2353" t="str">
            <v>MS_Market Risk_Jeff Kim Ext</v>
          </cell>
          <cell r="H2353">
            <v>5027428</v>
          </cell>
          <cell r="AK2353" t="str">
            <v>Iruka Brown</v>
          </cell>
        </row>
        <row r="2354">
          <cell r="C2354" t="str">
            <v>Loan Coverage Advisor amd 3</v>
          </cell>
          <cell r="H2354">
            <v>5026104</v>
          </cell>
          <cell r="AK2354" t="str">
            <v>Aditya Udas</v>
          </cell>
        </row>
        <row r="2355">
          <cell r="C2355" t="str">
            <v>BMO_DRUM &amp; Collect Ph1</v>
          </cell>
          <cell r="H2355">
            <v>5027378</v>
          </cell>
          <cell r="AK2355" t="str">
            <v>Ramnish Gupta</v>
          </cell>
        </row>
        <row r="2356">
          <cell r="C2356" t="str">
            <v>FIS-SunGard-Lincoln UAT Test</v>
          </cell>
          <cell r="H2356">
            <v>5029932</v>
          </cell>
          <cell r="AK2356" t="str">
            <v>DELETED USER</v>
          </cell>
        </row>
        <row r="2357">
          <cell r="C2357" t="str">
            <v>BeverlyCoop-CMSO</v>
          </cell>
          <cell r="H2357">
            <v>5029687</v>
          </cell>
          <cell r="AK2357" t="str">
            <v>Laura Steer</v>
          </cell>
        </row>
        <row r="2358">
          <cell r="C2358" t="str">
            <v>Citi_QPB - 2017</v>
          </cell>
          <cell r="H2358">
            <v>5028473</v>
          </cell>
          <cell r="AK2358" t="str">
            <v>Robert Norris</v>
          </cell>
        </row>
        <row r="2359">
          <cell r="C2359" t="str">
            <v>GIACT-Compliance Support</v>
          </cell>
          <cell r="H2359">
            <v>5029789</v>
          </cell>
          <cell r="AK2359" t="str">
            <v>Randall Patton</v>
          </cell>
        </row>
        <row r="2360">
          <cell r="C2360" t="str">
            <v>Mountain Am-ERM License Fee</v>
          </cell>
          <cell r="H2360">
            <v>5029903</v>
          </cell>
          <cell r="AK2360" t="str">
            <v>Tania Makuh</v>
          </cell>
        </row>
        <row r="2361">
          <cell r="C2361" t="str">
            <v>TwoRiver-CMSE</v>
          </cell>
          <cell r="H2361">
            <v>5029615</v>
          </cell>
          <cell r="AK2361" t="str">
            <v>John Eshoo</v>
          </cell>
        </row>
        <row r="2362">
          <cell r="C2362" t="str">
            <v>Premier Bank_RAS</v>
          </cell>
          <cell r="H2362">
            <v>5040184</v>
          </cell>
          <cell r="AK2362" t="str">
            <v>Rebecca Breland</v>
          </cell>
        </row>
        <row r="2363">
          <cell r="C2363" t="str">
            <v>Alma Bank-CMSO</v>
          </cell>
          <cell r="H2363">
            <v>5029622</v>
          </cell>
          <cell r="AK2363" t="str">
            <v>Laura Steer</v>
          </cell>
        </row>
        <row r="2364">
          <cell r="C2364" t="str">
            <v>Jeff_Risk IT</v>
          </cell>
          <cell r="H2364">
            <v>5028449</v>
          </cell>
          <cell r="AK2364" t="str">
            <v>John McCaffrey</v>
          </cell>
        </row>
        <row r="2365">
          <cell r="C2365" t="str">
            <v>Baltimore-CMSO</v>
          </cell>
          <cell r="H2365">
            <v>5029624</v>
          </cell>
          <cell r="AK2365" t="str">
            <v>W. Annette Dredden</v>
          </cell>
        </row>
        <row r="2366">
          <cell r="C2366" t="str">
            <v>Mariner-ERM License Fee</v>
          </cell>
          <cell r="H2366">
            <v>5032742</v>
          </cell>
          <cell r="AK2366" t="str">
            <v>Tania Makuh</v>
          </cell>
        </row>
        <row r="2367">
          <cell r="C2367" t="str">
            <v>MS_TSY Cash Forecasting 3</v>
          </cell>
          <cell r="H2367">
            <v>5028420</v>
          </cell>
          <cell r="AK2367" t="str">
            <v>Sandra Paris</v>
          </cell>
        </row>
        <row r="2368">
          <cell r="C2368" t="str">
            <v>MS_RDARR</v>
          </cell>
          <cell r="H2368">
            <v>5028378</v>
          </cell>
          <cell r="AK2368" t="str">
            <v>Iruka Brown</v>
          </cell>
        </row>
        <row r="2369">
          <cell r="C2369" t="str">
            <v>UB_Reg Bk Deposit Transform</v>
          </cell>
          <cell r="H2369">
            <v>5028209</v>
          </cell>
          <cell r="AK2369" t="str">
            <v>Michael Tao</v>
          </cell>
        </row>
        <row r="2370">
          <cell r="C2370" t="str">
            <v>5th3rd _V2020 Execution 2017</v>
          </cell>
          <cell r="H2370">
            <v>5028501</v>
          </cell>
          <cell r="AK2370" t="str">
            <v>Tulsi Mehta</v>
          </cell>
        </row>
        <row r="2371">
          <cell r="C2371" t="str">
            <v>UB_Tahoe_1.x_Planning_Support</v>
          </cell>
          <cell r="H2371">
            <v>5028482</v>
          </cell>
          <cell r="AK2371" t="str">
            <v>Samuel Awsumb</v>
          </cell>
        </row>
        <row r="2372">
          <cell r="C2372" t="str">
            <v>MS_CTB_RUN_UK</v>
          </cell>
          <cell r="H2372">
            <v>5025770</v>
          </cell>
          <cell r="AK2372" t="str">
            <v>Chris Johnston</v>
          </cell>
        </row>
        <row r="2373">
          <cell r="C2373" t="str">
            <v>HSBC_CCAR Ops Risk</v>
          </cell>
          <cell r="H2373">
            <v>5028412</v>
          </cell>
          <cell r="AK2373" t="str">
            <v>Alexis Chan</v>
          </cell>
        </row>
        <row r="2374">
          <cell r="C2374" t="str">
            <v>Finance Data Sponsor Delegate</v>
          </cell>
          <cell r="H2374">
            <v>5027126</v>
          </cell>
          <cell r="AK2374" t="str">
            <v>DELETED USER</v>
          </cell>
        </row>
        <row r="2375">
          <cell r="C2375" t="str">
            <v>MSWM Aladdin Team Ext</v>
          </cell>
          <cell r="H2375">
            <v>5028203</v>
          </cell>
          <cell r="AK2375" t="str">
            <v>DELETED USER</v>
          </cell>
        </row>
        <row r="2376">
          <cell r="C2376" t="str">
            <v>MWABank-CMSO</v>
          </cell>
          <cell r="H2376">
            <v>5029600</v>
          </cell>
          <cell r="AK2376" t="str">
            <v>DELETED USER</v>
          </cell>
        </row>
        <row r="2377">
          <cell r="C2377" t="str">
            <v>Sunshine-MQC</v>
          </cell>
          <cell r="H2377">
            <v>5029592</v>
          </cell>
          <cell r="AK2377" t="str">
            <v>Keith Cole</v>
          </cell>
        </row>
        <row r="2378">
          <cell r="C2378" t="str">
            <v>PrivateBank-HMDA CRA File Revw</v>
          </cell>
          <cell r="H2378">
            <v>5029856</v>
          </cell>
          <cell r="AK2378" t="str">
            <v>Paula Witt</v>
          </cell>
        </row>
        <row r="2379">
          <cell r="C2379" t="str">
            <v>CommerceBank-Polcy&amp;ProcConsult</v>
          </cell>
          <cell r="H2379">
            <v>5029819</v>
          </cell>
          <cell r="AK2379" t="str">
            <v>Randall Patton</v>
          </cell>
        </row>
        <row r="2380">
          <cell r="C2380" t="str">
            <v>ALIC_Digital Portal Re Design</v>
          </cell>
          <cell r="H2380">
            <v>5028504</v>
          </cell>
          <cell r="AK2380" t="str">
            <v>Matthew Berkowitz</v>
          </cell>
        </row>
        <row r="2381">
          <cell r="C2381" t="str">
            <v>Alma Bank-OFAC Screening</v>
          </cell>
          <cell r="H2381">
            <v>5029527</v>
          </cell>
          <cell r="AK2381" t="str">
            <v>Chintan Patel</v>
          </cell>
        </row>
        <row r="2382">
          <cell r="C2382" t="str">
            <v>Mariner-ERMC</v>
          </cell>
          <cell r="H2382">
            <v>5029599</v>
          </cell>
          <cell r="AK2382" t="str">
            <v>Allan Cuttle</v>
          </cell>
        </row>
        <row r="2383">
          <cell r="C2383" t="str">
            <v>3000-RAS-AmeriServ Financial B</v>
          </cell>
          <cell r="H2383">
            <v>5030501</v>
          </cell>
          <cell r="AK2383" t="str">
            <v>Cristina Arechaga</v>
          </cell>
        </row>
        <row r="2384">
          <cell r="C2384" t="str">
            <v>GL_Training Delivery II</v>
          </cell>
          <cell r="H2384">
            <v>5028253</v>
          </cell>
          <cell r="AK2384" t="str">
            <v>Jennifer Hsiung</v>
          </cell>
        </row>
        <row r="2385">
          <cell r="C2385" t="str">
            <v>GL_Training Delivery II</v>
          </cell>
          <cell r="H2385">
            <v>5028518</v>
          </cell>
          <cell r="AK2385" t="str">
            <v>Jennifer Hsiung</v>
          </cell>
        </row>
        <row r="2386">
          <cell r="C2386" t="str">
            <v>FinancialIn-Dis Recov&amp;BCP Plan</v>
          </cell>
          <cell r="H2386">
            <v>5029827</v>
          </cell>
          <cell r="AK2386" t="str">
            <v>David Lott</v>
          </cell>
        </row>
        <row r="2387">
          <cell r="C2387" t="str">
            <v>MS DOL Program Amd 3</v>
          </cell>
          <cell r="H2387">
            <v>5027829</v>
          </cell>
          <cell r="AK2387" t="str">
            <v>Phil Kerkel</v>
          </cell>
        </row>
        <row r="2388">
          <cell r="C2388" t="str">
            <v>Lasco-Cybersec Assess Tool</v>
          </cell>
          <cell r="H2388">
            <v>5029553</v>
          </cell>
          <cell r="AK2388" t="str">
            <v>David Lott</v>
          </cell>
        </row>
        <row r="2389">
          <cell r="C2389" t="str">
            <v>MitUFJ_Affiliate Clear Amd 2</v>
          </cell>
          <cell r="H2389">
            <v>5027622</v>
          </cell>
          <cell r="AK2389" t="str">
            <v>George Black</v>
          </cell>
        </row>
        <row r="2390">
          <cell r="C2390" t="str">
            <v>UN FCU-CMSE w/RAS</v>
          </cell>
          <cell r="H2390">
            <v>5029585</v>
          </cell>
          <cell r="AK2390" t="str">
            <v>DELETED USER</v>
          </cell>
        </row>
        <row r="2391">
          <cell r="C2391" t="str">
            <v>PrivateBank-HMDA CRA StaffAug1</v>
          </cell>
          <cell r="H2391">
            <v>5029857</v>
          </cell>
        </row>
        <row r="2392">
          <cell r="C2392" t="str">
            <v>7218-RAS-Kish Bank</v>
          </cell>
          <cell r="H2392">
            <v>5030622</v>
          </cell>
          <cell r="AK2392" t="str">
            <v>Cristina Arechaga</v>
          </cell>
        </row>
        <row r="2393">
          <cell r="C2393" t="str">
            <v>Republic-ERMC</v>
          </cell>
          <cell r="H2393">
            <v>5029612</v>
          </cell>
          <cell r="AK2393" t="str">
            <v>Allan Cuttle</v>
          </cell>
        </row>
        <row r="2394">
          <cell r="C2394" t="str">
            <v>Members 1st-MQC</v>
          </cell>
          <cell r="H2394">
            <v>5029650</v>
          </cell>
          <cell r="AK2394" t="str">
            <v>Cristina Arechaga</v>
          </cell>
        </row>
        <row r="2395">
          <cell r="C2395" t="str">
            <v>FranklinSyn-CRE Risk Assess</v>
          </cell>
          <cell r="H2395">
            <v>5029895</v>
          </cell>
          <cell r="AK2395" t="str">
            <v>Allan Cuttle</v>
          </cell>
        </row>
        <row r="2396">
          <cell r="C2396" t="str">
            <v>ALIC_Ent. Digital Strat</v>
          </cell>
          <cell r="H2396">
            <v>5028546</v>
          </cell>
          <cell r="AK2396" t="str">
            <v>Phil Kerkel</v>
          </cell>
        </row>
        <row r="2397">
          <cell r="C2397" t="str">
            <v>Jefferies_Outsourcing NARun RR</v>
          </cell>
          <cell r="H2397">
            <v>5028692</v>
          </cell>
          <cell r="AK2397" t="str">
            <v>John McCaffrey</v>
          </cell>
        </row>
        <row r="2398">
          <cell r="C2398" t="str">
            <v>Huntington FDCIP CO #3</v>
          </cell>
          <cell r="H2398">
            <v>5027248</v>
          </cell>
          <cell r="AK2398" t="str">
            <v>Daniela Hawkins</v>
          </cell>
        </row>
        <row r="2399">
          <cell r="C2399" t="str">
            <v>LexisNexis-Alert Remediation</v>
          </cell>
          <cell r="H2399">
            <v>5029943</v>
          </cell>
          <cell r="AK2399" t="str">
            <v>Ginger Dahlin</v>
          </cell>
        </row>
        <row r="2400">
          <cell r="C2400" t="str">
            <v>RBC-Capco CCAR/FBO SOW-1st Amd</v>
          </cell>
          <cell r="H2400">
            <v>5028806</v>
          </cell>
          <cell r="AK2400" t="str">
            <v>Robin Williams</v>
          </cell>
        </row>
        <row r="2401">
          <cell r="C2401" t="str">
            <v>Achieva-Compliance Audits</v>
          </cell>
          <cell r="H2401">
            <v>5029526</v>
          </cell>
          <cell r="AK2401" t="str">
            <v>Anna Proleika</v>
          </cell>
        </row>
        <row r="2402">
          <cell r="C2402" t="str">
            <v>FrMc_IRCI Biz Process &amp; Doc</v>
          </cell>
          <cell r="H2402">
            <v>5028527</v>
          </cell>
          <cell r="AK2402" t="str">
            <v>Christopher Martines</v>
          </cell>
        </row>
        <row r="2403">
          <cell r="C2403" t="str">
            <v>RBC-Capco CCAR|FBO SOW Ext2020</v>
          </cell>
          <cell r="H2403">
            <v>5028724</v>
          </cell>
          <cell r="AK2403" t="str">
            <v>Carl Repoli</v>
          </cell>
        </row>
        <row r="2404">
          <cell r="C2404" t="str">
            <v>HSBC_Risk Transformation</v>
          </cell>
          <cell r="H2404">
            <v>5028553</v>
          </cell>
          <cell r="AK2404" t="str">
            <v>Rahul Govada</v>
          </cell>
        </row>
        <row r="2405">
          <cell r="C2405" t="str">
            <v>First A National Bank Ass_RAS</v>
          </cell>
          <cell r="H2405">
            <v>5039658</v>
          </cell>
          <cell r="AK2405" t="str">
            <v>Rebecca Breland</v>
          </cell>
        </row>
        <row r="2406">
          <cell r="C2406" t="str">
            <v>MS Ops CTB Change Note 14 (US)</v>
          </cell>
          <cell r="H2406">
            <v>5025687</v>
          </cell>
          <cell r="AK2406" t="str">
            <v>Mitali Drews</v>
          </cell>
        </row>
        <row r="2407">
          <cell r="C2407" t="str">
            <v>Bryn Mawr-MQC</v>
          </cell>
          <cell r="H2407">
            <v>5029603</v>
          </cell>
          <cell r="AK2407" t="str">
            <v>Cristina Arechaga</v>
          </cell>
        </row>
        <row r="2408">
          <cell r="C2408" t="str">
            <v>USSCO-CMSO</v>
          </cell>
          <cell r="H2408">
            <v>5029581</v>
          </cell>
          <cell r="AK2408" t="str">
            <v>Kristina Slattery</v>
          </cell>
        </row>
        <row r="2409">
          <cell r="C2409" t="str">
            <v>UB_Tahoe_Post-Launch_Support</v>
          </cell>
          <cell r="H2409">
            <v>5028563</v>
          </cell>
          <cell r="AK2409" t="str">
            <v>Justin Hayden</v>
          </cell>
        </row>
        <row r="2410">
          <cell r="C2410" t="str">
            <v>EmpireState-CMSO</v>
          </cell>
          <cell r="H2410">
            <v>5029700</v>
          </cell>
          <cell r="AK2410" t="str">
            <v>Mariana Dumanovsky</v>
          </cell>
        </row>
        <row r="2411">
          <cell r="C2411" t="str">
            <v>RBCUS_Risk Volker RENTD</v>
          </cell>
          <cell r="H2411">
            <v>5028567</v>
          </cell>
          <cell r="AK2411" t="str">
            <v>Alexis Chan</v>
          </cell>
        </row>
        <row r="2412">
          <cell r="C2412" t="str">
            <v>UB_Tahoe_1.x+_Program_Support</v>
          </cell>
          <cell r="H2412">
            <v>5028556</v>
          </cell>
          <cell r="AK2412" t="str">
            <v>Justin Hayden</v>
          </cell>
        </row>
        <row r="2413">
          <cell r="C2413" t="str">
            <v>SanDiegoCCU-ERM Implementation</v>
          </cell>
          <cell r="H2413">
            <v>5029862</v>
          </cell>
          <cell r="AK2413" t="str">
            <v>Allan Cuttle</v>
          </cell>
        </row>
        <row r="2414">
          <cell r="C2414" t="str">
            <v>MS_FID Strats Senior PM</v>
          </cell>
          <cell r="H2414">
            <v>5028481</v>
          </cell>
          <cell r="AK2414" t="str">
            <v>Mitali Drews</v>
          </cell>
        </row>
        <row r="2415">
          <cell r="C2415" t="str">
            <v>4652-RAS-First  A National Ban</v>
          </cell>
          <cell r="H2415">
            <v>5030579</v>
          </cell>
          <cell r="AK2415" t="str">
            <v>Cristina Arechaga</v>
          </cell>
        </row>
        <row r="2416">
          <cell r="C2416" t="str">
            <v>FranklinSyn-CRE Model Validate</v>
          </cell>
          <cell r="H2416">
            <v>5029831</v>
          </cell>
          <cell r="AK2416" t="str">
            <v>Eric Holmquist</v>
          </cell>
        </row>
        <row r="2417">
          <cell r="C2417" t="str">
            <v>Investors-BSAAML Alert Remed</v>
          </cell>
          <cell r="H2417">
            <v>5029941</v>
          </cell>
          <cell r="AK2417" t="str">
            <v>Nancy Gregory</v>
          </cell>
        </row>
        <row r="2418">
          <cell r="C2418" t="str">
            <v>Mutual Bank-Compliance Offcer</v>
          </cell>
          <cell r="H2418">
            <v>5029998</v>
          </cell>
          <cell r="AK2418" t="str">
            <v>Leigh Tribou</v>
          </cell>
        </row>
        <row r="2419">
          <cell r="C2419" t="str">
            <v>Citi Divest TECH</v>
          </cell>
          <cell r="H2419">
            <v>5028585</v>
          </cell>
          <cell r="AK2419" t="str">
            <v>Robert Norris</v>
          </cell>
        </row>
        <row r="2420">
          <cell r="C2420" t="str">
            <v>TrustCoBank-Cybersec Consult</v>
          </cell>
          <cell r="H2420">
            <v>5029953</v>
          </cell>
          <cell r="AK2420" t="str">
            <v>David Lott</v>
          </cell>
        </row>
        <row r="2421">
          <cell r="C2421" t="str">
            <v>Academy Mortgage Corporati_RAS</v>
          </cell>
          <cell r="H2421">
            <v>5039576</v>
          </cell>
          <cell r="AK2421" t="str">
            <v>Rebecca Breland</v>
          </cell>
        </row>
        <row r="2422">
          <cell r="C2422" t="str">
            <v>JD Bank-BSA IT</v>
          </cell>
          <cell r="H2422">
            <v>5029633</v>
          </cell>
          <cell r="AK2422" t="str">
            <v>James Demieri</v>
          </cell>
        </row>
        <row r="2423">
          <cell r="C2423" t="str">
            <v>FrMc_IRCI Testing Amd 2</v>
          </cell>
          <cell r="H2423">
            <v>5026637</v>
          </cell>
          <cell r="AK2423" t="str">
            <v>Christopher Martines</v>
          </cell>
        </row>
        <row r="2424">
          <cell r="C2424" t="str">
            <v>Jefferies_Murex_2_Extn</v>
          </cell>
          <cell r="H2424">
            <v>5027488</v>
          </cell>
          <cell r="AK2424" t="str">
            <v>Chelsea Mattias</v>
          </cell>
        </row>
        <row r="2425">
          <cell r="C2425" t="str">
            <v>CapOne_COI Self Clear AMD 1</v>
          </cell>
          <cell r="H2425">
            <v>5028322</v>
          </cell>
          <cell r="AK2425" t="str">
            <v>Jennifer Hsiung</v>
          </cell>
        </row>
        <row r="2426">
          <cell r="C2426" t="str">
            <v>GS_Tax Ops 2017 H2 Amd2</v>
          </cell>
          <cell r="H2426">
            <v>5025082</v>
          </cell>
          <cell r="AK2426" t="str">
            <v>Bill Mollica</v>
          </cell>
        </row>
        <row r="2427">
          <cell r="C2427" t="str">
            <v>Century-LoanFile Comp Revw</v>
          </cell>
          <cell r="H2427">
            <v>5029546</v>
          </cell>
          <cell r="AK2427" t="str">
            <v>Jamar Green</v>
          </cell>
        </row>
        <row r="2428">
          <cell r="C2428" t="str">
            <v>FIS_Manu_Collateral Mgmt Supt</v>
          </cell>
          <cell r="H2428">
            <v>5028811</v>
          </cell>
          <cell r="AK2428" t="str">
            <v>Matan Bisk</v>
          </cell>
        </row>
        <row r="2429">
          <cell r="C2429" t="str">
            <v>Stonegate-BSAAML AC</v>
          </cell>
          <cell r="H2429">
            <v>5029748</v>
          </cell>
          <cell r="AK2429" t="str">
            <v>Ginger Dahlin</v>
          </cell>
        </row>
        <row r="2430">
          <cell r="C2430" t="str">
            <v>FIS_BNY_Payments Hub Analysis</v>
          </cell>
          <cell r="H2430">
            <v>5028679</v>
          </cell>
          <cell r="AK2430" t="str">
            <v>Kyle Chavers</v>
          </cell>
        </row>
        <row r="2431">
          <cell r="C2431" t="str">
            <v>Happy State-FL Consulting</v>
          </cell>
          <cell r="H2431">
            <v>5029534</v>
          </cell>
          <cell r="AK2431" t="str">
            <v>Paula Witt</v>
          </cell>
        </row>
        <row r="2432">
          <cell r="C2432" t="str">
            <v>Mechanics Bank_RAS</v>
          </cell>
          <cell r="H2432">
            <v>5039684</v>
          </cell>
          <cell r="AK2432" t="str">
            <v>Travis Peraza</v>
          </cell>
        </row>
        <row r="2433">
          <cell r="C2433" t="str">
            <v>MS_Strategy&amp;Advisory Framework</v>
          </cell>
          <cell r="H2433">
            <v>5028614</v>
          </cell>
          <cell r="AK2433" t="str">
            <v>Jennifer Hsiung</v>
          </cell>
        </row>
        <row r="2434">
          <cell r="C2434" t="str">
            <v>Santander-17 CRA Data Adt Val</v>
          </cell>
          <cell r="H2434">
            <v>5030026</v>
          </cell>
          <cell r="AK2434" t="str">
            <v>Paula Witt</v>
          </cell>
        </row>
        <row r="2435">
          <cell r="C2435" t="str">
            <v>NatCoop NA-ERM Risk Assessment</v>
          </cell>
          <cell r="H2435">
            <v>5029999</v>
          </cell>
          <cell r="AK2435" t="str">
            <v>Allan Cuttle</v>
          </cell>
        </row>
        <row r="2436">
          <cell r="C2436" t="str">
            <v>ElDoradoFSB-FL Program Review</v>
          </cell>
          <cell r="H2436">
            <v>5029982</v>
          </cell>
          <cell r="AK2436" t="str">
            <v>Lois Baxter</v>
          </cell>
        </row>
        <row r="2437">
          <cell r="C2437" t="str">
            <v>SecuritySCU-Pay Compl Consult</v>
          </cell>
          <cell r="H2437">
            <v>5030028</v>
          </cell>
          <cell r="AK2437" t="str">
            <v>Mary Louise Radley</v>
          </cell>
        </row>
        <row r="2438">
          <cell r="C2438" t="str">
            <v>UBS Visa Infinite Launch</v>
          </cell>
          <cell r="H2438">
            <v>5025384</v>
          </cell>
          <cell r="AK2438" t="str">
            <v>Kurian Philip</v>
          </cell>
        </row>
        <row r="2439">
          <cell r="C2439" t="str">
            <v>Investors-BSAAML Fraud Remed</v>
          </cell>
          <cell r="H2439">
            <v>5029942</v>
          </cell>
          <cell r="AK2439" t="str">
            <v>Robert Marro</v>
          </cell>
        </row>
        <row r="2440">
          <cell r="C2440" t="str">
            <v>Pershing_Cetera Trans (Full)</v>
          </cell>
          <cell r="H2440">
            <v>5028705</v>
          </cell>
          <cell r="AK2440" t="str">
            <v>Rao Surapaneni</v>
          </cell>
        </row>
        <row r="2441">
          <cell r="C2441" t="str">
            <v>WayBeyond-CMSO</v>
          </cell>
          <cell r="H2441">
            <v>5029642</v>
          </cell>
          <cell r="AK2441" t="str">
            <v>Leigh Tribou</v>
          </cell>
        </row>
        <row r="2442">
          <cell r="C2442" t="str">
            <v>SouthFirst Bank_RAS</v>
          </cell>
          <cell r="H2442">
            <v>5039725</v>
          </cell>
          <cell r="AK2442" t="str">
            <v>Travis Peraza</v>
          </cell>
        </row>
        <row r="2443">
          <cell r="C2443" t="str">
            <v>LoyaltyLend-CMSO</v>
          </cell>
          <cell r="H2443">
            <v>5029708</v>
          </cell>
          <cell r="AK2443" t="str">
            <v>Leigh Tribou</v>
          </cell>
        </row>
        <row r="2444">
          <cell r="C2444" t="str">
            <v>CapitalB NA-Compliance Reviews</v>
          </cell>
          <cell r="H2444">
            <v>5029806</v>
          </cell>
          <cell r="AK2444" t="str">
            <v>Steve Manitzas</v>
          </cell>
        </row>
        <row r="2445">
          <cell r="C2445" t="str">
            <v>UB_PurePoint 1.x Support</v>
          </cell>
          <cell r="H2445">
            <v>5028711</v>
          </cell>
          <cell r="AK2445" t="str">
            <v>Justin Hayden</v>
          </cell>
        </row>
        <row r="2446">
          <cell r="C2446" t="str">
            <v>FirstCity-BSA RA</v>
          </cell>
          <cell r="H2446">
            <v>5029703</v>
          </cell>
          <cell r="AK2446" t="str">
            <v>Chintan Patel</v>
          </cell>
        </row>
        <row r="2447">
          <cell r="C2447" t="str">
            <v>Curo-Compliance Audits</v>
          </cell>
          <cell r="H2447">
            <v>5029765</v>
          </cell>
          <cell r="AK2447" t="str">
            <v>Joseph Schmidt</v>
          </cell>
        </row>
        <row r="2448">
          <cell r="C2448" t="str">
            <v>AE_Custodian Integration</v>
          </cell>
          <cell r="H2448">
            <v>5028283</v>
          </cell>
          <cell r="AK2448" t="str">
            <v>DELETED USER</v>
          </cell>
        </row>
        <row r="2449">
          <cell r="C2449" t="str">
            <v>BMO_Spotfire Ph2</v>
          </cell>
          <cell r="H2449">
            <v>5028321</v>
          </cell>
          <cell r="AK2449" t="str">
            <v>Matthias Daus</v>
          </cell>
        </row>
        <row r="2450">
          <cell r="C2450" t="str">
            <v>BMO Data Gov p4</v>
          </cell>
          <cell r="H2450">
            <v>5027367</v>
          </cell>
          <cell r="AK2450" t="str">
            <v>Ramnish Gupta</v>
          </cell>
        </row>
        <row r="2451">
          <cell r="C2451" t="str">
            <v>MS_Strategy&amp;Advisory Amd 1</v>
          </cell>
          <cell r="H2451">
            <v>5028614</v>
          </cell>
          <cell r="AK2451" t="str">
            <v>Jennifer Hsiung</v>
          </cell>
        </row>
        <row r="2452">
          <cell r="C2452" t="str">
            <v>BarCap_Equity Finance Ext 1</v>
          </cell>
          <cell r="H2452">
            <v>5027768</v>
          </cell>
          <cell r="AK2452" t="str">
            <v>DELETED USER</v>
          </cell>
        </row>
        <row r="2453">
          <cell r="C2453" t="str">
            <v>RAS-Bancorp Bank</v>
          </cell>
          <cell r="H2453">
            <v>5032832</v>
          </cell>
          <cell r="AK2453" t="str">
            <v>Cristina Arechaga</v>
          </cell>
        </row>
        <row r="2454">
          <cell r="C2454" t="str">
            <v>UBS_DMO Amd 1</v>
          </cell>
          <cell r="H2454">
            <v>5027126</v>
          </cell>
          <cell r="AK2454" t="str">
            <v>DELETED USER</v>
          </cell>
        </row>
        <row r="2455">
          <cell r="C2455" t="str">
            <v>HB_Credit/debit Card Co4</v>
          </cell>
          <cell r="H2455">
            <v>5027248</v>
          </cell>
          <cell r="AK2455" t="str">
            <v>Daniela Hawkins</v>
          </cell>
        </row>
        <row r="2456">
          <cell r="C2456" t="str">
            <v>CA_OFAC vendor study</v>
          </cell>
          <cell r="H2456">
            <v>5028820</v>
          </cell>
          <cell r="AK2456" t="str">
            <v>Thanh Le Xuan</v>
          </cell>
        </row>
        <row r="2457">
          <cell r="C2457" t="str">
            <v>San_Data Steward Support</v>
          </cell>
          <cell r="H2457">
            <v>5028844</v>
          </cell>
          <cell r="AK2457" t="str">
            <v>Betsy Cherian</v>
          </cell>
        </row>
        <row r="2458">
          <cell r="C2458" t="str">
            <v>San_Infosec Program Imp</v>
          </cell>
          <cell r="H2458">
            <v>5028733</v>
          </cell>
          <cell r="AK2458" t="str">
            <v>Ridha Mesli</v>
          </cell>
        </row>
        <row r="2459">
          <cell r="C2459" t="str">
            <v>Jeff_QA Changesourcing Amd 2</v>
          </cell>
          <cell r="H2459">
            <v>5020146</v>
          </cell>
          <cell r="AK2459" t="str">
            <v>John McCaffrey</v>
          </cell>
        </row>
        <row r="2460">
          <cell r="C2460" t="str">
            <v>Millington Bank_RAS</v>
          </cell>
          <cell r="H2460">
            <v>5039689</v>
          </cell>
          <cell r="AK2460" t="str">
            <v>Travis Peraza</v>
          </cell>
        </row>
        <row r="2461">
          <cell r="C2461" t="str">
            <v>ALIC_Digital Phase 2</v>
          </cell>
          <cell r="H2461">
            <v>5028847</v>
          </cell>
          <cell r="AK2461" t="str">
            <v>Matthew Berkowitz</v>
          </cell>
        </row>
        <row r="2462">
          <cell r="C2462" t="str">
            <v>PLS FS-GLBA Audit</v>
          </cell>
          <cell r="H2462">
            <v>5029732</v>
          </cell>
          <cell r="AK2462" t="str">
            <v>DELETED USER</v>
          </cell>
        </row>
        <row r="2463">
          <cell r="C2463" t="str">
            <v>GS_Tax Ops 2017 Ext</v>
          </cell>
          <cell r="H2463">
            <v>5027473</v>
          </cell>
          <cell r="AK2463" t="str">
            <v>Bill Mollica</v>
          </cell>
        </row>
        <row r="2464">
          <cell r="C2464" t="str">
            <v>MS_Strategy&amp;Advisory Amd 2</v>
          </cell>
          <cell r="H2464">
            <v>5028614</v>
          </cell>
          <cell r="AK2464" t="str">
            <v>Jennifer Hsiung</v>
          </cell>
        </row>
        <row r="2465">
          <cell r="C2465" t="str">
            <v>OritaniBank-BSA Prog Optimizer</v>
          </cell>
          <cell r="H2465">
            <v>5029851</v>
          </cell>
          <cell r="AK2465" t="str">
            <v>DELETED USER</v>
          </cell>
        </row>
        <row r="2466">
          <cell r="C2466" t="str">
            <v>13066-RAS-Millington Bank</v>
          </cell>
          <cell r="H2466">
            <v>5030893</v>
          </cell>
          <cell r="AK2466" t="str">
            <v>Cristina Arechaga</v>
          </cell>
        </row>
        <row r="2467">
          <cell r="C2467" t="str">
            <v>2466-RAS-Fidelity Bank</v>
          </cell>
          <cell r="H2467">
            <v>5030457</v>
          </cell>
          <cell r="AK2467" t="str">
            <v>Cristina Arechaga</v>
          </cell>
        </row>
        <row r="2468">
          <cell r="C2468" t="str">
            <v>MS_Order Of Allocation</v>
          </cell>
          <cell r="H2468">
            <v>5028784</v>
          </cell>
          <cell r="AK2468" t="str">
            <v>Justin Gonlag</v>
          </cell>
        </row>
        <row r="2469">
          <cell r="C2469" t="str">
            <v>MS_Strategy&amp;Advisory Amd 4</v>
          </cell>
          <cell r="H2469">
            <v>5028614</v>
          </cell>
          <cell r="AK2469" t="str">
            <v>Jennifer Hsiung</v>
          </cell>
        </row>
        <row r="2470">
          <cell r="C2470" t="str">
            <v>WF_Ops PME Opportunity</v>
          </cell>
          <cell r="H2470">
            <v>5028828</v>
          </cell>
          <cell r="AK2470" t="str">
            <v>Elizabeth Allen</v>
          </cell>
        </row>
        <row r="2471">
          <cell r="C2471" t="str">
            <v>PrivateBank-HMDA CRA StaffAug2</v>
          </cell>
          <cell r="H2471">
            <v>5029858</v>
          </cell>
          <cell r="AK2471" t="str">
            <v>Paula Witt</v>
          </cell>
        </row>
        <row r="2472">
          <cell r="C2472" t="str">
            <v>BMO_FDIC reg strategy Ext 1</v>
          </cell>
          <cell r="H2472">
            <v>5028495</v>
          </cell>
          <cell r="AK2472" t="str">
            <v>George Simotas</v>
          </cell>
        </row>
        <row r="2473">
          <cell r="C2473" t="str">
            <v>FirstCity-BSAAML AC</v>
          </cell>
          <cell r="H2473">
            <v>5029745</v>
          </cell>
          <cell r="AK2473" t="str">
            <v>Chintan Patel</v>
          </cell>
        </row>
        <row r="2474">
          <cell r="C2474" t="str">
            <v>USBank_Lending_CapexPrep</v>
          </cell>
          <cell r="H2474">
            <v>5028858</v>
          </cell>
          <cell r="AK2474" t="str">
            <v>Karl Augenstein</v>
          </cell>
        </row>
        <row r="2475">
          <cell r="C2475" t="str">
            <v>BMO_Collections_Drum</v>
          </cell>
          <cell r="H2475">
            <v>5028857</v>
          </cell>
          <cell r="AK2475" t="str">
            <v>Ramnish Gupta</v>
          </cell>
        </row>
        <row r="2476">
          <cell r="C2476" t="str">
            <v>WF_Ops PME MicroStrategy</v>
          </cell>
          <cell r="H2476">
            <v>5028846</v>
          </cell>
          <cell r="AK2476" t="str">
            <v>Elizabeth Allen</v>
          </cell>
        </row>
        <row r="2477">
          <cell r="C2477" t="str">
            <v>GS_FIS_Black Knight Test Plan</v>
          </cell>
          <cell r="H2477">
            <v>5028977</v>
          </cell>
          <cell r="AK2477" t="str">
            <v>Angela McGregor</v>
          </cell>
        </row>
        <row r="2478">
          <cell r="C2478" t="str">
            <v>MS_Call Center Guided Proc</v>
          </cell>
          <cell r="H2478">
            <v>5028739</v>
          </cell>
          <cell r="AK2478" t="str">
            <v>DELETED USER</v>
          </cell>
        </row>
        <row r="2479">
          <cell r="C2479" t="str">
            <v>FrMc_Credit Risk Trans PMAmd 3</v>
          </cell>
          <cell r="H2479">
            <v>5027288</v>
          </cell>
          <cell r="AK2479" t="str">
            <v>Bharath Chikkamaranahalli Bhaskar</v>
          </cell>
        </row>
        <row r="2480">
          <cell r="C2480" t="str">
            <v>MS_Strategy&amp;Advisory Amd 3</v>
          </cell>
          <cell r="H2480">
            <v>5028614</v>
          </cell>
          <cell r="AK2480" t="str">
            <v>Jennifer Hsiung</v>
          </cell>
        </row>
        <row r="2481">
          <cell r="C2481" t="str">
            <v>Century-LoanFile Comp Revw-Ph2</v>
          </cell>
          <cell r="H2481">
            <v>5029811</v>
          </cell>
          <cell r="AK2481" t="str">
            <v>Jamar Green</v>
          </cell>
        </row>
        <row r="2482">
          <cell r="C2482" t="str">
            <v>FrMc_SS iUAT test ext 2</v>
          </cell>
          <cell r="H2482">
            <v>5026745</v>
          </cell>
          <cell r="AK2482" t="str">
            <v>Matt Markham</v>
          </cell>
        </row>
        <row r="2483">
          <cell r="C2483" t="str">
            <v>Dedicated-RegAd Consulting</v>
          </cell>
          <cell r="H2483">
            <v>5029548</v>
          </cell>
          <cell r="AK2483" t="str">
            <v>Amanda Pickering</v>
          </cell>
        </row>
        <row r="2484">
          <cell r="C2484" t="str">
            <v>Bradesco Team July-Sep (NY)</v>
          </cell>
          <cell r="H2484">
            <v>5029042</v>
          </cell>
          <cell r="AK2484" t="str">
            <v>Owen Priestley</v>
          </cell>
        </row>
        <row r="2485">
          <cell r="C2485" t="str">
            <v>RISC_State Bank of India</v>
          </cell>
          <cell r="H2485">
            <v>5029334</v>
          </cell>
          <cell r="AK2485" t="str">
            <v>Andy Pomeroy</v>
          </cell>
        </row>
        <row r="2486">
          <cell r="C2486" t="str">
            <v>UnitedBank-ERMC</v>
          </cell>
          <cell r="H2486">
            <v>5029676</v>
          </cell>
          <cell r="AK2486" t="str">
            <v>Allan Cuttle</v>
          </cell>
        </row>
        <row r="2487">
          <cell r="C2487" t="str">
            <v>AgChinaNY-Prime OFAC Assist</v>
          </cell>
          <cell r="H2487">
            <v>5029574</v>
          </cell>
          <cell r="AK2487" t="str">
            <v>William Sachs</v>
          </cell>
        </row>
        <row r="2488">
          <cell r="C2488" t="str">
            <v>Sterling-Compliance Monitor</v>
          </cell>
          <cell r="H2488">
            <v>5029907</v>
          </cell>
          <cell r="AK2488" t="str">
            <v>John Eshoo</v>
          </cell>
        </row>
        <row r="2489">
          <cell r="C2489" t="str">
            <v>Mount Hope-CMSO-TravelTime</v>
          </cell>
          <cell r="H2489">
            <v>5029557</v>
          </cell>
          <cell r="AK2489" t="str">
            <v>Steve Manitzas</v>
          </cell>
        </row>
        <row r="2490">
          <cell r="C2490" t="str">
            <v>UBS_Amex Referral Program</v>
          </cell>
          <cell r="H2490">
            <v>5029055</v>
          </cell>
          <cell r="AK2490" t="str">
            <v>Kurian Philip</v>
          </cell>
        </row>
        <row r="2491">
          <cell r="C2491" t="str">
            <v>MS_Governance</v>
          </cell>
          <cell r="H2491">
            <v>5029141</v>
          </cell>
          <cell r="AK2491" t="str">
            <v>Thea Smith</v>
          </cell>
        </row>
        <row r="2492">
          <cell r="C2492" t="str">
            <v>FrMc_CSP 2017</v>
          </cell>
          <cell r="H2492">
            <v>5028957</v>
          </cell>
          <cell r="AK2492" t="str">
            <v>Thomas Wilson</v>
          </cell>
        </row>
        <row r="2493">
          <cell r="C2493" t="str">
            <v>Xpress-Compliance StaffAug</v>
          </cell>
          <cell r="H2493">
            <v>5029569</v>
          </cell>
          <cell r="AK2493" t="str">
            <v>DELETED USER</v>
          </cell>
        </row>
        <row r="2494">
          <cell r="C2494" t="str">
            <v>ALIC_AIC Ops Optimization</v>
          </cell>
          <cell r="H2494">
            <v>5028975</v>
          </cell>
          <cell r="AK2494" t="str">
            <v>Ripple Bhullar</v>
          </cell>
        </row>
        <row r="2495">
          <cell r="C2495" t="str">
            <v>Sterling-HMDA Compl Assess</v>
          </cell>
          <cell r="H2495">
            <v>5029561</v>
          </cell>
          <cell r="AK2495" t="str">
            <v>John Eshoo</v>
          </cell>
        </row>
        <row r="2496">
          <cell r="C2496" t="str">
            <v>HarfordBank-BSAAML Review 17</v>
          </cell>
          <cell r="H2496">
            <v>5029937</v>
          </cell>
          <cell r="AK2496" t="str">
            <v>W. Annette Dredden</v>
          </cell>
        </row>
        <row r="2497">
          <cell r="C2497" t="str">
            <v>Seacoast-EDD Reviews</v>
          </cell>
          <cell r="H2497">
            <v>5029754</v>
          </cell>
          <cell r="AK2497" t="str">
            <v>Ginger Dahlin</v>
          </cell>
        </row>
        <row r="2498">
          <cell r="C2498" t="str">
            <v>Adirondack-Cybersec Analyst</v>
          </cell>
          <cell r="H2498">
            <v>5029573</v>
          </cell>
          <cell r="AK2498" t="str">
            <v>Robert Farmer</v>
          </cell>
        </row>
        <row r="2499">
          <cell r="C2499" t="str">
            <v>Sterling-UDAAP Monitoring</v>
          </cell>
          <cell r="H2499">
            <v>5029539</v>
          </cell>
          <cell r="AK2499" t="str">
            <v>John Eshoo</v>
          </cell>
        </row>
        <row r="2500">
          <cell r="C2500" t="str">
            <v>Cathay Bank-ALL Model Validate</v>
          </cell>
          <cell r="H2500">
            <v>5029810</v>
          </cell>
          <cell r="AK2500" t="str">
            <v>Allan Cuttle</v>
          </cell>
        </row>
        <row r="2501">
          <cell r="C2501" t="str">
            <v>Acopia LLC-Compliance StaffAug</v>
          </cell>
          <cell r="H2501">
            <v>5030044</v>
          </cell>
          <cell r="AK2501" t="str">
            <v>Louvera Walden</v>
          </cell>
        </row>
        <row r="2502">
          <cell r="C2502" t="str">
            <v>City Ntl FL-BSAAML AC</v>
          </cell>
          <cell r="H2502">
            <v>5029758</v>
          </cell>
          <cell r="AK2502" t="str">
            <v>Ginger Dahlin</v>
          </cell>
        </row>
        <row r="2503">
          <cell r="C2503" t="str">
            <v>PreferredCA-Mtg BankOps Audit</v>
          </cell>
          <cell r="H2503">
            <v>5030019</v>
          </cell>
          <cell r="AK2503" t="str">
            <v>Mary Louise Radley</v>
          </cell>
        </row>
        <row r="2504">
          <cell r="C2504" t="str">
            <v>PreferredCA-Compliance Audits</v>
          </cell>
          <cell r="H2504">
            <v>5030018</v>
          </cell>
          <cell r="AK2504" t="str">
            <v>Mary Louise Radley</v>
          </cell>
        </row>
        <row r="2505">
          <cell r="C2505" t="str">
            <v>Plumas Bank-CMSO</v>
          </cell>
          <cell r="H2505">
            <v>5029717</v>
          </cell>
          <cell r="AK2505" t="str">
            <v>Mary Louise Radley</v>
          </cell>
        </row>
        <row r="2506">
          <cell r="C2506" t="str">
            <v>UBS_DMO 2017/2018 US</v>
          </cell>
          <cell r="H2506">
            <v>5028757</v>
          </cell>
          <cell r="AK2506" t="str">
            <v>Angela McGregor</v>
          </cell>
        </row>
        <row r="2507">
          <cell r="C2507" t="str">
            <v>TrustCoBank-EWRA</v>
          </cell>
          <cell r="H2507">
            <v>5029722</v>
          </cell>
          <cell r="AK2507" t="str">
            <v>Allan Cuttle</v>
          </cell>
        </row>
        <row r="2508">
          <cell r="C2508" t="str">
            <v>CentrlBanco-Compliance Audits</v>
          </cell>
          <cell r="H2508">
            <v>5029974</v>
          </cell>
          <cell r="AK2508" t="str">
            <v>Randall Patton</v>
          </cell>
        </row>
        <row r="2509">
          <cell r="C2509" t="str">
            <v>BoW_MDM Change</v>
          </cell>
          <cell r="H2509">
            <v>5029263</v>
          </cell>
          <cell r="AK2509" t="str">
            <v>Paul Tatseos</v>
          </cell>
        </row>
        <row r="2510">
          <cell r="C2510" t="str">
            <v>Customers-ERMC</v>
          </cell>
          <cell r="H2510">
            <v>5029625</v>
          </cell>
          <cell r="AK2510" t="str">
            <v>Allan Cuttle</v>
          </cell>
        </row>
        <row r="2511">
          <cell r="C2511" t="str">
            <v>FreedomVA-Compliance RA</v>
          </cell>
          <cell r="H2511">
            <v>5029775</v>
          </cell>
          <cell r="AK2511" t="str">
            <v>Alice Judd</v>
          </cell>
        </row>
        <row r="2512">
          <cell r="C2512" t="str">
            <v>MS DOL Program Amd 4</v>
          </cell>
          <cell r="H2512">
            <v>5027829</v>
          </cell>
          <cell r="AK2512" t="str">
            <v>Phil Kerkel</v>
          </cell>
        </row>
        <row r="2513">
          <cell r="C2513" t="str">
            <v>Sterling-EWRA</v>
          </cell>
          <cell r="H2513">
            <v>5029613</v>
          </cell>
          <cell r="AK2513" t="str">
            <v>Allan Cuttle</v>
          </cell>
        </row>
        <row r="2514">
          <cell r="C2514" t="str">
            <v>Sterling-UDAAP Risk Assess</v>
          </cell>
          <cell r="H2514">
            <v>5029562</v>
          </cell>
          <cell r="AK2514" t="str">
            <v>Allan Cuttle</v>
          </cell>
        </row>
        <row r="2515">
          <cell r="C2515" t="str">
            <v>BMO Harris_Fin Reg Sup Co1</v>
          </cell>
          <cell r="H2515">
            <v>5027670</v>
          </cell>
          <cell r="AK2515" t="str">
            <v>Ramnish Gupta</v>
          </cell>
        </row>
        <row r="2516">
          <cell r="C2516" t="str">
            <v>UBS AG DMO Amd 1</v>
          </cell>
          <cell r="H2516">
            <v>5028757</v>
          </cell>
          <cell r="AK2516" t="str">
            <v>Angela McGregor</v>
          </cell>
        </row>
        <row r="2517">
          <cell r="C2517" t="str">
            <v>MS_Finance Reg Reporting Amd 2</v>
          </cell>
          <cell r="H2517">
            <v>5025952</v>
          </cell>
          <cell r="AK2517" t="str">
            <v>Angela McGregor</v>
          </cell>
        </row>
        <row r="2518">
          <cell r="C2518" t="str">
            <v>ALIC_Enterprise Digital Amd 1</v>
          </cell>
          <cell r="H2518">
            <v>5028546</v>
          </cell>
          <cell r="AK2518" t="str">
            <v>Phil Kerkel</v>
          </cell>
        </row>
        <row r="2519">
          <cell r="C2519" t="str">
            <v>FrMc_CSP IT PMO Amd 2</v>
          </cell>
          <cell r="H2519">
            <v>5024554</v>
          </cell>
          <cell r="AK2519" t="str">
            <v>Darrell Rials</v>
          </cell>
        </row>
        <row r="2520">
          <cell r="C2520" t="str">
            <v>MS_Market Risk Infra Amd 3</v>
          </cell>
          <cell r="H2520">
            <v>5027428</v>
          </cell>
          <cell r="AK2520" t="str">
            <v>Iruka Brown</v>
          </cell>
        </row>
        <row r="2521">
          <cell r="C2521" t="str">
            <v>FrMc_Business Resiliency Amd 2</v>
          </cell>
          <cell r="H2521">
            <v>5028562</v>
          </cell>
          <cell r="AK2521" t="str">
            <v>Karl Augenstein</v>
          </cell>
        </row>
        <row r="2522">
          <cell r="C2522" t="str">
            <v>FrMc_SS Data Ext 2</v>
          </cell>
          <cell r="H2522">
            <v>5027460</v>
          </cell>
          <cell r="AK2522" t="str">
            <v>Aditya Udas</v>
          </cell>
        </row>
        <row r="2523">
          <cell r="C2523" t="str">
            <v>KB_Commercial Lending-Service</v>
          </cell>
          <cell r="H2523">
            <v>5028976</v>
          </cell>
          <cell r="AK2523" t="str">
            <v>Jeffrey Bordan</v>
          </cell>
        </row>
        <row r="2524">
          <cell r="C2524" t="str">
            <v>WF_LTV &amp; DTI Validation Prgm</v>
          </cell>
          <cell r="H2524">
            <v>5028830</v>
          </cell>
          <cell r="AK2524" t="str">
            <v>DELETED USER</v>
          </cell>
        </row>
        <row r="2525">
          <cell r="C2525" t="str">
            <v>RBCUS_Resolution Planning</v>
          </cell>
          <cell r="H2525">
            <v>5029029</v>
          </cell>
          <cell r="AK2525" t="str">
            <v>Daniel Holness</v>
          </cell>
        </row>
        <row r="2526">
          <cell r="C2526" t="str">
            <v>Jeff_Murex Implementation PM</v>
          </cell>
          <cell r="H2526">
            <v>5029073</v>
          </cell>
          <cell r="AK2526" t="str">
            <v>Chelsea Mattias</v>
          </cell>
        </row>
        <row r="2527">
          <cell r="C2527" t="str">
            <v>FrMc_Business Resiliency Amd 3</v>
          </cell>
          <cell r="H2527">
            <v>5028562</v>
          </cell>
          <cell r="AK2527" t="str">
            <v>Karl Augenstein</v>
          </cell>
        </row>
        <row r="2528">
          <cell r="C2528" t="str">
            <v>TrustCoBank-Cybersec Prog A&amp;E</v>
          </cell>
          <cell r="H2528">
            <v>5030032</v>
          </cell>
          <cell r="AK2528" t="str">
            <v>David Lott</v>
          </cell>
        </row>
        <row r="2529">
          <cell r="C2529" t="str">
            <v>UBS AG DMO Amd 2</v>
          </cell>
          <cell r="H2529">
            <v>5028757</v>
          </cell>
          <cell r="AK2529" t="str">
            <v>Angela McGregor</v>
          </cell>
        </row>
        <row r="2530">
          <cell r="C2530" t="str">
            <v>FrMc_Business Resiliency Amd 1</v>
          </cell>
          <cell r="H2530">
            <v>5028562</v>
          </cell>
          <cell r="AK2530" t="str">
            <v>Karl Augenstein</v>
          </cell>
        </row>
        <row r="2531">
          <cell r="C2531" t="str">
            <v>Deutsche-Mtg File Review</v>
          </cell>
          <cell r="H2531">
            <v>5029785</v>
          </cell>
          <cell r="AK2531" t="str">
            <v>DELETED USER</v>
          </cell>
        </row>
        <row r="2532">
          <cell r="C2532" t="str">
            <v>Citi_Divestiture Bus Analysis</v>
          </cell>
          <cell r="H2532">
            <v>5029057</v>
          </cell>
          <cell r="AK2532" t="str">
            <v>Robert Norris</v>
          </cell>
        </row>
        <row r="2533">
          <cell r="C2533" t="str">
            <v>Citi_YB LSE Divest PM + Arch</v>
          </cell>
          <cell r="H2533">
            <v>5029138</v>
          </cell>
          <cell r="AK2533" t="str">
            <v>Robert Norris</v>
          </cell>
        </row>
        <row r="2534">
          <cell r="C2534" t="str">
            <v>Ameris-AML System Support</v>
          </cell>
          <cell r="H2534">
            <v>5029528</v>
          </cell>
          <cell r="AK2534" t="str">
            <v>DELETED USER</v>
          </cell>
        </row>
        <row r="2535">
          <cell r="C2535" t="str">
            <v>Payments Hub Analysis CO#1</v>
          </cell>
          <cell r="H2535">
            <v>5028679</v>
          </cell>
          <cell r="AK2535" t="str">
            <v>Kyle Chavers</v>
          </cell>
        </row>
        <row r="2536">
          <cell r="C2536" t="str">
            <v>GL_Training Delivery II Ext</v>
          </cell>
          <cell r="H2536">
            <v>5028518</v>
          </cell>
          <cell r="AK2536" t="str">
            <v>Jennifer Hsiung</v>
          </cell>
        </row>
        <row r="2537">
          <cell r="C2537" t="str">
            <v>BarCap_CDO - BI</v>
          </cell>
          <cell r="H2537">
            <v>5029120</v>
          </cell>
          <cell r="AK2537" t="str">
            <v>Michael Liao</v>
          </cell>
        </row>
        <row r="2538">
          <cell r="C2538" t="str">
            <v>UBS_DMO 2017 US Amd 3</v>
          </cell>
          <cell r="H2538">
            <v>5028757</v>
          </cell>
          <cell r="AK2538" t="str">
            <v>Angela McGregor</v>
          </cell>
        </row>
        <row r="2539">
          <cell r="C2539" t="str">
            <v>RBCUS_Risk Volker RENTD Amd 1</v>
          </cell>
          <cell r="H2539">
            <v>5028567</v>
          </cell>
          <cell r="AK2539" t="str">
            <v>Alexis Chan</v>
          </cell>
        </row>
        <row r="2540">
          <cell r="C2540" t="str">
            <v>Project Rain</v>
          </cell>
          <cell r="H2540">
            <v>5029311</v>
          </cell>
          <cell r="AK2540" t="str">
            <v>DELETED USER</v>
          </cell>
        </row>
        <row r="2541">
          <cell r="C2541" t="str">
            <v>Citi_Yieldbook Divestiture</v>
          </cell>
          <cell r="H2541">
            <v>5029139</v>
          </cell>
          <cell r="AK2541" t="str">
            <v>Robert Norris</v>
          </cell>
        </row>
        <row r="2542">
          <cell r="C2542" t="str">
            <v>Amalgamated-EWRA</v>
          </cell>
          <cell r="H2542">
            <v>5029681</v>
          </cell>
          <cell r="AK2542" t="str">
            <v>DELETED USER</v>
          </cell>
        </row>
        <row r="2543">
          <cell r="C2543" t="str">
            <v>Insikt Inc-BSA IT</v>
          </cell>
          <cell r="H2543">
            <v>5029725</v>
          </cell>
          <cell r="AK2543" t="str">
            <v>Lori Robeson</v>
          </cell>
        </row>
        <row r="2544">
          <cell r="C2544" t="str">
            <v>Shizuoka-BSAAML Consulting</v>
          </cell>
          <cell r="H2544">
            <v>5029559</v>
          </cell>
          <cell r="AK2544" t="str">
            <v>James Demieri</v>
          </cell>
        </row>
        <row r="2545">
          <cell r="C2545" t="str">
            <v>Danbury-IDTheft Risk Assess</v>
          </cell>
          <cell r="H2545">
            <v>5029891</v>
          </cell>
          <cell r="AK2545" t="str">
            <v>Mary Louise Radley</v>
          </cell>
        </row>
        <row r="2546">
          <cell r="C2546" t="str">
            <v>Deposit Transform CTA CO #1</v>
          </cell>
          <cell r="H2546">
            <v>5028209</v>
          </cell>
          <cell r="AK2546" t="str">
            <v>Michael Tao</v>
          </cell>
        </row>
        <row r="2547">
          <cell r="C2547" t="str">
            <v>Baltimore-BSA IT</v>
          </cell>
          <cell r="H2547">
            <v>5029685</v>
          </cell>
          <cell r="AK2547" t="str">
            <v>Benay Nachin</v>
          </cell>
        </row>
        <row r="2548">
          <cell r="C2548" t="str">
            <v>Jeff_Risk Based Capital PMO</v>
          </cell>
          <cell r="H2548">
            <v>5029106</v>
          </cell>
          <cell r="AK2548" t="str">
            <v>Chelsea Mattias</v>
          </cell>
        </row>
        <row r="2549">
          <cell r="C2549" t="str">
            <v>DB_WM Process Modelling</v>
          </cell>
          <cell r="H2549">
            <v>5029160</v>
          </cell>
          <cell r="AK2549" t="str">
            <v>DELETED USER</v>
          </cell>
        </row>
        <row r="2550">
          <cell r="C2550" t="str">
            <v>FIS-Regulatory Data Feed</v>
          </cell>
          <cell r="H2550">
            <v>5033291</v>
          </cell>
          <cell r="AK2550" t="str">
            <v>Leah Robinson</v>
          </cell>
        </row>
        <row r="2551">
          <cell r="C2551" t="str">
            <v>ValleyNat-Compl Consulting</v>
          </cell>
          <cell r="H2551">
            <v>5029563</v>
          </cell>
          <cell r="AK2551" t="str">
            <v>Steve Manitzas</v>
          </cell>
        </row>
        <row r="2552">
          <cell r="C2552" t="str">
            <v>MainStreet-3rdPrty PayProc Adt</v>
          </cell>
          <cell r="H2552">
            <v>5029843</v>
          </cell>
          <cell r="AK2552" t="str">
            <v>Mary Louise Radley</v>
          </cell>
        </row>
        <row r="2553">
          <cell r="C2553" t="str">
            <v>Univest-Compliance Risk Assess</v>
          </cell>
          <cell r="H2553">
            <v>5029866</v>
          </cell>
          <cell r="AK2553" t="str">
            <v>Steve Manitzas</v>
          </cell>
        </row>
        <row r="2554">
          <cell r="C2554" t="str">
            <v>ICB China-Policy Review</v>
          </cell>
          <cell r="H2554">
            <v>5029776</v>
          </cell>
          <cell r="AK2554" t="str">
            <v>DELETED USER</v>
          </cell>
        </row>
        <row r="2555">
          <cell r="C2555" t="str">
            <v>BMO Harris_Reg Rpt Automation</v>
          </cell>
          <cell r="H2555">
            <v>5029184</v>
          </cell>
          <cell r="AK2555" t="str">
            <v>Ramnish Gupta</v>
          </cell>
        </row>
        <row r="2556">
          <cell r="C2556" t="str">
            <v>Veritex-RiskModel Validate 17</v>
          </cell>
          <cell r="H2556">
            <v>5030035</v>
          </cell>
          <cell r="AK2556" t="str">
            <v>Allan Cuttle</v>
          </cell>
        </row>
        <row r="2557">
          <cell r="C2557" t="str">
            <v>BasePoint-CMS Audit</v>
          </cell>
          <cell r="H2557">
            <v>5029750</v>
          </cell>
          <cell r="AK2557" t="str">
            <v>DELETED USER</v>
          </cell>
        </row>
        <row r="2558">
          <cell r="C2558" t="str">
            <v>India NY-DFS500 Policy Revw</v>
          </cell>
          <cell r="H2558">
            <v>5029898</v>
          </cell>
          <cell r="AK2558" t="str">
            <v>David Lott</v>
          </cell>
        </row>
        <row r="2559">
          <cell r="C2559" t="str">
            <v>2785-RAS-Trustco Bank</v>
          </cell>
          <cell r="H2559">
            <v>5030486</v>
          </cell>
          <cell r="AK2559" t="str">
            <v>Cristina Arechaga</v>
          </cell>
        </row>
        <row r="2560">
          <cell r="C2560" t="str">
            <v>HSBC 2017 Flex H2</v>
          </cell>
          <cell r="H2560">
            <v>5025305</v>
          </cell>
          <cell r="AK2560" t="str">
            <v>Rahul Govada</v>
          </cell>
        </row>
        <row r="2561">
          <cell r="C2561" t="str">
            <v>HSBC_FCR</v>
          </cell>
          <cell r="H2561">
            <v>5029140</v>
          </cell>
          <cell r="AK2561" t="str">
            <v>Rahul Govada</v>
          </cell>
        </row>
        <row r="2562">
          <cell r="C2562" t="str">
            <v>Census FCU-Loan Policy Review</v>
          </cell>
          <cell r="H2562">
            <v>5029973</v>
          </cell>
          <cell r="AK2562" t="str">
            <v>Eric Holmquist</v>
          </cell>
        </row>
        <row r="2563">
          <cell r="C2563" t="str">
            <v>WestAmerica-BSA ModelValidat</v>
          </cell>
          <cell r="H2563">
            <v>5029955</v>
          </cell>
          <cell r="AK2563" t="str">
            <v>Allan Cuttle</v>
          </cell>
        </row>
        <row r="2564">
          <cell r="C2564" t="str">
            <v>Clear Mount-BSA System Rvw 17</v>
          </cell>
          <cell r="H2564">
            <v>5029976</v>
          </cell>
          <cell r="AK2564" t="str">
            <v>William Sachs</v>
          </cell>
        </row>
        <row r="2565">
          <cell r="C2565" t="str">
            <v>MS_Strategy&amp;Advisory Amd 5</v>
          </cell>
          <cell r="H2565">
            <v>5028614</v>
          </cell>
          <cell r="AK2565" t="str">
            <v>Jennifer Hsiung</v>
          </cell>
        </row>
        <row r="2566">
          <cell r="C2566" t="str">
            <v>Golden 1 CU-ERMC</v>
          </cell>
          <cell r="H2566">
            <v>5029881</v>
          </cell>
          <cell r="AK2566" t="str">
            <v>Allan Cuttle</v>
          </cell>
        </row>
        <row r="2567">
          <cell r="C2567" t="str">
            <v>Philadelphia-ComplianceConsult</v>
          </cell>
          <cell r="H2567">
            <v>5029883</v>
          </cell>
          <cell r="AK2567" t="str">
            <v>Christian Maier</v>
          </cell>
        </row>
        <row r="2568">
          <cell r="C2568" t="str">
            <v>CNB Bank-BSA IT</v>
          </cell>
          <cell r="H2568">
            <v>5029660</v>
          </cell>
          <cell r="AK2568" t="str">
            <v>William Sachs</v>
          </cell>
        </row>
        <row r="2569">
          <cell r="C2569" t="str">
            <v>Byline Bank-FL Consulting</v>
          </cell>
          <cell r="H2569">
            <v>5029529</v>
          </cell>
          <cell r="AK2569" t="str">
            <v>Paula Witt</v>
          </cell>
        </row>
        <row r="2570">
          <cell r="C2570" t="str">
            <v>CommunityDL-HMDA Scrub</v>
          </cell>
          <cell r="H2570">
            <v>5029764</v>
          </cell>
          <cell r="AK2570" t="str">
            <v>Gail Rassler</v>
          </cell>
        </row>
        <row r="2571">
          <cell r="C2571" t="str">
            <v>Baltimore-MQC</v>
          </cell>
          <cell r="H2571">
            <v>5029605</v>
          </cell>
          <cell r="AK2571" t="str">
            <v>Cristina Arechaga</v>
          </cell>
        </row>
        <row r="2572">
          <cell r="C2572" t="str">
            <v>WA Federal-AML Program Review</v>
          </cell>
          <cell r="H2572">
            <v>5030037</v>
          </cell>
          <cell r="AK2572" t="str">
            <v>DELETED USER</v>
          </cell>
        </row>
        <row r="2573">
          <cell r="C2573" t="str">
            <v>3619-RAS-Centennial Bank</v>
          </cell>
          <cell r="H2573">
            <v>5030539</v>
          </cell>
          <cell r="AK2573" t="str">
            <v>Cristina Arechaga</v>
          </cell>
        </row>
        <row r="2574">
          <cell r="C2574" t="str">
            <v>CapitalB NA-Compl Mgmt Sys Rev</v>
          </cell>
          <cell r="H2574">
            <v>5029874</v>
          </cell>
          <cell r="AK2574" t="str">
            <v>Randall Patton</v>
          </cell>
        </row>
        <row r="2575">
          <cell r="C2575" t="str">
            <v>Alma Bank-BSAAML Consulting</v>
          </cell>
          <cell r="H2575">
            <v>5029575</v>
          </cell>
          <cell r="AK2575" t="str">
            <v>Lynn Jarmon</v>
          </cell>
        </row>
        <row r="2576">
          <cell r="C2576" t="str">
            <v>Catholic-CybersecPolicyDev</v>
          </cell>
          <cell r="H2576">
            <v>5029888</v>
          </cell>
          <cell r="AK2576" t="str">
            <v>David Lott</v>
          </cell>
        </row>
        <row r="2577">
          <cell r="C2577" t="str">
            <v>WestAmerica-BSA IT</v>
          </cell>
          <cell r="H2577">
            <v>5029743</v>
          </cell>
          <cell r="AK2577" t="str">
            <v>Benay Nachin</v>
          </cell>
        </row>
        <row r="2578">
          <cell r="C2578" t="str">
            <v>First Bank-CRA Perf Eval</v>
          </cell>
          <cell r="H2578">
            <v>5029787</v>
          </cell>
          <cell r="AK2578" t="str">
            <v>Paula Witt</v>
          </cell>
        </row>
        <row r="2579">
          <cell r="C2579" t="str">
            <v>DB_Data Analysis</v>
          </cell>
          <cell r="H2579">
            <v>5029265</v>
          </cell>
          <cell r="AK2579" t="str">
            <v>Justin Gonlag</v>
          </cell>
        </row>
        <row r="2580">
          <cell r="C2580" t="str">
            <v>FDCIP CO #6: UAT Scripts</v>
          </cell>
          <cell r="H2580">
            <v>5027248</v>
          </cell>
          <cell r="AK2580" t="str">
            <v>Daniela Hawkins</v>
          </cell>
        </row>
        <row r="2581">
          <cell r="C2581" t="str">
            <v>1stColonial-HMDA &amp; CRA Review</v>
          </cell>
          <cell r="H2581">
            <v>5029960</v>
          </cell>
          <cell r="AK2581" t="str">
            <v>Lorraine Williams</v>
          </cell>
        </row>
        <row r="2582">
          <cell r="C2582" t="str">
            <v>GS_QFC Recordkeeping</v>
          </cell>
          <cell r="H2582">
            <v>5029119</v>
          </cell>
          <cell r="AK2582" t="str">
            <v>Ryan Savoca</v>
          </cell>
        </row>
        <row r="2583">
          <cell r="C2583" t="str">
            <v>UBS_WMA Advisory PM/BA</v>
          </cell>
          <cell r="H2583">
            <v>5029254</v>
          </cell>
          <cell r="AK2583" t="str">
            <v>DELETED USER</v>
          </cell>
        </row>
        <row r="2584">
          <cell r="C2584" t="str">
            <v>UB_PurePoint 1.x UAT Execution</v>
          </cell>
          <cell r="H2584">
            <v>5029267</v>
          </cell>
          <cell r="AK2584" t="str">
            <v>Justin Hayden</v>
          </cell>
        </row>
        <row r="2585">
          <cell r="C2585" t="str">
            <v>BasePoint-CMS Audit - JORA</v>
          </cell>
          <cell r="H2585">
            <v>5029543</v>
          </cell>
          <cell r="AK2585" t="str">
            <v>DELETED USER</v>
          </cell>
        </row>
        <row r="2586">
          <cell r="C2586" t="str">
            <v>Bear State-FL RiskAssessment</v>
          </cell>
          <cell r="H2586">
            <v>5029916</v>
          </cell>
          <cell r="AK2586" t="str">
            <v>Paula Witt</v>
          </cell>
        </row>
        <row r="2587">
          <cell r="C2587" t="str">
            <v>Flame</v>
          </cell>
          <cell r="H2587">
            <v>5030198</v>
          </cell>
          <cell r="AK2587" t="str">
            <v>Lonnie Ingram</v>
          </cell>
        </row>
        <row r="2588">
          <cell r="C2588" t="str">
            <v>OritaniBank-Prime Pol&amp;Proc</v>
          </cell>
          <cell r="H2588">
            <v>5029882</v>
          </cell>
          <cell r="AK2588" t="str">
            <v>DELETED USER</v>
          </cell>
        </row>
        <row r="2589">
          <cell r="C2589" t="str">
            <v>FIS-Navient Solutions-Reg U</v>
          </cell>
          <cell r="H2589">
            <v>5029571</v>
          </cell>
          <cell r="AK2589" t="str">
            <v>Alejandro Vanegas</v>
          </cell>
        </row>
        <row r="2590">
          <cell r="C2590" t="str">
            <v>Capco-RBC GRM OCC Height Stand</v>
          </cell>
          <cell r="H2590">
            <v>5029266</v>
          </cell>
          <cell r="AK2590" t="str">
            <v>Nikita Mehta</v>
          </cell>
        </row>
        <row r="2591">
          <cell r="C2591" t="str">
            <v>Delaware BA-BSAAML Training</v>
          </cell>
          <cell r="H2591">
            <v>5029879</v>
          </cell>
          <cell r="AK2591" t="str">
            <v>Robert Cardwell</v>
          </cell>
        </row>
        <row r="2592">
          <cell r="C2592" t="str">
            <v>Murex Testing and Release Mgmt</v>
          </cell>
          <cell r="H2592">
            <v>5029309</v>
          </cell>
          <cell r="AK2592" t="str">
            <v>Kittu Achan</v>
          </cell>
        </row>
        <row r="2593">
          <cell r="C2593" t="str">
            <v>CapitalB NA-Audit Review</v>
          </cell>
          <cell r="H2593">
            <v>5029783</v>
          </cell>
          <cell r="AK2593" t="str">
            <v>Mary Louise Radley</v>
          </cell>
        </row>
        <row r="2594">
          <cell r="C2594" t="str">
            <v>FSB_Capability Model&amp;Roadmap</v>
          </cell>
          <cell r="H2594">
            <v>5029313</v>
          </cell>
          <cell r="AK2594" t="str">
            <v>Andrew Murphy</v>
          </cell>
        </row>
        <row r="2595">
          <cell r="C2595" t="str">
            <v>GS_Enterprise Risk Dashboard</v>
          </cell>
          <cell r="H2595">
            <v>5029362</v>
          </cell>
          <cell r="AK2595" t="str">
            <v>DELETED USER</v>
          </cell>
        </row>
        <row r="2596">
          <cell r="C2596" t="str">
            <v>Alma Bank-IT Consulting</v>
          </cell>
          <cell r="H2596">
            <v>5029767</v>
          </cell>
          <cell r="AK2596" t="str">
            <v>Robert Farmer</v>
          </cell>
        </row>
        <row r="2597">
          <cell r="C2597" t="str">
            <v>10277-RAS-Napoleon State Bank</v>
          </cell>
          <cell r="H2597">
            <v>5030789</v>
          </cell>
          <cell r="AK2597" t="str">
            <v>Cristina Arechaga</v>
          </cell>
        </row>
        <row r="2598">
          <cell r="C2598" t="str">
            <v>GS BACM Tax 871M Support</v>
          </cell>
          <cell r="H2598">
            <v>5029366</v>
          </cell>
          <cell r="AK2598" t="str">
            <v>Chintan Chokshi</v>
          </cell>
        </row>
        <row r="2599">
          <cell r="C2599" t="str">
            <v>Summit-Compliance RA</v>
          </cell>
          <cell r="H2599">
            <v>5029755</v>
          </cell>
          <cell r="AK2599" t="str">
            <v>Steve Manitzas</v>
          </cell>
        </row>
        <row r="2600">
          <cell r="C2600" t="str">
            <v>BoW_MDM_Part 2</v>
          </cell>
          <cell r="H2600">
            <v>5029367</v>
          </cell>
          <cell r="AK2600" t="str">
            <v>Paul Tatseos</v>
          </cell>
        </row>
        <row r="2601">
          <cell r="C2601" t="str">
            <v>5th3rd_SysRationalizeResource</v>
          </cell>
          <cell r="H2601">
            <v>5028501</v>
          </cell>
          <cell r="AK2601" t="str">
            <v>Tulsi Mehta</v>
          </cell>
        </row>
        <row r="2602">
          <cell r="C2602" t="str">
            <v>Empire Natl-BSARules Train&amp;Opt</v>
          </cell>
          <cell r="H2602">
            <v>5029826</v>
          </cell>
          <cell r="AK2602" t="str">
            <v>DELETED USER</v>
          </cell>
        </row>
        <row r="2603">
          <cell r="C2603" t="str">
            <v>Jeff_ComplySci Compliance PM</v>
          </cell>
          <cell r="H2603">
            <v>5029413</v>
          </cell>
          <cell r="AK2603" t="str">
            <v>Chelsea Mattias</v>
          </cell>
        </row>
        <row r="2604">
          <cell r="C2604" t="str">
            <v>GS_BACM Sec Div US Support - I</v>
          </cell>
          <cell r="H2604">
            <v>5029377</v>
          </cell>
          <cell r="AK2604" t="str">
            <v>Bill Mollica</v>
          </cell>
        </row>
        <row r="2605">
          <cell r="C2605" t="str">
            <v>MS_IM Ops Business Mgr</v>
          </cell>
          <cell r="H2605">
            <v>5029361</v>
          </cell>
          <cell r="AK2605" t="str">
            <v>Angela McGregor</v>
          </cell>
        </row>
        <row r="2606">
          <cell r="C2606" t="str">
            <v>PGMehoopany-IT Gen Cont Audit</v>
          </cell>
          <cell r="H2606">
            <v>5029854</v>
          </cell>
          <cell r="AK2606" t="str">
            <v>Robert Farmer</v>
          </cell>
        </row>
        <row r="2607">
          <cell r="C2607" t="str">
            <v>1stChoiceCA-HR Internal Audit</v>
          </cell>
          <cell r="H2607">
            <v>5029959</v>
          </cell>
          <cell r="AK2607" t="str">
            <v>Mary Louise Radley</v>
          </cell>
        </row>
        <row r="2608">
          <cell r="C2608" t="str">
            <v>LBTaiwan NY-NonBSA Compl Audit</v>
          </cell>
          <cell r="H2608">
            <v>5029842</v>
          </cell>
          <cell r="AK2608" t="str">
            <v>DELETED USER</v>
          </cell>
        </row>
        <row r="2609">
          <cell r="C2609" t="str">
            <v>Shizuoka-Compliance Review</v>
          </cell>
          <cell r="H2609">
            <v>5029560</v>
          </cell>
          <cell r="AK2609" t="str">
            <v>DELETED USER</v>
          </cell>
        </row>
        <row r="2610">
          <cell r="C2610" t="str">
            <v>ColonialFSB-Compliance Reviews</v>
          </cell>
          <cell r="H2610">
            <v>5029817</v>
          </cell>
          <cell r="AK2610" t="str">
            <v>Leigh Tribou</v>
          </cell>
        </row>
        <row r="2611">
          <cell r="C2611" t="str">
            <v>Bear State-LoanSvc &amp;CollectRvw</v>
          </cell>
          <cell r="H2611">
            <v>5029872</v>
          </cell>
          <cell r="AK2611" t="str">
            <v>Dennis Smith</v>
          </cell>
        </row>
        <row r="2612">
          <cell r="C2612" t="str">
            <v>ANZ Guam Inc _RAS</v>
          </cell>
          <cell r="H2612">
            <v>5039584</v>
          </cell>
          <cell r="AK2612" t="str">
            <v>Travis Peraza</v>
          </cell>
        </row>
        <row r="2613">
          <cell r="C2613" t="str">
            <v>BMO_Spotfire Ph3</v>
          </cell>
          <cell r="H2613">
            <v>5028321</v>
          </cell>
          <cell r="AK2613" t="str">
            <v>Matthias Daus</v>
          </cell>
        </row>
        <row r="2614">
          <cell r="C2614" t="str">
            <v>Bear State-BSAAML OFAC Audit</v>
          </cell>
          <cell r="H2614">
            <v>5029915</v>
          </cell>
          <cell r="AK2614" t="str">
            <v>William Sachs</v>
          </cell>
        </row>
        <row r="2615">
          <cell r="C2615" t="str">
            <v>UnitedBank-ERM License Fee</v>
          </cell>
          <cell r="H2615">
            <v>5032810</v>
          </cell>
          <cell r="AK2615" t="str">
            <v>Tania Makuh</v>
          </cell>
        </row>
        <row r="2616">
          <cell r="C2616" t="str">
            <v>Marshall-FL RiskAssessment</v>
          </cell>
          <cell r="H2616">
            <v>5029554</v>
          </cell>
          <cell r="AK2616" t="str">
            <v>Paula Witt</v>
          </cell>
        </row>
        <row r="2617">
          <cell r="C2617" t="str">
            <v>Bradesco_PO Support</v>
          </cell>
          <cell r="H2617">
            <v>5029469</v>
          </cell>
          <cell r="AK2617" t="str">
            <v>Season Man</v>
          </cell>
        </row>
        <row r="2618">
          <cell r="C2618" t="str">
            <v>LCI Coverage Insight Ext</v>
          </cell>
          <cell r="H2618">
            <v>5026104</v>
          </cell>
          <cell r="AK2618" t="str">
            <v>Aditya Udas</v>
          </cell>
        </row>
        <row r="2619">
          <cell r="C2619" t="str">
            <v>Capital NJ-TechComplConsult 17</v>
          </cell>
          <cell r="H2619">
            <v>5029803</v>
          </cell>
          <cell r="AK2619" t="str">
            <v>Robert Farmer</v>
          </cell>
        </row>
        <row r="2620">
          <cell r="C2620" t="str">
            <v>Bradesco Team September (NY)</v>
          </cell>
          <cell r="H2620">
            <v>5029042</v>
          </cell>
          <cell r="AK2620" t="str">
            <v>Owen Priestley</v>
          </cell>
        </row>
        <row r="2621">
          <cell r="C2621" t="str">
            <v>River Oaks-CRA Perf Eval</v>
          </cell>
          <cell r="H2621">
            <v>5029794</v>
          </cell>
          <cell r="AK2621" t="str">
            <v>Paula Witt</v>
          </cell>
        </row>
        <row r="2622">
          <cell r="C2622" t="str">
            <v>RBCUS Volcker Extension</v>
          </cell>
          <cell r="H2622">
            <v>5028246</v>
          </cell>
          <cell r="AK2622" t="str">
            <v>DELETED USER</v>
          </cell>
        </row>
        <row r="2623">
          <cell r="C2623" t="str">
            <v>Ameris-BSA StaffAug</v>
          </cell>
          <cell r="H2623">
            <v>5029870</v>
          </cell>
          <cell r="AK2623" t="str">
            <v>DELETED USER</v>
          </cell>
        </row>
        <row r="2624">
          <cell r="C2624" t="str">
            <v>Marshall-CRA Perform Eval</v>
          </cell>
          <cell r="H2624">
            <v>5029538</v>
          </cell>
          <cell r="AK2624" t="str">
            <v>Paula Witt</v>
          </cell>
        </row>
        <row r="2625">
          <cell r="C2625" t="str">
            <v>LAS Extension</v>
          </cell>
          <cell r="H2625">
            <v>5027977</v>
          </cell>
          <cell r="AK2625" t="str">
            <v>Chinmoy Bhatiya</v>
          </cell>
        </row>
        <row r="2626">
          <cell r="C2626" t="str">
            <v>CapitalB NA-MQC</v>
          </cell>
          <cell r="H2626">
            <v>5029645</v>
          </cell>
          <cell r="AK2626" t="str">
            <v>Christian Maier</v>
          </cell>
        </row>
        <row r="2627">
          <cell r="C2627" t="str">
            <v>Dell FS LLC-CMS Audit</v>
          </cell>
          <cell r="H2627">
            <v>5029880</v>
          </cell>
          <cell r="AK2627" t="str">
            <v>Joseph Schmidt</v>
          </cell>
        </row>
        <row r="2628">
          <cell r="C2628" t="str">
            <v>Longview Capital Corporati_RAS</v>
          </cell>
          <cell r="H2628">
            <v>5039679</v>
          </cell>
          <cell r="AK2628" t="str">
            <v>Diane Banks</v>
          </cell>
        </row>
        <row r="2629">
          <cell r="C2629" t="str">
            <v>Bear State-UDAAP Audit</v>
          </cell>
          <cell r="H2629">
            <v>5029762</v>
          </cell>
          <cell r="AK2629" t="str">
            <v>Dennis Smith</v>
          </cell>
        </row>
        <row r="2630">
          <cell r="C2630" t="str">
            <v>Cross River-Staff Augmentation</v>
          </cell>
          <cell r="H2630">
            <v>5029825</v>
          </cell>
          <cell r="AK2630" t="str">
            <v>DELETED USER</v>
          </cell>
        </row>
        <row r="2631">
          <cell r="C2631" t="str">
            <v>Geneva PM Phase 2</v>
          </cell>
          <cell r="H2631">
            <v>5029402</v>
          </cell>
          <cell r="AK2631" t="str">
            <v>Chelsea Mattias</v>
          </cell>
        </row>
        <row r="2632">
          <cell r="C2632" t="str">
            <v>Seacoast-BSA Consulting</v>
          </cell>
          <cell r="H2632">
            <v>5029885</v>
          </cell>
          <cell r="AK2632" t="str">
            <v>Charles Mcwilliam</v>
          </cell>
        </row>
        <row r="2633">
          <cell r="C2633" t="str">
            <v>RBC_Sales Tech - Qlikview</v>
          </cell>
          <cell r="H2633">
            <v>5029424</v>
          </cell>
          <cell r="AK2633" t="str">
            <v>James St. Jean</v>
          </cell>
        </row>
        <row r="2634">
          <cell r="C2634" t="str">
            <v>HB FDCIP CO #7: SAM Reporting</v>
          </cell>
          <cell r="H2634">
            <v>5027248</v>
          </cell>
          <cell r="AK2634" t="str">
            <v>Daniela Hawkins</v>
          </cell>
        </row>
        <row r="2635">
          <cell r="C2635" t="str">
            <v>FrMc_CRT Data Analysis CO3</v>
          </cell>
          <cell r="H2635">
            <v>5027460</v>
          </cell>
          <cell r="AK2635" t="str">
            <v>Aditya Udas</v>
          </cell>
        </row>
        <row r="2636">
          <cell r="C2636" t="str">
            <v>CSS_PMO Leadership &amp; Support</v>
          </cell>
          <cell r="H2636">
            <v>5029379</v>
          </cell>
          <cell r="AK2636" t="str">
            <v>John Hickman</v>
          </cell>
        </row>
        <row r="2637">
          <cell r="C2637" t="str">
            <v>MS_Strategy&amp;Advis Frame Amd6</v>
          </cell>
          <cell r="H2637">
            <v>5028614</v>
          </cell>
          <cell r="AK2637" t="str">
            <v>Jennifer Hsiung</v>
          </cell>
        </row>
        <row r="2638">
          <cell r="C2638" t="str">
            <v>Artisans-Loan Rvw MTG</v>
          </cell>
          <cell r="H2638">
            <v>5030949</v>
          </cell>
          <cell r="AK2638" t="str">
            <v>DELETED USER</v>
          </cell>
        </row>
        <row r="2639">
          <cell r="C2639" t="str">
            <v>PRU_Operational BENCHMARKING</v>
          </cell>
          <cell r="H2639">
            <v>5029423</v>
          </cell>
          <cell r="AK2639" t="str">
            <v>Phil Kerkel</v>
          </cell>
        </row>
        <row r="2640">
          <cell r="C2640" t="str">
            <v>PointBank-BSA Prog Enhancement</v>
          </cell>
          <cell r="H2640">
            <v>5029855</v>
          </cell>
          <cell r="AK2640" t="str">
            <v>Benay Nachin</v>
          </cell>
        </row>
        <row r="2641">
          <cell r="C2641" t="str">
            <v>HSBC_Risk Strategy Amd 1</v>
          </cell>
          <cell r="H2641">
            <v>5028412</v>
          </cell>
          <cell r="AK2641" t="str">
            <v>Alexis Chan</v>
          </cell>
        </row>
        <row r="2642">
          <cell r="C2642" t="str">
            <v>12292-RAS-Northside Bank</v>
          </cell>
          <cell r="H2642">
            <v>5030872</v>
          </cell>
          <cell r="AK2642" t="str">
            <v>Cristina Arechaga</v>
          </cell>
        </row>
        <row r="2643">
          <cell r="C2643" t="str">
            <v>BMO_FDIC tech req</v>
          </cell>
          <cell r="H2643">
            <v>5029476</v>
          </cell>
          <cell r="AK2643" t="str">
            <v>George Simotas</v>
          </cell>
        </row>
        <row r="2644">
          <cell r="C2644" t="str">
            <v>GS Black knight impl support</v>
          </cell>
          <cell r="H2644">
            <v>5029478</v>
          </cell>
          <cell r="AK2644" t="str">
            <v>Angela McGregor</v>
          </cell>
        </row>
        <row r="2645">
          <cell r="C2645" t="str">
            <v>ZB-RCM</v>
          </cell>
          <cell r="H2645">
            <v>5030279</v>
          </cell>
          <cell r="AK2645" t="str">
            <v>Leah Robinson</v>
          </cell>
        </row>
        <row r="2646">
          <cell r="C2646" t="str">
            <v>CIBC Bank-HMDA</v>
          </cell>
          <cell r="H2646">
            <v>5030277</v>
          </cell>
          <cell r="AK2646" t="str">
            <v>Paula Witt</v>
          </cell>
        </row>
        <row r="2647">
          <cell r="C2647" t="str">
            <v>CIBC Bank-HMDA</v>
          </cell>
          <cell r="H2647">
            <v>5030277</v>
          </cell>
          <cell r="AK2647" t="str">
            <v>Paula Witt</v>
          </cell>
        </row>
        <row r="2648">
          <cell r="C2648" t="str">
            <v>EZCORP  INC-BSA Test</v>
          </cell>
          <cell r="H2648">
            <v>5029752</v>
          </cell>
          <cell r="AK2648" t="str">
            <v>Benay Nachin</v>
          </cell>
        </row>
        <row r="2649">
          <cell r="C2649" t="str">
            <v>Central TX-BSA Test</v>
          </cell>
          <cell r="H2649">
            <v>5029875</v>
          </cell>
          <cell r="AK2649" t="str">
            <v>Benay Nachin</v>
          </cell>
        </row>
        <row r="2650">
          <cell r="C2650" t="str">
            <v>12105-RAS-CIBC Bank  USA</v>
          </cell>
          <cell r="H2650">
            <v>5030866</v>
          </cell>
          <cell r="AK2650" t="str">
            <v>Cristina Arechaga</v>
          </cell>
        </row>
        <row r="2651">
          <cell r="C2651" t="str">
            <v>CIBC Bank USA_RAS</v>
          </cell>
          <cell r="H2651">
            <v>5039464</v>
          </cell>
          <cell r="AK2651" t="str">
            <v>Travis Peraza</v>
          </cell>
        </row>
        <row r="2652">
          <cell r="C2652" t="str">
            <v>Jeff_Quants Extension AP</v>
          </cell>
          <cell r="H2652">
            <v>5028411</v>
          </cell>
          <cell r="AK2652" t="str">
            <v>John McCaffrey</v>
          </cell>
        </row>
        <row r="2653">
          <cell r="C2653" t="str">
            <v>Jeff_Flow Monitor Enhancement</v>
          </cell>
          <cell r="H2653">
            <v>5029497</v>
          </cell>
          <cell r="AK2653" t="str">
            <v>Erik Gudowski</v>
          </cell>
        </row>
        <row r="2654">
          <cell r="C2654" t="str">
            <v>UBS_Project Unicorn PM/Analyst</v>
          </cell>
          <cell r="H2654">
            <v>5029522</v>
          </cell>
          <cell r="AK2654" t="str">
            <v>Michael Zambon</v>
          </cell>
        </row>
        <row r="2655">
          <cell r="C2655" t="str">
            <v>WA Federal-BSA StaffAug</v>
          </cell>
          <cell r="H2655">
            <v>5029886</v>
          </cell>
          <cell r="AK2655" t="str">
            <v>DELETED USER</v>
          </cell>
        </row>
        <row r="2656">
          <cell r="C2656" t="str">
            <v>Santander_Remediat Support P1</v>
          </cell>
          <cell r="H2656">
            <v>5029512</v>
          </cell>
          <cell r="AK2656" t="str">
            <v>Betsy Cherian</v>
          </cell>
        </row>
        <row r="2657">
          <cell r="C2657" t="str">
            <v>FrMc_Bus Resiliency Amd 5</v>
          </cell>
          <cell r="H2657">
            <v>5028562</v>
          </cell>
          <cell r="AK2657" t="str">
            <v>Karl Augenstein</v>
          </cell>
        </row>
        <row r="2658">
          <cell r="C2658" t="str">
            <v>UBS_DMO 2017 US Amd 4</v>
          </cell>
          <cell r="H2658">
            <v>5028757</v>
          </cell>
          <cell r="AK2658" t="str">
            <v>Angela McGregor</v>
          </cell>
        </row>
        <row r="2659">
          <cell r="C2659" t="str">
            <v>LBTaiwanNY-Commercial Loan Rev</v>
          </cell>
          <cell r="H2659">
            <v>5030941</v>
          </cell>
          <cell r="AK2659" t="str">
            <v>DELETED USER</v>
          </cell>
        </row>
        <row r="2660">
          <cell r="C2660" t="str">
            <v>HarfordBank-2017 LoanFile Revw</v>
          </cell>
          <cell r="H2660">
            <v>5029833</v>
          </cell>
          <cell r="AK2660" t="str">
            <v>W. Annette Dredden</v>
          </cell>
        </row>
        <row r="2661">
          <cell r="C2661" t="str">
            <v>PointBank-EDD Backlog</v>
          </cell>
          <cell r="H2661">
            <v>5029760</v>
          </cell>
          <cell r="AK2661" t="str">
            <v>Ginger Dahlin</v>
          </cell>
        </row>
        <row r="2662">
          <cell r="C2662" t="str">
            <v>Columbus-BSARules Rvw&amp;Train</v>
          </cell>
          <cell r="H2662">
            <v>5029890</v>
          </cell>
          <cell r="AK2662" t="str">
            <v>Robert Marro</v>
          </cell>
        </row>
        <row r="2663">
          <cell r="C2663" t="str">
            <v>Bear State-CMS Audit 17</v>
          </cell>
          <cell r="H2663">
            <v>5029769</v>
          </cell>
          <cell r="AK2663" t="str">
            <v>Dennis Smith</v>
          </cell>
        </row>
        <row r="2664">
          <cell r="C2664" t="str">
            <v>FreedomCU-Mtg</v>
          </cell>
          <cell r="H2664">
            <v>5032037</v>
          </cell>
          <cell r="AK2664" t="str">
            <v>Cristina Arechaga</v>
          </cell>
        </row>
        <row r="2665">
          <cell r="C2665" t="str">
            <v>Citizens-IDTheftRedFlagRisk 17</v>
          </cell>
          <cell r="H2665">
            <v>5029814</v>
          </cell>
          <cell r="AK2665" t="str">
            <v>Kristina Slattery</v>
          </cell>
        </row>
        <row r="2666">
          <cell r="C2666" t="str">
            <v>ZB-ERM License Fee</v>
          </cell>
          <cell r="H2666">
            <v>5031951</v>
          </cell>
          <cell r="AK2666" t="str">
            <v>Tania Makuh</v>
          </cell>
        </row>
        <row r="2667">
          <cell r="C2667" t="str">
            <v>LBTaiwan NY-IT Rvw &amp; DR BCP</v>
          </cell>
          <cell r="H2667">
            <v>5029902</v>
          </cell>
          <cell r="AK2667" t="str">
            <v>DELETED USER</v>
          </cell>
        </row>
        <row r="2668">
          <cell r="C2668" t="str">
            <v>St Landry Bank &amp; Trust Co_RAS</v>
          </cell>
          <cell r="H2668">
            <v>5039726</v>
          </cell>
          <cell r="AK2668" t="str">
            <v>Diane Banks</v>
          </cell>
        </row>
        <row r="2669">
          <cell r="C2669" t="str">
            <v>ColoradoFSB-2017 IT Audit</v>
          </cell>
          <cell r="H2669">
            <v>5029530</v>
          </cell>
          <cell r="AK2669" t="str">
            <v>David Lott</v>
          </cell>
        </row>
        <row r="2670">
          <cell r="C2670" t="str">
            <v>Capital Bank National Ass_RAS</v>
          </cell>
          <cell r="H2670">
            <v>5039603</v>
          </cell>
          <cell r="AK2670" t="str">
            <v>Diane Banks</v>
          </cell>
        </row>
        <row r="2671">
          <cell r="C2671" t="str">
            <v>Veritex-CRE StrTst ModVal1</v>
          </cell>
          <cell r="H2671">
            <v>5029566</v>
          </cell>
          <cell r="AK2671" t="str">
            <v>Allan Cuttle</v>
          </cell>
        </row>
        <row r="2672">
          <cell r="C2672" t="str">
            <v>Bradesco Team Oct-Dec (NY)</v>
          </cell>
          <cell r="H2672">
            <v>5030164</v>
          </cell>
          <cell r="AK2672" t="str">
            <v>Owen Priestley</v>
          </cell>
        </row>
        <row r="2673">
          <cell r="C2673" t="str">
            <v>Tomahawk Community Bank_RAS</v>
          </cell>
          <cell r="H2673">
            <v>5039734</v>
          </cell>
          <cell r="AK2673" t="str">
            <v>Rebecca Breland</v>
          </cell>
        </row>
        <row r="2674">
          <cell r="C2674" t="str">
            <v>4636-RAS-Liberty Bank</v>
          </cell>
          <cell r="H2674">
            <v>5030574</v>
          </cell>
          <cell r="AK2674" t="str">
            <v>Cristina Arechaga</v>
          </cell>
        </row>
        <row r="2675">
          <cell r="C2675" t="str">
            <v>PGMehoopany-Bus Cont Plan Exer</v>
          </cell>
          <cell r="H2675">
            <v>5029853</v>
          </cell>
          <cell r="AK2675" t="str">
            <v>Robert Farmer</v>
          </cell>
        </row>
        <row r="2676">
          <cell r="C2676" t="str">
            <v>BancoBrasil-BSA IT</v>
          </cell>
          <cell r="H2676">
            <v>5029871</v>
          </cell>
          <cell r="AK2676" t="str">
            <v>Charles Mcwilliam</v>
          </cell>
        </row>
        <row r="2677">
          <cell r="C2677" t="str">
            <v>AllianceB&amp;T-IT Audit</v>
          </cell>
          <cell r="H2677">
            <v>5029869</v>
          </cell>
          <cell r="AK2677" t="str">
            <v>Mary Louise Radley</v>
          </cell>
        </row>
        <row r="2678">
          <cell r="C2678" t="str">
            <v>Veritex-BSA&amp;Frd Sys Val-N2</v>
          </cell>
          <cell r="H2678">
            <v>5029564</v>
          </cell>
          <cell r="AK2678" t="str">
            <v>Charles Mcwilliam</v>
          </cell>
        </row>
        <row r="2679">
          <cell r="C2679" t="str">
            <v>HB_Payments Eng &amp; Zelle Integr</v>
          </cell>
          <cell r="H2679">
            <v>5030071</v>
          </cell>
          <cell r="AK2679" t="str">
            <v>James Kane</v>
          </cell>
        </row>
        <row r="2680">
          <cell r="C2680" t="str">
            <v>MS FID Strats SPG PM|BA</v>
          </cell>
          <cell r="H2680">
            <v>5029521</v>
          </cell>
          <cell r="AK2680" t="str">
            <v>Frank Merla</v>
          </cell>
        </row>
        <row r="2681">
          <cell r="C2681" t="str">
            <v>FrMc_MF CCM Agile</v>
          </cell>
          <cell r="H2681">
            <v>5030098</v>
          </cell>
          <cell r="AK2681" t="str">
            <v>Raj Konduru</v>
          </cell>
        </row>
        <row r="2682">
          <cell r="C2682" t="str">
            <v>Hyperion-BSA RA</v>
          </cell>
          <cell r="H2682">
            <v>5029669</v>
          </cell>
          <cell r="AK2682" t="str">
            <v>William Sachs</v>
          </cell>
        </row>
        <row r="2683">
          <cell r="C2683" t="str">
            <v>FrMc_SF Enterprise Cmd Ctr</v>
          </cell>
          <cell r="H2683">
            <v>5030084</v>
          </cell>
          <cell r="AK2683" t="str">
            <v>Linda Graham</v>
          </cell>
        </row>
        <row r="2684">
          <cell r="C2684" t="str">
            <v>Jeff_CRM&amp;Data Analytic Program</v>
          </cell>
          <cell r="H2684">
            <v>5030185</v>
          </cell>
          <cell r="AK2684" t="str">
            <v>Ripple Bhullar</v>
          </cell>
        </row>
        <row r="2685">
          <cell r="C2685" t="str">
            <v>CitizensBTC-BSA IT</v>
          </cell>
          <cell r="H2685">
            <v>5029736</v>
          </cell>
          <cell r="AK2685" t="str">
            <v>Charles Mcwilliam</v>
          </cell>
        </row>
        <row r="2686">
          <cell r="C2686" t="str">
            <v>KB_Commercial Lend Port Strat</v>
          </cell>
          <cell r="H2686">
            <v>5030099</v>
          </cell>
          <cell r="AK2686" t="str">
            <v>Jeffrey Bordan</v>
          </cell>
        </row>
        <row r="2687">
          <cell r="C2687" t="str">
            <v>FrMc_Bus Resiliency Amd 4</v>
          </cell>
          <cell r="H2687">
            <v>5028562</v>
          </cell>
          <cell r="AK2687" t="str">
            <v>Karl Augenstein</v>
          </cell>
        </row>
        <row r="2688">
          <cell r="C2688" t="str">
            <v>LM Alt. Dist Group Strategy</v>
          </cell>
          <cell r="H2688">
            <v>5029513</v>
          </cell>
          <cell r="AK2688" t="str">
            <v>Isaac Halpern</v>
          </cell>
        </row>
        <row r="2689">
          <cell r="C2689" t="str">
            <v>KB_CL Service Transform P1</v>
          </cell>
          <cell r="H2689">
            <v>5030163</v>
          </cell>
          <cell r="AK2689" t="str">
            <v>Jeffrey Bordan</v>
          </cell>
        </row>
        <row r="2690">
          <cell r="C2690" t="str">
            <v>RBC ¿ Risk and Control SOW</v>
          </cell>
          <cell r="H2690">
            <v>5030131</v>
          </cell>
          <cell r="AK2690" t="str">
            <v>Iruka Brown</v>
          </cell>
        </row>
        <row r="2691">
          <cell r="C2691" t="str">
            <v>FM_BPM Payments</v>
          </cell>
          <cell r="H2691">
            <v>5029428</v>
          </cell>
          <cell r="AK2691" t="str">
            <v>Linda Graham</v>
          </cell>
        </row>
        <row r="2692">
          <cell r="C2692" t="str">
            <v>E&amp;A Engagement Team 1</v>
          </cell>
          <cell r="H2692">
            <v>5028614</v>
          </cell>
          <cell r="AK2692" t="str">
            <v>Jennifer Hsiung</v>
          </cell>
        </row>
        <row r="2693">
          <cell r="C2693" t="str">
            <v>WF_OPS PME Derivs Setts UAT</v>
          </cell>
          <cell r="H2693">
            <v>5030081</v>
          </cell>
          <cell r="AK2693" t="str">
            <v>Edward Kelley</v>
          </cell>
        </row>
        <row r="2694">
          <cell r="C2694" t="str">
            <v>BoilingSpring-FL Consulting</v>
          </cell>
          <cell r="H2694">
            <v>5029873</v>
          </cell>
          <cell r="AK2694" t="str">
            <v>Paula Witt</v>
          </cell>
        </row>
        <row r="2695">
          <cell r="C2695" t="str">
            <v>BMO_Spotfire Ph4</v>
          </cell>
          <cell r="H2695">
            <v>5028321</v>
          </cell>
          <cell r="AK2695" t="str">
            <v>Matthias Daus</v>
          </cell>
        </row>
        <row r="2696">
          <cell r="C2696" t="str">
            <v>GO EDL</v>
          </cell>
          <cell r="H2696">
            <v>5041246</v>
          </cell>
          <cell r="AK2696" t="str">
            <v>Robert Nocera</v>
          </cell>
        </row>
        <row r="2697">
          <cell r="C2697" t="str">
            <v>Santander_FRY 14M and 9C Data</v>
          </cell>
          <cell r="H2697">
            <v>5029514</v>
          </cell>
          <cell r="AK2697" t="str">
            <v>Ridha Mesli</v>
          </cell>
        </row>
        <row r="2698">
          <cell r="C2698" t="str">
            <v>BarCap_CCAR Line Support</v>
          </cell>
          <cell r="H2698">
            <v>5030109</v>
          </cell>
          <cell r="AK2698" t="str">
            <v>Alberto Michelazzi</v>
          </cell>
        </row>
        <row r="2699">
          <cell r="C2699" t="str">
            <v>29022-RAS-FPS Gold</v>
          </cell>
          <cell r="H2699">
            <v>5030359</v>
          </cell>
          <cell r="AK2699" t="str">
            <v>Cristina Arechaga</v>
          </cell>
        </row>
        <row r="2700">
          <cell r="C2700" t="str">
            <v>GS_BACM Operations BI Support</v>
          </cell>
          <cell r="H2700">
            <v>5030162</v>
          </cell>
          <cell r="AK2700" t="str">
            <v>James St. Jean</v>
          </cell>
        </row>
        <row r="2701">
          <cell r="C2701" t="str">
            <v>Sears_Agile Assessment</v>
          </cell>
          <cell r="H2701">
            <v>5030194</v>
          </cell>
          <cell r="AK2701" t="str">
            <v>Richard Rhodes</v>
          </cell>
        </row>
        <row r="2702">
          <cell r="C2702" t="str">
            <v>Citizens-17 Tech RiskAsses</v>
          </cell>
          <cell r="H2702">
            <v>5029547</v>
          </cell>
          <cell r="AK2702" t="str">
            <v>Kristina Slattery</v>
          </cell>
        </row>
        <row r="2703">
          <cell r="C2703" t="str">
            <v>GS_BACM Treasury BA Support</v>
          </cell>
          <cell r="H2703">
            <v>5030244</v>
          </cell>
          <cell r="AK2703" t="str">
            <v>Chintan Chokshi</v>
          </cell>
        </row>
        <row r="2704">
          <cell r="C2704" t="str">
            <v>CapitalB NA-BSA System Val</v>
          </cell>
          <cell r="H2704">
            <v>5029544</v>
          </cell>
          <cell r="AK2704" t="str">
            <v>William Sachs</v>
          </cell>
        </row>
        <row r="2705">
          <cell r="C2705" t="str">
            <v>Pru_DOL Phase II</v>
          </cell>
          <cell r="H2705">
            <v>5029423</v>
          </cell>
          <cell r="AK2705" t="str">
            <v>Phil Kerkel</v>
          </cell>
        </row>
        <row r="2706">
          <cell r="C2706" t="str">
            <v>AlliedFirst-BSA IT</v>
          </cell>
          <cell r="H2706">
            <v>5029734</v>
          </cell>
          <cell r="AK2706" t="str">
            <v>Charles Mcwilliam</v>
          </cell>
        </row>
        <row r="2707">
          <cell r="C2707" t="str">
            <v>FDCIP CO #8: Conversion</v>
          </cell>
          <cell r="H2707">
            <v>5027248</v>
          </cell>
          <cell r="AK2707" t="str">
            <v>Daniela Hawkins</v>
          </cell>
        </row>
        <row r="2708">
          <cell r="C2708" t="str">
            <v>BRAD - NB Acceleration (NYBZ)</v>
          </cell>
          <cell r="H2708">
            <v>5030294</v>
          </cell>
          <cell r="AK2708" t="str">
            <v>Owen Priestley</v>
          </cell>
        </row>
        <row r="2709">
          <cell r="C2709" t="str">
            <v>MS_Call Center Guided Proc 2</v>
          </cell>
          <cell r="H2709">
            <v>5030938</v>
          </cell>
          <cell r="AK2709" t="str">
            <v>DELETED USER</v>
          </cell>
        </row>
        <row r="2710">
          <cell r="C2710" t="str">
            <v>FPS Gold_RAS</v>
          </cell>
          <cell r="H2710">
            <v>5039478</v>
          </cell>
          <cell r="AK2710" t="str">
            <v>Diane Banks</v>
          </cell>
        </row>
        <row r="2711">
          <cell r="C2711" t="str">
            <v>DB US AFC Obligations</v>
          </cell>
          <cell r="AK2711" t="str">
            <v>DELETED USER</v>
          </cell>
        </row>
        <row r="2712">
          <cell r="C2712" t="str">
            <v>RBCUS_Risk Volcker RENTD Ext</v>
          </cell>
          <cell r="H2712">
            <v>5028567</v>
          </cell>
          <cell r="AK2712" t="str">
            <v>Alexis Chan</v>
          </cell>
        </row>
        <row r="2713">
          <cell r="C2713" t="str">
            <v>5th3rd_DigitalBanker IT UX</v>
          </cell>
          <cell r="H2713">
            <v>5030225</v>
          </cell>
          <cell r="AK2713" t="str">
            <v>Tulsi Mehta</v>
          </cell>
        </row>
        <row r="2714">
          <cell r="C2714" t="str">
            <v>Rabo_data governance roadmap</v>
          </cell>
          <cell r="H2714">
            <v>5030312</v>
          </cell>
          <cell r="AK2714" t="str">
            <v>Paul Tatseos</v>
          </cell>
        </row>
        <row r="2715">
          <cell r="C2715" t="str">
            <v>UB_FDIC Ins Compliance Assess</v>
          </cell>
          <cell r="H2715">
            <v>5030937</v>
          </cell>
          <cell r="AK2715" t="str">
            <v>George Simotas</v>
          </cell>
        </row>
        <row r="2716">
          <cell r="C2716" t="str">
            <v>CNB_Credit Card Ops Review</v>
          </cell>
          <cell r="H2716">
            <v>5030100</v>
          </cell>
          <cell r="AK2716" t="str">
            <v>Michael Crumpler</v>
          </cell>
        </row>
        <row r="2717">
          <cell r="C2717" t="str">
            <v>FrMc_LAS Portal Amd 2</v>
          </cell>
          <cell r="H2717">
            <v>5027977</v>
          </cell>
          <cell r="AK2717" t="str">
            <v>Chinmoy Bhatiya</v>
          </cell>
        </row>
        <row r="2718">
          <cell r="C2718" t="str">
            <v>RBCUS Flex 3 - Incr. DataMRA</v>
          </cell>
          <cell r="H2718">
            <v>5030131</v>
          </cell>
          <cell r="AK2718" t="str">
            <v>Iruka Brown</v>
          </cell>
        </row>
        <row r="2719">
          <cell r="C2719" t="str">
            <v>RBCUS SalesTech Qlik Exten</v>
          </cell>
          <cell r="H2719">
            <v>5029424</v>
          </cell>
          <cell r="AK2719" t="str">
            <v>James St. Jean</v>
          </cell>
        </row>
        <row r="2720">
          <cell r="C2720" t="str">
            <v>FrMc_CSP Data Leadership Amd1</v>
          </cell>
          <cell r="H2720">
            <v>5028957</v>
          </cell>
          <cell r="AK2720" t="str">
            <v>Thomas Wilson</v>
          </cell>
        </row>
        <row r="2721">
          <cell r="C2721" t="str">
            <v>LBTaiwan NY-BSA IT</v>
          </cell>
          <cell r="H2721">
            <v>5029740</v>
          </cell>
          <cell r="AK2721" t="str">
            <v>William Sachs</v>
          </cell>
        </row>
        <row r="2722">
          <cell r="C2722" t="str">
            <v>UBS GDD Analyst Ext</v>
          </cell>
          <cell r="H2722">
            <v>5028757</v>
          </cell>
          <cell r="AK2722" t="str">
            <v>Angela McGregor</v>
          </cell>
        </row>
        <row r="2723">
          <cell r="C2723" t="str">
            <v>Salyersville National Bank_RAS</v>
          </cell>
          <cell r="H2723">
            <v>5039718</v>
          </cell>
          <cell r="AK2723" t="str">
            <v>Diane Banks</v>
          </cell>
        </row>
        <row r="2724">
          <cell r="C2724" t="str">
            <v>Marine B&amp;T-CMS Program Revw</v>
          </cell>
          <cell r="H2724">
            <v>5029945</v>
          </cell>
          <cell r="AK2724" t="str">
            <v>Anna Proleika</v>
          </cell>
        </row>
        <row r="2725">
          <cell r="C2725" t="str">
            <v>Jeff_Murex Prod Maintenance</v>
          </cell>
          <cell r="H2725">
            <v>5031175</v>
          </cell>
          <cell r="AK2725" t="str">
            <v>Manal Ray</v>
          </cell>
        </row>
        <row r="2726">
          <cell r="C2726" t="str">
            <v>HarfordBank-FL RA&amp;HMDA Anlysis</v>
          </cell>
          <cell r="H2726">
            <v>5029837</v>
          </cell>
          <cell r="AK2726" t="str">
            <v>W. Annette Dredden</v>
          </cell>
        </row>
        <row r="2727">
          <cell r="C2727" t="str">
            <v>Republic-ERM License</v>
          </cell>
          <cell r="H2727">
            <v>5033325</v>
          </cell>
          <cell r="AK2727" t="str">
            <v>Tania Makuh</v>
          </cell>
        </row>
        <row r="2728">
          <cell r="C2728" t="str">
            <v>TrustCoBank-CMS Staff Aug</v>
          </cell>
          <cell r="H2728">
            <v>5030947</v>
          </cell>
          <cell r="AK2728" t="str">
            <v>Laura Steer</v>
          </cell>
        </row>
        <row r="2729">
          <cell r="C2729" t="str">
            <v>IntlBkComm-ERM Consult.</v>
          </cell>
          <cell r="H2729">
            <v>5031424</v>
          </cell>
          <cell r="AK2729" t="str">
            <v>Patti Harrison</v>
          </cell>
        </row>
        <row r="2730">
          <cell r="C2730" t="str">
            <v>Hyperion-Cybersec RiskAssess</v>
          </cell>
          <cell r="H2730">
            <v>5029939</v>
          </cell>
          <cell r="AK2730" t="str">
            <v>Robert Farmer</v>
          </cell>
        </row>
        <row r="2731">
          <cell r="C2731" t="str">
            <v>UB_Tahoe_2.0_Program_Support</v>
          </cell>
          <cell r="H2731">
            <v>5031006</v>
          </cell>
          <cell r="AK2731" t="str">
            <v>Justin Hayden</v>
          </cell>
        </row>
        <row r="2732">
          <cell r="C2732" t="str">
            <v>Jeff_Murex Wave1B Imp</v>
          </cell>
          <cell r="H2732">
            <v>5031040</v>
          </cell>
          <cell r="AK2732" t="str">
            <v>Chelsea Mattias</v>
          </cell>
        </row>
        <row r="2733">
          <cell r="C2733" t="str">
            <v>Chesapeake-IT Gen Cont Audit</v>
          </cell>
          <cell r="H2733">
            <v>5029922</v>
          </cell>
          <cell r="AK2733" t="str">
            <v>Robert Farmer</v>
          </cell>
        </row>
        <row r="2734">
          <cell r="C2734" t="str">
            <v>BancoSabadell-EWRA</v>
          </cell>
          <cell r="H2734">
            <v>5031073</v>
          </cell>
          <cell r="AK2734" t="str">
            <v>Louvera Walden</v>
          </cell>
        </row>
        <row r="2735">
          <cell r="C2735" t="str">
            <v>Marshall-ACH Risk Assess</v>
          </cell>
          <cell r="H2735">
            <v>5029792</v>
          </cell>
          <cell r="AK2735" t="str">
            <v>Robert Farmer</v>
          </cell>
        </row>
        <row r="2736">
          <cell r="C2736" t="str">
            <v>Renasant-Early Risk Manager</v>
          </cell>
          <cell r="H2736">
            <v>5031045</v>
          </cell>
          <cell r="AK2736" t="str">
            <v>Tania Makuh</v>
          </cell>
        </row>
        <row r="2737">
          <cell r="C2737" t="str">
            <v>CommerceBank-Model RM Tr</v>
          </cell>
          <cell r="H2737">
            <v>5031347</v>
          </cell>
          <cell r="AK2737" t="str">
            <v>Allan Cuttle</v>
          </cell>
        </row>
        <row r="2738">
          <cell r="C2738" t="str">
            <v>Roosevelt-Cyber RiskAssess 17</v>
          </cell>
          <cell r="H2738">
            <v>5030023</v>
          </cell>
          <cell r="AK2738" t="str">
            <v>Robert Farmer</v>
          </cell>
        </row>
        <row r="2739">
          <cell r="C2739" t="str">
            <v>Renasant-ERM Consulting</v>
          </cell>
          <cell r="H2739">
            <v>5031074</v>
          </cell>
          <cell r="AK2739" t="str">
            <v>Allan Cuttle</v>
          </cell>
        </row>
        <row r="2740">
          <cell r="C2740" t="str">
            <v>MS_FID_MSSM Ext</v>
          </cell>
          <cell r="H2740">
            <v>5028481</v>
          </cell>
          <cell r="AK2740" t="str">
            <v>Mitali Drews</v>
          </cell>
        </row>
        <row r="2741">
          <cell r="C2741" t="str">
            <v>Banesco USA_RAS</v>
          </cell>
          <cell r="H2741">
            <v>5039588</v>
          </cell>
          <cell r="AK2741" t="str">
            <v>Diane Banks</v>
          </cell>
        </row>
        <row r="2742">
          <cell r="C2742" t="str">
            <v>FrMc_CRT Andrew C ext</v>
          </cell>
          <cell r="H2742">
            <v>5027288</v>
          </cell>
          <cell r="AK2742" t="str">
            <v>Bharath Chikkamaranahalli Bhaskar</v>
          </cell>
        </row>
        <row r="2743">
          <cell r="C2743" t="str">
            <v>BMO_Spotfire Ph5</v>
          </cell>
          <cell r="H2743">
            <v>5028321</v>
          </cell>
          <cell r="AK2743" t="str">
            <v>Matthias Daus</v>
          </cell>
        </row>
        <row r="2744">
          <cell r="C2744" t="str">
            <v>FrMc_Bus Resiliency PMO Amd 6</v>
          </cell>
          <cell r="H2744">
            <v>5028562</v>
          </cell>
          <cell r="AK2744" t="str">
            <v>Karl Augenstein</v>
          </cell>
        </row>
        <row r="2745">
          <cell r="C2745" t="str">
            <v>BarCap_CTB CDO Team Expansion</v>
          </cell>
          <cell r="H2745">
            <v>5028191</v>
          </cell>
          <cell r="AK2745" t="str">
            <v>David Roberts</v>
          </cell>
        </row>
        <row r="2746">
          <cell r="C2746" t="str">
            <v>CNB_IT &amp; Data Risk Mgmt</v>
          </cell>
          <cell r="H2746">
            <v>5031017</v>
          </cell>
          <cell r="AK2746" t="str">
            <v>Betsy Cherian</v>
          </cell>
        </row>
        <row r="2747">
          <cell r="C2747" t="str">
            <v>DB_Reg Remediation</v>
          </cell>
          <cell r="H2747">
            <v>5031075</v>
          </cell>
          <cell r="AK2747" t="str">
            <v>Carl Repoli</v>
          </cell>
        </row>
        <row r="2748">
          <cell r="C2748" t="str">
            <v>Massena-BSA IT-17</v>
          </cell>
          <cell r="H2748">
            <v>5029728</v>
          </cell>
          <cell r="AK2748" t="str">
            <v>Charles Mcwilliam</v>
          </cell>
        </row>
        <row r="2749">
          <cell r="C2749" t="str">
            <v>Univest-BSA System Validation</v>
          </cell>
          <cell r="H2749">
            <v>5030034</v>
          </cell>
          <cell r="AK2749" t="str">
            <v>DELETED USER</v>
          </cell>
        </row>
        <row r="2750">
          <cell r="C2750" t="str">
            <v>UBS_Visual Designer - EPAS</v>
          </cell>
          <cell r="H2750">
            <v>5031273</v>
          </cell>
          <cell r="AK2750" t="str">
            <v>Michael Zambon</v>
          </cell>
        </row>
        <row r="2751">
          <cell r="C2751" t="str">
            <v>GS_Compliance PM Support</v>
          </cell>
          <cell r="H2751">
            <v>5031183</v>
          </cell>
          <cell r="AK2751" t="str">
            <v>Orlin Jordanov</v>
          </cell>
        </row>
        <row r="2752">
          <cell r="C2752" t="str">
            <v>Dedham-HMDA Training</v>
          </cell>
          <cell r="H2752">
            <v>5031113</v>
          </cell>
          <cell r="AK2752" t="str">
            <v>Laura Steer</v>
          </cell>
        </row>
        <row r="2753">
          <cell r="C2753" t="str">
            <v>BBT_BankCard Change Mgt</v>
          </cell>
          <cell r="H2753">
            <v>5031148</v>
          </cell>
          <cell r="AK2753" t="str">
            <v>Henry Loosmore</v>
          </cell>
        </row>
        <row r="2754">
          <cell r="C2754" t="str">
            <v>UBS_Ops Risk Mgmt</v>
          </cell>
          <cell r="H2754">
            <v>5031057</v>
          </cell>
          <cell r="AK2754" t="str">
            <v>Jason Malcolm</v>
          </cell>
        </row>
        <row r="2755">
          <cell r="C2755" t="str">
            <v>CapitalB NA-LoanServicing Revw</v>
          </cell>
          <cell r="H2755">
            <v>5029807</v>
          </cell>
          <cell r="AK2755" t="str">
            <v>Jeanette Wampler</v>
          </cell>
        </row>
        <row r="2756">
          <cell r="C2756" t="str">
            <v>UB_Wealth Mgt '18 Proj Roadmap</v>
          </cell>
          <cell r="H2756">
            <v>5031147</v>
          </cell>
          <cell r="AK2756" t="str">
            <v>Andrew Murphy</v>
          </cell>
        </row>
        <row r="2757">
          <cell r="C2757" t="str">
            <v>Jeff_MiFID II Development</v>
          </cell>
          <cell r="H2757">
            <v>5031114</v>
          </cell>
          <cell r="AK2757" t="str">
            <v>Erik Gudowski</v>
          </cell>
        </row>
        <row r="2758">
          <cell r="C2758" t="str">
            <v>UB_Express Banking PSRA Sup</v>
          </cell>
          <cell r="H2758">
            <v>5031123</v>
          </cell>
          <cell r="AK2758" t="str">
            <v>Adrian Ungureanu</v>
          </cell>
        </row>
        <row r="2759">
          <cell r="C2759" t="str">
            <v>Bay Bank-BSA Officer Services</v>
          </cell>
          <cell r="H2759">
            <v>5031212</v>
          </cell>
          <cell r="AK2759" t="str">
            <v>Patrice Nye</v>
          </cell>
        </row>
        <row r="2760">
          <cell r="C2760" t="str">
            <v>HB FDCIP CO# 10</v>
          </cell>
          <cell r="H2760">
            <v>5027248</v>
          </cell>
          <cell r="AK2760" t="str">
            <v>Daniela Hawkins</v>
          </cell>
        </row>
        <row r="2761">
          <cell r="C2761" t="str">
            <v>HB_FDCIP CO #9</v>
          </cell>
          <cell r="H2761">
            <v>5027248</v>
          </cell>
          <cell r="AK2761" t="str">
            <v>Daniela Hawkins</v>
          </cell>
        </row>
        <row r="2762">
          <cell r="C2762" t="str">
            <v>WF_FRTB IMA Strat &amp; Exec</v>
          </cell>
          <cell r="H2762">
            <v>5031121</v>
          </cell>
          <cell r="AK2762" t="str">
            <v>Benjamin Harding</v>
          </cell>
        </row>
        <row r="2763">
          <cell r="C2763" t="str">
            <v>1880 Bank-ACH Risk Assess</v>
          </cell>
          <cell r="H2763">
            <v>5029540</v>
          </cell>
          <cell r="AK2763" t="str">
            <v>Robert Farmer</v>
          </cell>
        </row>
        <row r="2764">
          <cell r="C2764" t="str">
            <v>Svenska-BSAAML</v>
          </cell>
          <cell r="H2764">
            <v>5031108</v>
          </cell>
          <cell r="AK2764" t="str">
            <v>Robert Marro</v>
          </cell>
        </row>
        <row r="2765">
          <cell r="C2765" t="str">
            <v>Fieldpoint-CRA Peer Assess.</v>
          </cell>
          <cell r="H2765">
            <v>5031248</v>
          </cell>
          <cell r="AK2765" t="str">
            <v>Paula Witt</v>
          </cell>
        </row>
        <row r="2766">
          <cell r="C2766" t="str">
            <v>WilliamPenn-Cybersec Consult</v>
          </cell>
          <cell r="H2766">
            <v>5029956</v>
          </cell>
          <cell r="AK2766" t="str">
            <v>Robert Farmer</v>
          </cell>
        </row>
        <row r="2767">
          <cell r="C2767" t="str">
            <v>BMO Harris_Payments 101 Wrkshp</v>
          </cell>
          <cell r="H2767">
            <v>5030232</v>
          </cell>
          <cell r="AK2767" t="str">
            <v>John Hickman</v>
          </cell>
        </row>
        <row r="2768">
          <cell r="C2768" t="str">
            <v>GS_IMD Change Support</v>
          </cell>
          <cell r="H2768">
            <v>5031109</v>
          </cell>
          <cell r="AK2768" t="str">
            <v>Bill Mollica</v>
          </cell>
        </row>
        <row r="2769">
          <cell r="C2769" t="str">
            <v>CSS_PMO Leader &amp; Support Incre</v>
          </cell>
          <cell r="H2769">
            <v>5031102</v>
          </cell>
          <cell r="AK2769" t="str">
            <v>DELETED USER</v>
          </cell>
        </row>
        <row r="2770">
          <cell r="C2770" t="str">
            <v>RBCUS_TPRM Strategy TOM</v>
          </cell>
          <cell r="H2770">
            <v>5031177</v>
          </cell>
          <cell r="AK2770" t="str">
            <v>Deepak Nersian</v>
          </cell>
        </row>
        <row r="2771">
          <cell r="C2771" t="str">
            <v>Post Oak-BSA Validation</v>
          </cell>
          <cell r="H2771">
            <v>5029884</v>
          </cell>
          <cell r="AK2771" t="str">
            <v>Charles Mcwilliam</v>
          </cell>
        </row>
        <row r="2772">
          <cell r="C2772" t="str">
            <v>Balance Sheet Asset Allocation</v>
          </cell>
          <cell r="H2772">
            <v>5031222</v>
          </cell>
          <cell r="AK2772" t="str">
            <v>William Gienke</v>
          </cell>
        </row>
        <row r="2773">
          <cell r="C2773" t="str">
            <v>DB Reg Remediation_Add-On</v>
          </cell>
          <cell r="H2773">
            <v>5031075</v>
          </cell>
          <cell r="AK2773" t="str">
            <v>Carl Repoli</v>
          </cell>
        </row>
        <row r="2774">
          <cell r="C2774" t="str">
            <v>INHP-Asset Allocation Framewor</v>
          </cell>
          <cell r="H2774">
            <v>5031222</v>
          </cell>
          <cell r="AK2774" t="str">
            <v>William Gienke</v>
          </cell>
        </row>
        <row r="2775">
          <cell r="C2775" t="str">
            <v>Timberline Bank_RAS</v>
          </cell>
          <cell r="H2775">
            <v>5039733</v>
          </cell>
          <cell r="AK2775" t="str">
            <v>Rebecca Breland</v>
          </cell>
        </row>
        <row r="2776">
          <cell r="C2776" t="str">
            <v>Sloan State Bank_RAS</v>
          </cell>
          <cell r="H2776">
            <v>5039723</v>
          </cell>
          <cell r="AK2776" t="str">
            <v>Travis Peraza</v>
          </cell>
        </row>
        <row r="2777">
          <cell r="C2777" t="str">
            <v>Bank of the West_RAS</v>
          </cell>
          <cell r="H2777">
            <v>5039593</v>
          </cell>
          <cell r="AK2777" t="str">
            <v>Travis Peraza</v>
          </cell>
        </row>
        <row r="2778">
          <cell r="C2778" t="str">
            <v>Central Bank &amp; Trust Co _RAS</v>
          </cell>
          <cell r="H2778">
            <v>5039605</v>
          </cell>
          <cell r="AK2778" t="str">
            <v>Diane Banks</v>
          </cell>
        </row>
        <row r="2779">
          <cell r="C2779" t="str">
            <v>Clearfield Bank &amp; Trust Co_RAS</v>
          </cell>
          <cell r="H2779">
            <v>5039613</v>
          </cell>
          <cell r="AK2779" t="str">
            <v>Travis Peraza</v>
          </cell>
        </row>
        <row r="2780">
          <cell r="C2780" t="str">
            <v>Riverwind Bank_RAS</v>
          </cell>
          <cell r="H2780">
            <v>5039545</v>
          </cell>
          <cell r="AK2780" t="str">
            <v>Travis Peraza</v>
          </cell>
        </row>
        <row r="2781">
          <cell r="C2781" t="str">
            <v>Auburn Bank_RAS</v>
          </cell>
          <cell r="H2781">
            <v>5039587</v>
          </cell>
          <cell r="AK2781" t="str">
            <v>Rebecca Breland</v>
          </cell>
        </row>
        <row r="2782">
          <cell r="C2782" t="str">
            <v>Marion Bank &amp; Trust Compan_RAS</v>
          </cell>
          <cell r="H2782">
            <v>5039683</v>
          </cell>
          <cell r="AK2782" t="str">
            <v>Travis Peraza</v>
          </cell>
        </row>
        <row r="2783">
          <cell r="C2783" t="str">
            <v>First National Bank of Sul_RAS</v>
          </cell>
          <cell r="H2783">
            <v>5039639</v>
          </cell>
          <cell r="AK2783" t="str">
            <v>Diane Banks</v>
          </cell>
        </row>
        <row r="2784">
          <cell r="C2784" t="str">
            <v>Eastern-RCM</v>
          </cell>
          <cell r="H2784">
            <v>5031375</v>
          </cell>
          <cell r="AK2784" t="str">
            <v>Alejandro Vanegas</v>
          </cell>
        </row>
        <row r="2785">
          <cell r="C2785" t="str">
            <v>Eastern-RCM</v>
          </cell>
          <cell r="H2785">
            <v>5031375</v>
          </cell>
          <cell r="AK2785" t="str">
            <v>Alejandro Vanegas</v>
          </cell>
        </row>
        <row r="2786">
          <cell r="C2786" t="str">
            <v>Premium Membership</v>
          </cell>
          <cell r="H2786">
            <v>5032306</v>
          </cell>
          <cell r="AK2786" t="str">
            <v>Cristina Arechaga</v>
          </cell>
        </row>
        <row r="2787">
          <cell r="C2787" t="str">
            <v>Radius Bank_RAS</v>
          </cell>
          <cell r="H2787">
            <v>5039712</v>
          </cell>
          <cell r="AK2787" t="str">
            <v>Travis Peraza</v>
          </cell>
        </row>
        <row r="2788">
          <cell r="C2788" t="str">
            <v>Parkersburg-BSA IndepenTesting</v>
          </cell>
          <cell r="H2788">
            <v>5031406</v>
          </cell>
          <cell r="AK2788" t="str">
            <v>Charles Mcwilliam</v>
          </cell>
        </row>
        <row r="2789">
          <cell r="C2789" t="str">
            <v>LM_Digital Ecosystem Planning</v>
          </cell>
          <cell r="H2789">
            <v>5031313</v>
          </cell>
          <cell r="AK2789" t="str">
            <v>Jennifer Ward</v>
          </cell>
        </row>
        <row r="2790">
          <cell r="C2790" t="str">
            <v>Bradesco_Brokerage PM INT</v>
          </cell>
          <cell r="H2790">
            <v>5031372</v>
          </cell>
          <cell r="AK2790" t="str">
            <v>Eduardo Yamassaki</v>
          </cell>
        </row>
        <row r="2791">
          <cell r="C2791" t="str">
            <v>Bradesco_Brokerage DC BR</v>
          </cell>
          <cell r="H2791">
            <v>5031345</v>
          </cell>
          <cell r="AK2791" t="str">
            <v>Eduardo Yamassaki</v>
          </cell>
        </row>
        <row r="2792">
          <cell r="C2792" t="str">
            <v>RAS-8475-Bank of Washington</v>
          </cell>
          <cell r="H2792">
            <v>5031300</v>
          </cell>
          <cell r="AK2792" t="str">
            <v>Ashana Briscoe</v>
          </cell>
        </row>
        <row r="2793">
          <cell r="C2793" t="str">
            <v>National Bank of Texas at FW</v>
          </cell>
          <cell r="H2793">
            <v>5031322</v>
          </cell>
          <cell r="AK2793" t="str">
            <v>Ashana Briscoe</v>
          </cell>
        </row>
        <row r="2794">
          <cell r="C2794" t="str">
            <v>WF_Collateral &amp; Wire Analysis</v>
          </cell>
          <cell r="H2794">
            <v>5031376</v>
          </cell>
          <cell r="AK2794" t="str">
            <v>Edward Kelley</v>
          </cell>
        </row>
        <row r="2795">
          <cell r="C2795" t="str">
            <v>HB_Credit/Debit Card Con Amd11</v>
          </cell>
          <cell r="H2795">
            <v>5027248</v>
          </cell>
          <cell r="AK2795" t="str">
            <v>Daniela Hawkins</v>
          </cell>
        </row>
        <row r="2796">
          <cell r="C2796" t="str">
            <v>Arkansas County Bank_RAS</v>
          </cell>
          <cell r="H2796">
            <v>5039585</v>
          </cell>
          <cell r="AK2796" t="str">
            <v>Travis Peraza</v>
          </cell>
        </row>
        <row r="2797">
          <cell r="C2797" t="str">
            <v>Jeff_Risk Project Manager</v>
          </cell>
          <cell r="H2797">
            <v>5031387</v>
          </cell>
          <cell r="AK2797" t="str">
            <v>Chelsea Mattias</v>
          </cell>
        </row>
        <row r="2798">
          <cell r="C2798" t="str">
            <v>CSS_HC Planning &amp; Strategy</v>
          </cell>
          <cell r="H2798">
            <v>5031257</v>
          </cell>
          <cell r="AK2798" t="str">
            <v>Isaac Halpern</v>
          </cell>
        </row>
        <row r="2799">
          <cell r="C2799" t="str">
            <v>DB_PWCC - Data Scientist</v>
          </cell>
          <cell r="H2799">
            <v>5031430</v>
          </cell>
          <cell r="AK2799" t="str">
            <v>Matthew Faraone</v>
          </cell>
        </row>
        <row r="2800">
          <cell r="C2800" t="str">
            <v>Jeff_Compliance IT PM &amp; BA</v>
          </cell>
          <cell r="H2800">
            <v>5031373</v>
          </cell>
          <cell r="AK2800" t="str">
            <v>Chelsea Mattias</v>
          </cell>
        </row>
        <row r="2801">
          <cell r="C2801" t="str">
            <v>KB_Commercial Org Pro Improve</v>
          </cell>
          <cell r="H2801">
            <v>5031429</v>
          </cell>
          <cell r="AK2801" t="str">
            <v>Felix Urquia</v>
          </cell>
        </row>
        <row r="2802">
          <cell r="C2802" t="str">
            <v>IntlBkComm-ERM</v>
          </cell>
          <cell r="H2802">
            <v>5031509</v>
          </cell>
          <cell r="AK2802" t="str">
            <v>Tania Makuh</v>
          </cell>
        </row>
        <row r="2803">
          <cell r="C2803" t="str">
            <v>Bear State-Dep Ops Audit</v>
          </cell>
          <cell r="H2803">
            <v>5031804</v>
          </cell>
          <cell r="AK2803" t="str">
            <v>DELETED USER</v>
          </cell>
        </row>
        <row r="2804">
          <cell r="C2804" t="str">
            <v>UBS_Project Unicorn Amd 1</v>
          </cell>
          <cell r="H2804">
            <v>5029522</v>
          </cell>
          <cell r="AK2804" t="str">
            <v>Michael Zambon</v>
          </cell>
        </row>
        <row r="2805">
          <cell r="C2805" t="str">
            <v>WAFed-BSAAML AC/OFAC scrub/CTR</v>
          </cell>
          <cell r="H2805">
            <v>5031454</v>
          </cell>
          <cell r="AK2805" t="str">
            <v>Ginger Dahlin</v>
          </cell>
        </row>
        <row r="2806">
          <cell r="C2806" t="str">
            <v>RBCUS_Qlik Salesbook</v>
          </cell>
          <cell r="H2806">
            <v>5031544</v>
          </cell>
          <cell r="AK2806" t="str">
            <v>James St. Jean</v>
          </cell>
        </row>
        <row r="2807">
          <cell r="C2807" t="str">
            <v>GS_Enterprise Risk Dashboard</v>
          </cell>
          <cell r="H2807">
            <v>5031952</v>
          </cell>
          <cell r="AK2807" t="str">
            <v>Satheeshan Siva</v>
          </cell>
        </row>
        <row r="2808">
          <cell r="C2808" t="str">
            <v>RBCUS _Volcker Risk PMO</v>
          </cell>
          <cell r="H2808">
            <v>5031685</v>
          </cell>
          <cell r="AK2808" t="str">
            <v>Alexis Chan</v>
          </cell>
        </row>
        <row r="2809">
          <cell r="C2809" t="str">
            <v>Watertown-CMSE w/RAS</v>
          </cell>
          <cell r="H2809">
            <v>5032303</v>
          </cell>
          <cell r="AK2809" t="str">
            <v>Jamar Green</v>
          </cell>
        </row>
        <row r="2810">
          <cell r="C2810" t="str">
            <v>MS_ORD Extension 2018</v>
          </cell>
          <cell r="H2810">
            <v>5027913</v>
          </cell>
          <cell r="AK2810" t="str">
            <v>Dan Schutzman</v>
          </cell>
        </row>
        <row r="2811">
          <cell r="C2811" t="str">
            <v>RAS-215 Holding Company</v>
          </cell>
          <cell r="H2811">
            <v>5031188</v>
          </cell>
          <cell r="AK2811" t="str">
            <v>Cristina Arechaga</v>
          </cell>
        </row>
        <row r="2812">
          <cell r="C2812" t="str">
            <v>BarCap_CCar CDO Support</v>
          </cell>
          <cell r="H2812">
            <v>5031457</v>
          </cell>
          <cell r="AK2812" t="str">
            <v>Aditya Udas</v>
          </cell>
        </row>
        <row r="2813">
          <cell r="C2813" t="str">
            <v>MS_India RUN TM</v>
          </cell>
          <cell r="H2813">
            <v>5031736</v>
          </cell>
          <cell r="AK2813" t="str">
            <v>Mitali Drews</v>
          </cell>
        </row>
        <row r="2814">
          <cell r="C2814" t="str">
            <v>CNB Bank-CMSO EWRA</v>
          </cell>
          <cell r="H2814">
            <v>5031953</v>
          </cell>
          <cell r="AK2814" t="str">
            <v>Steve Manitzas</v>
          </cell>
        </row>
        <row r="2815">
          <cell r="C2815" t="str">
            <v>NatBk Malvern-GLBA</v>
          </cell>
          <cell r="H2815">
            <v>5031739</v>
          </cell>
          <cell r="AK2815" t="str">
            <v>Robert Farmer</v>
          </cell>
        </row>
        <row r="2816">
          <cell r="C2816" t="str">
            <v>HSBC_CDCo cS 2_2018 H1</v>
          </cell>
          <cell r="H2816">
            <v>5025701</v>
          </cell>
          <cell r="AK2816" t="str">
            <v>Matthew Faraone</v>
          </cell>
        </row>
        <row r="2817">
          <cell r="C2817" t="str">
            <v>Citizens Business Bank_RAS</v>
          </cell>
          <cell r="H2817">
            <v>5039465</v>
          </cell>
          <cell r="AK2817" t="str">
            <v>Diane Banks</v>
          </cell>
        </row>
        <row r="2818">
          <cell r="C2818" t="str">
            <v>First S&amp;L-Compliance Review</v>
          </cell>
          <cell r="H2818">
            <v>5030304</v>
          </cell>
          <cell r="AK2818" t="str">
            <v>Amanda Pickering</v>
          </cell>
        </row>
        <row r="2819">
          <cell r="C2819" t="str">
            <v>DB_PWCC - Data Sci H1 2018</v>
          </cell>
          <cell r="H2819">
            <v>5031639</v>
          </cell>
          <cell r="AK2819" t="str">
            <v>Matthew Faraone</v>
          </cell>
        </row>
        <row r="2820">
          <cell r="C2820" t="str">
            <v>MS_Gladiator 2018 Ext</v>
          </cell>
          <cell r="H2820">
            <v>5027915</v>
          </cell>
          <cell r="AK2820" t="str">
            <v>Dan Schutzman</v>
          </cell>
        </row>
        <row r="2821">
          <cell r="C2821" t="str">
            <v>Dime Bank_CMSO</v>
          </cell>
          <cell r="H2821">
            <v>5031741</v>
          </cell>
          <cell r="AK2821" t="str">
            <v>Gail Rassler</v>
          </cell>
        </row>
        <row r="2822">
          <cell r="C2822" t="str">
            <v>Bradesco_Next Bank Q1 2018 BR</v>
          </cell>
          <cell r="H2822">
            <v>5031621</v>
          </cell>
          <cell r="AK2822" t="str">
            <v>Owen Priestley</v>
          </cell>
        </row>
        <row r="2823">
          <cell r="C2823" t="str">
            <v>CarrollComm-CMSO</v>
          </cell>
          <cell r="H2823">
            <v>5032036</v>
          </cell>
          <cell r="AK2823" t="str">
            <v>W. Annette Dredden</v>
          </cell>
        </row>
        <row r="2824">
          <cell r="C2824" t="str">
            <v>RBCUS_Flex 1 Extension</v>
          </cell>
          <cell r="H2824">
            <v>5028806</v>
          </cell>
          <cell r="AK2824" t="str">
            <v>Robin Williams</v>
          </cell>
        </row>
        <row r="2825">
          <cell r="C2825" t="str">
            <v>Drummond-ERM</v>
          </cell>
          <cell r="H2825">
            <v>5031936</v>
          </cell>
          <cell r="AK2825" t="str">
            <v>Allan Cuttle</v>
          </cell>
        </row>
        <row r="2826">
          <cell r="C2826" t="str">
            <v>CarrollComm-Training</v>
          </cell>
          <cell r="H2826">
            <v>5032028</v>
          </cell>
          <cell r="AK2826" t="str">
            <v>W. Annette Dredden</v>
          </cell>
        </row>
        <row r="2827">
          <cell r="C2827" t="str">
            <v>Har Co MD-CMSO</v>
          </cell>
          <cell r="H2827">
            <v>5032211</v>
          </cell>
          <cell r="AK2827" t="str">
            <v>W. Annette Dredden</v>
          </cell>
        </row>
        <row r="2828">
          <cell r="C2828" t="str">
            <v>Bradesco_Next Bank Q1 2018 INT</v>
          </cell>
          <cell r="H2828">
            <v>5031620</v>
          </cell>
          <cell r="AK2828" t="str">
            <v>Owen Priestley</v>
          </cell>
        </row>
        <row r="2829">
          <cell r="C2829" t="str">
            <v>Landmark-Internal Audits</v>
          </cell>
          <cell r="H2829">
            <v>5032540</v>
          </cell>
          <cell r="AK2829" t="str">
            <v>Dennis Smith</v>
          </cell>
        </row>
        <row r="2830">
          <cell r="C2830" t="str">
            <v>Gold Coast-CMSO</v>
          </cell>
          <cell r="H2830">
            <v>5031880</v>
          </cell>
          <cell r="AK2830" t="str">
            <v>David Belfer</v>
          </cell>
        </row>
        <row r="2831">
          <cell r="C2831" t="str">
            <v>GS_CRA 2018 Support</v>
          </cell>
          <cell r="H2831">
            <v>5031991</v>
          </cell>
          <cell r="AK2831" t="str">
            <v>DELETED USER</v>
          </cell>
        </row>
        <row r="2832">
          <cell r="C2832" t="str">
            <v>PatriotBank-CMSO</v>
          </cell>
          <cell r="H2832">
            <v>5031737</v>
          </cell>
          <cell r="AK2832" t="str">
            <v>Mariana Dumanovsky</v>
          </cell>
        </row>
        <row r="2833">
          <cell r="C2833" t="str">
            <v>ShoreUnited-CMSO</v>
          </cell>
          <cell r="H2833">
            <v>5032383</v>
          </cell>
          <cell r="AK2833" t="str">
            <v>Steve Manitzas</v>
          </cell>
        </row>
        <row r="2834">
          <cell r="C2834" t="str">
            <v>1st Trust Bank_RAS</v>
          </cell>
          <cell r="H2834">
            <v>5039574</v>
          </cell>
          <cell r="AK2834" t="str">
            <v>Diane Banks</v>
          </cell>
        </row>
        <row r="2835">
          <cell r="C2835" t="str">
            <v>Achieva Credit Union_RAS</v>
          </cell>
          <cell r="H2835">
            <v>5039577</v>
          </cell>
          <cell r="AK2835" t="str">
            <v>Rebecca Breland</v>
          </cell>
        </row>
        <row r="2836">
          <cell r="C2836" t="str">
            <v>Alliance Financial Service_RAS</v>
          </cell>
          <cell r="H2836">
            <v>5039579</v>
          </cell>
          <cell r="AK2836" t="str">
            <v>Diane Banks</v>
          </cell>
        </row>
        <row r="2837">
          <cell r="C2837" t="str">
            <v>MS_US RUN TM</v>
          </cell>
          <cell r="H2837">
            <v>5031618</v>
          </cell>
          <cell r="AK2837" t="str">
            <v>Mitali Drews</v>
          </cell>
        </row>
        <row r="2838">
          <cell r="C2838" t="str">
            <v>Bank of Tennessee_RAS</v>
          </cell>
          <cell r="H2838">
            <v>5039592</v>
          </cell>
          <cell r="AK2838" t="str">
            <v>Rebecca Breland</v>
          </cell>
        </row>
        <row r="2839">
          <cell r="C2839" t="str">
            <v>Ciera Bank_RAS</v>
          </cell>
          <cell r="H2839">
            <v>5039608</v>
          </cell>
          <cell r="AK2839" t="str">
            <v>Diane Banks</v>
          </cell>
        </row>
        <row r="2840">
          <cell r="C2840" t="str">
            <v>Elmira Savings Bank_RAS</v>
          </cell>
          <cell r="H2840">
            <v>5039625</v>
          </cell>
          <cell r="AK2840" t="str">
            <v>Travis Peraza</v>
          </cell>
        </row>
        <row r="2841">
          <cell r="C2841" t="str">
            <v>ColoradoFSB-BSAAML ProgRevw</v>
          </cell>
          <cell r="H2841">
            <v>5029876</v>
          </cell>
          <cell r="AK2841" t="str">
            <v>Nancy Gregory</v>
          </cell>
        </row>
        <row r="2842">
          <cell r="C2842" t="str">
            <v>First Financial Bankshares_RAS</v>
          </cell>
          <cell r="H2842">
            <v>5039642</v>
          </cell>
          <cell r="AK2842" t="str">
            <v>Diane Banks</v>
          </cell>
        </row>
        <row r="2843">
          <cell r="C2843" t="str">
            <v>Delmarva-CMSO</v>
          </cell>
          <cell r="H2843">
            <v>5032193</v>
          </cell>
          <cell r="AK2843" t="str">
            <v>Steve Manitzas</v>
          </cell>
        </row>
        <row r="2844">
          <cell r="C2844" t="str">
            <v>First Security Bank - SD_RAS</v>
          </cell>
          <cell r="H2844">
            <v>5039654</v>
          </cell>
          <cell r="AK2844" t="str">
            <v>Rebecca Breland</v>
          </cell>
        </row>
        <row r="2845">
          <cell r="C2845" t="str">
            <v>Jefferies_Outsourcing UKRun 18</v>
          </cell>
          <cell r="H2845">
            <v>5031636</v>
          </cell>
          <cell r="AK2845" t="str">
            <v>Chhavi Madan</v>
          </cell>
        </row>
        <row r="2846">
          <cell r="C2846" t="str">
            <v>Pershing_Project Patriot</v>
          </cell>
          <cell r="H2846">
            <v>5031663</v>
          </cell>
          <cell r="AK2846" t="str">
            <v>Rao Surapaneni</v>
          </cell>
        </row>
        <row r="2847">
          <cell r="C2847" t="str">
            <v>Halstead Bank_RAS</v>
          </cell>
          <cell r="H2847">
            <v>5039669</v>
          </cell>
          <cell r="AK2847" t="str">
            <v>Diane Banks</v>
          </cell>
        </row>
        <row r="2848">
          <cell r="C2848" t="str">
            <v>Main Street Bank_RAS</v>
          </cell>
          <cell r="H2848">
            <v>5039682</v>
          </cell>
          <cell r="AK2848" t="str">
            <v>Diane Banks</v>
          </cell>
        </row>
        <row r="2849">
          <cell r="C2849" t="str">
            <v>Peoples Bank of Alabama_RAS</v>
          </cell>
          <cell r="H2849">
            <v>5039702</v>
          </cell>
          <cell r="AK2849" t="str">
            <v>Travis Peraza</v>
          </cell>
        </row>
        <row r="2850">
          <cell r="C2850" t="str">
            <v>FrMc_Pricing Exec Extension</v>
          </cell>
          <cell r="H2850">
            <v>5031691</v>
          </cell>
          <cell r="AK2850" t="str">
            <v>Sebastian Ekberg</v>
          </cell>
        </row>
        <row r="2851">
          <cell r="C2851" t="str">
            <v>MONB CMS 2018</v>
          </cell>
          <cell r="H2851">
            <v>5031738</v>
          </cell>
          <cell r="AK2851" t="str">
            <v>Gail Rassler</v>
          </cell>
        </row>
        <row r="2852">
          <cell r="C2852" t="str">
            <v>CapitalB NA-Compl Monit</v>
          </cell>
          <cell r="H2852">
            <v>5031973</v>
          </cell>
          <cell r="AK2852" t="str">
            <v>Jeanette Wampler</v>
          </cell>
        </row>
        <row r="2853">
          <cell r="C2853" t="str">
            <v>Wintrust-ERM License</v>
          </cell>
          <cell r="H2853">
            <v>5033923</v>
          </cell>
          <cell r="AK2853" t="str">
            <v>Tania Makuh</v>
          </cell>
        </row>
        <row r="2854">
          <cell r="C2854" t="str">
            <v>Financial Crimes Risk_2018 Q1</v>
          </cell>
          <cell r="H2854">
            <v>5029140</v>
          </cell>
          <cell r="AK2854" t="str">
            <v>Rahul Govada</v>
          </cell>
        </row>
        <row r="2855">
          <cell r="C2855" t="str">
            <v>1st Capital-Compliance Admin</v>
          </cell>
          <cell r="H2855">
            <v>5032133</v>
          </cell>
          <cell r="AK2855" t="str">
            <v>Brigitte Howorko</v>
          </cell>
        </row>
        <row r="2856">
          <cell r="C2856" t="str">
            <v>Fieldpoint-CMSO</v>
          </cell>
          <cell r="H2856">
            <v>5031879</v>
          </cell>
          <cell r="AK2856" t="str">
            <v>David Belfer</v>
          </cell>
        </row>
        <row r="2857">
          <cell r="C2857" t="str">
            <v>Farmers-CMSO</v>
          </cell>
          <cell r="H2857">
            <v>5032135</v>
          </cell>
          <cell r="AK2857" t="str">
            <v>Steve Manitzas</v>
          </cell>
        </row>
        <row r="2858">
          <cell r="C2858" t="str">
            <v>HarborMD-CMSO</v>
          </cell>
          <cell r="H2858">
            <v>5032025</v>
          </cell>
          <cell r="AK2858" t="str">
            <v>W. Annette Dredden</v>
          </cell>
        </row>
        <row r="2859">
          <cell r="C2859" t="str">
            <v>1stColonial-Monitoring</v>
          </cell>
          <cell r="H2859">
            <v>5032064</v>
          </cell>
          <cell r="AK2859" t="str">
            <v>Lorraine Williams</v>
          </cell>
        </row>
        <row r="2860">
          <cell r="C2860" t="str">
            <v>Jeff_CRM/Analytics Prog Mgmt</v>
          </cell>
          <cell r="H2860">
            <v>5032049</v>
          </cell>
          <cell r="AK2860" t="str">
            <v>Ripple Bhullar</v>
          </cell>
        </row>
        <row r="2861">
          <cell r="C2861" t="str">
            <v>Franklin-Monitoring</v>
          </cell>
          <cell r="H2861">
            <v>5031802</v>
          </cell>
          <cell r="AK2861" t="str">
            <v>Elizabeth Rozsa</v>
          </cell>
        </row>
        <row r="2862">
          <cell r="C2862" t="str">
            <v>DB Wealth - IT Landscape Opt</v>
          </cell>
          <cell r="H2862">
            <v>5031640</v>
          </cell>
          <cell r="AK2862" t="str">
            <v>Matthew Faraone</v>
          </cell>
        </row>
        <row r="2863">
          <cell r="C2863" t="str">
            <v>AllianceB&amp;T-Internal Audit 18</v>
          </cell>
          <cell r="H2863">
            <v>5029965</v>
          </cell>
          <cell r="AK2863" t="str">
            <v>Mary Louise Radley</v>
          </cell>
        </row>
        <row r="2864">
          <cell r="C2864" t="str">
            <v>FrMc_InvestReporting PMO 2018</v>
          </cell>
          <cell r="H2864">
            <v>5031735</v>
          </cell>
          <cell r="AK2864" t="str">
            <v>John Napolitano</v>
          </cell>
        </row>
        <row r="2865">
          <cell r="C2865" t="str">
            <v>Xpress-CMS Consulting</v>
          </cell>
          <cell r="H2865">
            <v>5032111</v>
          </cell>
          <cell r="AK2865" t="str">
            <v>Lisa Feistritzer</v>
          </cell>
        </row>
        <row r="2866">
          <cell r="C2866" t="str">
            <v>Cape Cod 5c-CMSO</v>
          </cell>
          <cell r="H2866">
            <v>5032715</v>
          </cell>
          <cell r="AK2866" t="str">
            <v>Leigh Tribou</v>
          </cell>
        </row>
        <row r="2867">
          <cell r="C2867" t="str">
            <v>Noah Bank-CMSO</v>
          </cell>
          <cell r="H2867">
            <v>5032174</v>
          </cell>
          <cell r="AK2867" t="str">
            <v>John Eshoo</v>
          </cell>
        </row>
        <row r="2868">
          <cell r="C2868" t="str">
            <v>Mutual Bank-CMSO</v>
          </cell>
          <cell r="H2868">
            <v>5032195</v>
          </cell>
          <cell r="AK2868" t="str">
            <v>Leigh Tribou</v>
          </cell>
        </row>
        <row r="2869">
          <cell r="C2869" t="str">
            <v>FinancialR-Monitoring</v>
          </cell>
          <cell r="H2869">
            <v>5032184</v>
          </cell>
          <cell r="AK2869" t="str">
            <v>John Eshoo</v>
          </cell>
        </row>
        <row r="2870">
          <cell r="C2870" t="str">
            <v>BarCap_SRP PM Support</v>
          </cell>
          <cell r="H2870">
            <v>5031320</v>
          </cell>
          <cell r="AK2870" t="str">
            <v>Eric Parrasch</v>
          </cell>
        </row>
        <row r="2871">
          <cell r="C2871" t="str">
            <v>Marshall-CMSO</v>
          </cell>
          <cell r="H2871">
            <v>5031803</v>
          </cell>
          <cell r="AK2871" t="str">
            <v>Steve Manitzas</v>
          </cell>
        </row>
        <row r="2872">
          <cell r="C2872" t="str">
            <v>CMS Optimizer</v>
          </cell>
          <cell r="H2872">
            <v>5031642</v>
          </cell>
          <cell r="AK2872" t="str">
            <v>Jeanette Wampler</v>
          </cell>
        </row>
        <row r="2873">
          <cell r="C2873" t="str">
            <v>Citizens WV-CMSO</v>
          </cell>
          <cell r="H2873">
            <v>5031800</v>
          </cell>
          <cell r="AK2873" t="str">
            <v>Jeanette Wampler</v>
          </cell>
        </row>
        <row r="2874">
          <cell r="C2874" t="str">
            <v>First North-CMSO</v>
          </cell>
          <cell r="H2874">
            <v>5031995</v>
          </cell>
          <cell r="AK2874" t="str">
            <v>Gail Rassler</v>
          </cell>
        </row>
        <row r="2875">
          <cell r="C2875" t="str">
            <v>Audubon-HMDA Rev</v>
          </cell>
          <cell r="H2875">
            <v>5031799</v>
          </cell>
          <cell r="AK2875" t="str">
            <v>Gail Rassler</v>
          </cell>
        </row>
        <row r="2876">
          <cell r="C2876" t="str">
            <v>MS_Payment Control 2018 - GFC</v>
          </cell>
          <cell r="H2876">
            <v>5031643</v>
          </cell>
          <cell r="AK2876" t="str">
            <v>Ruben Sooriya</v>
          </cell>
        </row>
        <row r="2877">
          <cell r="C2877" t="str">
            <v>Flushing Bank_RAS</v>
          </cell>
          <cell r="H2877">
            <v>5039502</v>
          </cell>
          <cell r="AK2877" t="str">
            <v>Diane Banks</v>
          </cell>
        </row>
        <row r="2878">
          <cell r="C2878" t="str">
            <v>CDW Data Analysis Amd 4</v>
          </cell>
          <cell r="H2878">
            <v>5027289</v>
          </cell>
          <cell r="AK2878" t="str">
            <v>Aditya Udas</v>
          </cell>
        </row>
        <row r="2879">
          <cell r="C2879" t="str">
            <v>1st Absecon-CMSO</v>
          </cell>
          <cell r="H2879">
            <v>5032405</v>
          </cell>
          <cell r="AK2879" t="str">
            <v>Elizabeth Rozsa</v>
          </cell>
        </row>
        <row r="2880">
          <cell r="C2880" t="str">
            <v>Auto Club Group_RAS</v>
          </cell>
          <cell r="H2880">
            <v>5039443</v>
          </cell>
          <cell r="AK2880" t="str">
            <v>Rebecca Breland</v>
          </cell>
        </row>
        <row r="2881">
          <cell r="C2881" t="str">
            <v>USAA-Exhibit B TRID Redisclose</v>
          </cell>
          <cell r="H2881">
            <v>5031742</v>
          </cell>
          <cell r="AK2881" t="str">
            <v>Willis Leitner</v>
          </cell>
        </row>
        <row r="2882">
          <cell r="C2882" t="str">
            <v>USAA-Exhibit A: PostClosing TA</v>
          </cell>
          <cell r="H2882">
            <v>5031740</v>
          </cell>
          <cell r="AK2882" t="str">
            <v>Willis Leitner</v>
          </cell>
        </row>
        <row r="2883">
          <cell r="C2883" t="str">
            <v>USAA-Exhibit C:Sales Cont Rvw</v>
          </cell>
          <cell r="H2883">
            <v>5031744</v>
          </cell>
          <cell r="AK2883" t="str">
            <v>Willis Leitner</v>
          </cell>
        </row>
        <row r="2884">
          <cell r="C2884" t="str">
            <v>DC Teachers FCU-Washington</v>
          </cell>
          <cell r="H2884">
            <v>5031681</v>
          </cell>
          <cell r="AK2884" t="str">
            <v>W. Annette Dredden</v>
          </cell>
        </row>
        <row r="2885">
          <cell r="C2885" t="str">
            <v>Connecticut Comm.Bank-CMSO</v>
          </cell>
          <cell r="H2885">
            <v>5031657</v>
          </cell>
          <cell r="AK2885" t="str">
            <v>John Eshoo</v>
          </cell>
        </row>
        <row r="2886">
          <cell r="C2886" t="str">
            <v>First S&amp;L-Compliance Review</v>
          </cell>
          <cell r="H2886">
            <v>5030304</v>
          </cell>
          <cell r="AK2886" t="str">
            <v>Amanda Pickering</v>
          </cell>
        </row>
        <row r="2887">
          <cell r="C2887" t="str">
            <v>Bank of Washington_RAS</v>
          </cell>
          <cell r="H2887">
            <v>5039595</v>
          </cell>
          <cell r="AK2887" t="str">
            <v>Diane Banks</v>
          </cell>
        </row>
        <row r="2888">
          <cell r="C2888" t="str">
            <v>Bank Star_RAS</v>
          </cell>
          <cell r="H2888">
            <v>5039596</v>
          </cell>
          <cell r="AK2888" t="str">
            <v>Rebecca Breland</v>
          </cell>
        </row>
        <row r="2889">
          <cell r="C2889" t="str">
            <v>BTC Bank_RAS</v>
          </cell>
          <cell r="H2889">
            <v>5039602</v>
          </cell>
          <cell r="AK2889" t="str">
            <v>Diane Banks</v>
          </cell>
        </row>
        <row r="2890">
          <cell r="C2890" t="str">
            <v>Citizens Bank of Eldon_RAS</v>
          </cell>
          <cell r="H2890">
            <v>5039609</v>
          </cell>
          <cell r="AK2890" t="str">
            <v>Diane Banks</v>
          </cell>
        </row>
        <row r="2891">
          <cell r="C2891" t="str">
            <v>First Arkansas Bank &amp; Trus_RAS</v>
          </cell>
          <cell r="H2891">
            <v>5039632</v>
          </cell>
          <cell r="AK2891" t="str">
            <v>Diane Banks</v>
          </cell>
        </row>
        <row r="2892">
          <cell r="C2892" t="str">
            <v>Leader Bank-CMSO</v>
          </cell>
          <cell r="H2892">
            <v>5032477</v>
          </cell>
          <cell r="AK2892" t="str">
            <v>Marianne Byrne</v>
          </cell>
        </row>
        <row r="2893">
          <cell r="C2893" t="str">
            <v>First State Bank of Beeche_RAS</v>
          </cell>
          <cell r="H2893">
            <v>5039657</v>
          </cell>
          <cell r="AK2893" t="str">
            <v>Diane Banks</v>
          </cell>
        </row>
        <row r="2894">
          <cell r="C2894" t="str">
            <v>Fremont Bank_RAS</v>
          </cell>
          <cell r="H2894">
            <v>5039663</v>
          </cell>
          <cell r="AK2894" t="str">
            <v>Diane Banks</v>
          </cell>
        </row>
        <row r="2895">
          <cell r="C2895" t="str">
            <v>New Peoples Bank Inc _RAS</v>
          </cell>
          <cell r="H2895">
            <v>5039692</v>
          </cell>
          <cell r="AK2895" t="str">
            <v>Diane Banks</v>
          </cell>
        </row>
        <row r="2896">
          <cell r="C2896" t="str">
            <v>ChainBridge-Compl Audits</v>
          </cell>
          <cell r="H2896">
            <v>5031980</v>
          </cell>
          <cell r="AK2896" t="str">
            <v>W. Annette Dredden</v>
          </cell>
        </row>
        <row r="2897">
          <cell r="C2897" t="str">
            <v>ZB-ERM Consulting</v>
          </cell>
          <cell r="H2897">
            <v>5031949</v>
          </cell>
          <cell r="AK2897" t="str">
            <v>Patti Harrison</v>
          </cell>
        </row>
        <row r="2898">
          <cell r="C2898" t="str">
            <v>CapitalCity-Qtly Compl Rev</v>
          </cell>
          <cell r="H2898">
            <v>5032173</v>
          </cell>
          <cell r="AK2898" t="str">
            <v>Zebulon Green</v>
          </cell>
        </row>
        <row r="2899">
          <cell r="C2899" t="str">
            <v>BoilingSpring-CMSO</v>
          </cell>
          <cell r="H2899">
            <v>5031987</v>
          </cell>
          <cell r="AK2899" t="str">
            <v>John Eshoo</v>
          </cell>
        </row>
        <row r="2900">
          <cell r="C2900" t="str">
            <v>Boulder Dam Credit Union_RAS</v>
          </cell>
          <cell r="H2900">
            <v>5039456</v>
          </cell>
          <cell r="AK2900" t="str">
            <v>Travis Peraza</v>
          </cell>
        </row>
        <row r="2901">
          <cell r="C2901" t="str">
            <v>Cecil Bank-CMSO</v>
          </cell>
          <cell r="H2901">
            <v>5032026</v>
          </cell>
          <cell r="AK2901" t="str">
            <v>Steve Manitzas</v>
          </cell>
        </row>
        <row r="2902">
          <cell r="C2902" t="str">
            <v>MS Wealth Ops CTB 2018</v>
          </cell>
          <cell r="H2902">
            <v>5027949</v>
          </cell>
          <cell r="AK2902" t="str">
            <v>DELETED USER</v>
          </cell>
        </row>
        <row r="2903">
          <cell r="C2903" t="str">
            <v>M.Y. Safra-AML Review</v>
          </cell>
          <cell r="H2903">
            <v>5032333</v>
          </cell>
          <cell r="AK2903" t="str">
            <v>DELETED USER</v>
          </cell>
        </row>
        <row r="2904">
          <cell r="C2904" t="str">
            <v>ICB China-CMSO 18-19</v>
          </cell>
          <cell r="H2904">
            <v>5029631</v>
          </cell>
          <cell r="AK2904" t="str">
            <v>David Belfer</v>
          </cell>
        </row>
        <row r="2905">
          <cell r="C2905" t="str">
            <v>FrMc_CRT BPR Extension</v>
          </cell>
          <cell r="H2905">
            <v>5028527</v>
          </cell>
          <cell r="AK2905" t="str">
            <v>Christopher Martines</v>
          </cell>
        </row>
        <row r="2906">
          <cell r="C2906" t="str">
            <v>FLEX 2018 extension</v>
          </cell>
          <cell r="H2906">
            <v>5025305</v>
          </cell>
          <cell r="AK2906" t="str">
            <v>Rahul Govada</v>
          </cell>
        </row>
        <row r="2907">
          <cell r="C2907" t="str">
            <v>Risk Transformation_2018</v>
          </cell>
          <cell r="H2907">
            <v>5028553</v>
          </cell>
          <cell r="AK2907" t="str">
            <v>Rahul Govada</v>
          </cell>
        </row>
        <row r="2908">
          <cell r="C2908" t="str">
            <v>MS_Governance Q1 18' Ext</v>
          </cell>
          <cell r="H2908">
            <v>5029141</v>
          </cell>
          <cell r="AK2908" t="str">
            <v>Thea Smith</v>
          </cell>
        </row>
        <row r="2909">
          <cell r="C2909" t="str">
            <v>PRU_Operational BNCHMRK Amd 2</v>
          </cell>
          <cell r="H2909">
            <v>5029423</v>
          </cell>
          <cell r="AK2909" t="str">
            <v>Phil Kerkel</v>
          </cell>
        </row>
        <row r="2910">
          <cell r="C2910" t="str">
            <v>RBCUS - Volcker PM Extension</v>
          </cell>
          <cell r="H2910">
            <v>5028246</v>
          </cell>
          <cell r="AK2910" t="str">
            <v>DELETED USER</v>
          </cell>
        </row>
        <row r="2911">
          <cell r="C2911" t="str">
            <v>MS_Payment Control</v>
          </cell>
          <cell r="H2911">
            <v>5031819</v>
          </cell>
          <cell r="AK2911" t="str">
            <v>Ruben Sooriya</v>
          </cell>
        </row>
        <row r="2912">
          <cell r="C2912" t="str">
            <v>GS_BACM SecDiv Support 2018</v>
          </cell>
          <cell r="H2912">
            <v>5031833</v>
          </cell>
          <cell r="AK2912" t="str">
            <v>Robert Norris</v>
          </cell>
        </row>
        <row r="2913">
          <cell r="C2913" t="str">
            <v>GS_Tax Ops 2018</v>
          </cell>
          <cell r="H2913">
            <v>5031709</v>
          </cell>
          <cell r="AK2913" t="str">
            <v>Bill Mollica</v>
          </cell>
        </row>
        <row r="2914">
          <cell r="C2914" t="str">
            <v>Jefferies_CRM PMO Analyst</v>
          </cell>
          <cell r="H2914">
            <v>5031968</v>
          </cell>
          <cell r="AK2914" t="str">
            <v>Ripple Bhullar</v>
          </cell>
        </row>
        <row r="2915">
          <cell r="C2915" t="str">
            <v>WF_ORA Program Delivery '18</v>
          </cell>
          <cell r="H2915">
            <v>5031599</v>
          </cell>
          <cell r="AK2915" t="str">
            <v>Elizabeth Allen</v>
          </cell>
        </row>
        <row r="2916">
          <cell r="C2916" t="str">
            <v>Jeff_Risk IT UAT Enviro Team</v>
          </cell>
          <cell r="H2916">
            <v>5031712</v>
          </cell>
          <cell r="AK2916" t="str">
            <v>John McCaffrey</v>
          </cell>
        </row>
        <row r="2917">
          <cell r="C2917" t="str">
            <v>GS_QFC Recordkeeping_2018</v>
          </cell>
          <cell r="H2917">
            <v>5031545</v>
          </cell>
          <cell r="AK2917" t="str">
            <v>Ryan Savoca</v>
          </cell>
        </row>
        <row r="2918">
          <cell r="C2918" t="str">
            <v>Santander_InfoSec Implem</v>
          </cell>
          <cell r="H2918">
            <v>5031693</v>
          </cell>
          <cell r="AK2918" t="str">
            <v>Ridha Mesli</v>
          </cell>
        </row>
        <row r="2919">
          <cell r="C2919" t="str">
            <v>Pershing_Project Cetera TM</v>
          </cell>
          <cell r="H2919">
            <v>5031687</v>
          </cell>
          <cell r="AK2919" t="str">
            <v>Rao Surapaneni</v>
          </cell>
        </row>
        <row r="2920">
          <cell r="C2920" t="str">
            <v>Santander_Data Remediation</v>
          </cell>
          <cell r="H2920">
            <v>5031798</v>
          </cell>
          <cell r="AK2920" t="str">
            <v>Ridha Mesli</v>
          </cell>
        </row>
        <row r="2921">
          <cell r="C2921" t="str">
            <v>GS_BACM Operations BI Amd 1</v>
          </cell>
          <cell r="H2921">
            <v>5030162</v>
          </cell>
          <cell r="AK2921" t="str">
            <v>James St. Jean</v>
          </cell>
        </row>
        <row r="2922">
          <cell r="C2922" t="str">
            <v>BNPP_NYDFS Part 504</v>
          </cell>
          <cell r="H2922">
            <v>5031455</v>
          </cell>
          <cell r="AK2922" t="str">
            <v>Benay Nachin</v>
          </cell>
        </row>
        <row r="2923">
          <cell r="C2923" t="str">
            <v>ALIC_Digital Phase 2 Amd 1</v>
          </cell>
          <cell r="H2923">
            <v>5028847</v>
          </cell>
          <cell r="AK2923" t="str">
            <v>Matthew Berkowitz</v>
          </cell>
        </row>
        <row r="2924">
          <cell r="C2924" t="str">
            <v>City Ntl FL-BSA Alert CL</v>
          </cell>
          <cell r="H2924">
            <v>5031981</v>
          </cell>
          <cell r="AK2924" t="str">
            <v>Ginger Dahlin</v>
          </cell>
        </row>
        <row r="2925">
          <cell r="C2925" t="str">
            <v>UB_Risk Line of Defense Align</v>
          </cell>
          <cell r="H2925">
            <v>5031658</v>
          </cell>
          <cell r="AK2925" t="str">
            <v>George Simotas</v>
          </cell>
        </row>
        <row r="2926">
          <cell r="C2926" t="str">
            <v>GS_BACM Asset Servicing</v>
          </cell>
          <cell r="H2926">
            <v>5031844</v>
          </cell>
          <cell r="AK2926" t="str">
            <v>Chintan Chokshi</v>
          </cell>
        </row>
        <row r="2927">
          <cell r="C2927" t="str">
            <v>DB_Reg Remediation 2018</v>
          </cell>
          <cell r="H2927">
            <v>5031793</v>
          </cell>
          <cell r="AK2927" t="str">
            <v>Carl Repoli</v>
          </cell>
        </row>
        <row r="2928">
          <cell r="C2928" t="str">
            <v>GS_BACM Tax 871M 2018 Support</v>
          </cell>
          <cell r="H2928">
            <v>5031565</v>
          </cell>
          <cell r="AK2928" t="str">
            <v>Chintan Chokshi</v>
          </cell>
        </row>
        <row r="2929">
          <cell r="C2929" t="str">
            <v>FrMc_Manufactured Homes</v>
          </cell>
          <cell r="H2929">
            <v>5031662</v>
          </cell>
          <cell r="AK2929" t="str">
            <v>Tsimona Mersie</v>
          </cell>
        </row>
        <row r="2930">
          <cell r="C2930" t="str">
            <v>RBCUS_ERM Expansion</v>
          </cell>
          <cell r="H2930">
            <v>5031660</v>
          </cell>
          <cell r="AK2930" t="str">
            <v>Nikita Mehta</v>
          </cell>
        </row>
        <row r="2931">
          <cell r="C2931" t="str">
            <v>UB_Unsecured Lndg Risk Contrls</v>
          </cell>
          <cell r="H2931">
            <v>5031659</v>
          </cell>
          <cell r="AK2931" t="str">
            <v>Adrian Ungureanu</v>
          </cell>
        </row>
        <row r="2932">
          <cell r="C2932" t="str">
            <v>Jeff_IT PM Sourcing</v>
          </cell>
          <cell r="H2932">
            <v>5032161</v>
          </cell>
          <cell r="AK2932" t="str">
            <v>Jeffrey Gheraldi</v>
          </cell>
        </row>
        <row r="2933">
          <cell r="C2933" t="str">
            <v>Unify Wealth Desk</v>
          </cell>
          <cell r="AK2933" t="str">
            <v>DELETED USER</v>
          </cell>
        </row>
        <row r="2934">
          <cell r="C2934" t="str">
            <v>BBT_FIS_BnkCard Model Redesign</v>
          </cell>
          <cell r="H2934">
            <v>5031801</v>
          </cell>
          <cell r="AK2934" t="str">
            <v>Martin Amend</v>
          </cell>
        </row>
        <row r="2935">
          <cell r="C2935" t="str">
            <v>LM_EU Growth Strategy</v>
          </cell>
          <cell r="H2935">
            <v>5032029</v>
          </cell>
          <cell r="AK2935" t="str">
            <v>Louise Main</v>
          </cell>
        </row>
        <row r="2936">
          <cell r="C2936" t="str">
            <v>Citi_YB Divestiture 2018</v>
          </cell>
          <cell r="H2936">
            <v>5031997</v>
          </cell>
          <cell r="AK2936" t="str">
            <v>Robert Norris</v>
          </cell>
        </row>
        <row r="2937">
          <cell r="C2937" t="str">
            <v>Silvergate-BSAAML AC</v>
          </cell>
          <cell r="H2937">
            <v>5031651</v>
          </cell>
          <cell r="AK2937" t="str">
            <v>Ginger Dahlin</v>
          </cell>
        </row>
        <row r="2938">
          <cell r="C2938" t="str">
            <v>Caixa Geral-Compl Advisor</v>
          </cell>
          <cell r="H2938">
            <v>5031846</v>
          </cell>
          <cell r="AK2938" t="str">
            <v>William Sachs</v>
          </cell>
        </row>
        <row r="2939">
          <cell r="C2939" t="str">
            <v>Business Resiliency AMD 8</v>
          </cell>
          <cell r="H2939">
            <v>5028562</v>
          </cell>
          <cell r="AK2939" t="str">
            <v>Karl Augenstein</v>
          </cell>
        </row>
        <row r="2940">
          <cell r="C2940" t="str">
            <v>TotalBank-HMDA Data Integ Rvws</v>
          </cell>
          <cell r="H2940">
            <v>5031831</v>
          </cell>
          <cell r="AK2940" t="str">
            <v>Juan Pimentel</v>
          </cell>
        </row>
        <row r="2941">
          <cell r="C2941" t="str">
            <v>Business Resiliency AMD 7</v>
          </cell>
          <cell r="H2941">
            <v>5028562</v>
          </cell>
          <cell r="AK2941" t="str">
            <v>Karl Augenstein</v>
          </cell>
        </row>
        <row r="2942">
          <cell r="C2942" t="str">
            <v>Zelle Pymnt Engine Int CO #1</v>
          </cell>
          <cell r="H2942">
            <v>5030071</v>
          </cell>
          <cell r="AK2942" t="str">
            <v>James Kane</v>
          </cell>
        </row>
        <row r="2943">
          <cell r="C2943" t="str">
            <v>Business Resiliency AMD 9</v>
          </cell>
          <cell r="H2943">
            <v>5028562</v>
          </cell>
          <cell r="AK2943" t="str">
            <v>Karl Augenstein</v>
          </cell>
        </row>
        <row r="2944">
          <cell r="C2944" t="str">
            <v>FrMc_Process Mapping AMD 1</v>
          </cell>
          <cell r="H2944">
            <v>5029428</v>
          </cell>
          <cell r="AK2944" t="str">
            <v>Linda Graham</v>
          </cell>
        </row>
        <row r="2945">
          <cell r="C2945" t="str">
            <v>CSS_Ops Dashboard Project</v>
          </cell>
          <cell r="H2945">
            <v>5031888</v>
          </cell>
          <cell r="AK2945" t="str">
            <v>John Hickman</v>
          </cell>
        </row>
        <row r="2946">
          <cell r="C2946" t="str">
            <v>1stColonial-HMDA Consult</v>
          </cell>
          <cell r="H2946">
            <v>5031956</v>
          </cell>
          <cell r="AK2946" t="str">
            <v>Lorraine Williams</v>
          </cell>
        </row>
        <row r="2947">
          <cell r="C2947" t="str">
            <v>Jeff_Compliance Eq Remediation</v>
          </cell>
          <cell r="H2947">
            <v>5031881</v>
          </cell>
          <cell r="AK2947" t="str">
            <v>Chelsea Mattias</v>
          </cell>
        </row>
        <row r="2948">
          <cell r="C2948" t="str">
            <v>Citizens Business Bank</v>
          </cell>
          <cell r="H2948">
            <v>5030845</v>
          </cell>
          <cell r="AK2948" t="str">
            <v>Cristina Arechaga</v>
          </cell>
        </row>
        <row r="2949">
          <cell r="C2949" t="str">
            <v>NatCap WA-BSA RA</v>
          </cell>
          <cell r="H2949">
            <v>5032317</v>
          </cell>
          <cell r="AK2949" t="str">
            <v>Nancy Swong</v>
          </cell>
        </row>
        <row r="2950">
          <cell r="C2950" t="str">
            <v>MS - OofA Implementation Phase</v>
          </cell>
          <cell r="H2950">
            <v>5028784</v>
          </cell>
          <cell r="AK2950" t="str">
            <v>Justin Gonlag</v>
          </cell>
        </row>
        <row r="2951">
          <cell r="C2951" t="str">
            <v>Gunma-BSA Ind Test</v>
          </cell>
          <cell r="H2951">
            <v>5031910</v>
          </cell>
          <cell r="AK2951" t="str">
            <v>Charles Mcwilliam</v>
          </cell>
        </row>
        <row r="2952">
          <cell r="C2952" t="str">
            <v>UBS_SBL - Phase I (MVP)</v>
          </cell>
          <cell r="H2952">
            <v>5031977</v>
          </cell>
          <cell r="AK2952" t="str">
            <v>DELETED USER</v>
          </cell>
        </row>
        <row r="2953">
          <cell r="C2953" t="str">
            <v>1stColonial-HMDA CRA Data Col</v>
          </cell>
          <cell r="H2953">
            <v>5031983</v>
          </cell>
          <cell r="AK2953" t="str">
            <v>Juan Pimentel</v>
          </cell>
        </row>
        <row r="2954">
          <cell r="C2954" t="str">
            <v>5th3rd_Vision 2020 2018</v>
          </cell>
          <cell r="H2954">
            <v>5031954</v>
          </cell>
          <cell r="AK2954" t="str">
            <v>Tulsi Mehta</v>
          </cell>
        </row>
        <row r="2955">
          <cell r="C2955" t="str">
            <v>EZCORP  INC-AML US LA MEX</v>
          </cell>
          <cell r="H2955">
            <v>5031955</v>
          </cell>
          <cell r="AK2955" t="str">
            <v>Benay Nachin</v>
          </cell>
        </row>
        <row r="2956">
          <cell r="C2956" t="str">
            <v>CIBC Bank-App Matrix Cons</v>
          </cell>
          <cell r="H2956">
            <v>5032113</v>
          </cell>
          <cell r="AK2956" t="str">
            <v>Lisa Feistritzer</v>
          </cell>
        </row>
        <row r="2957">
          <cell r="C2957" t="str">
            <v>5th3rd_DigitalBnker IT UX Amd1</v>
          </cell>
          <cell r="H2957">
            <v>5030225</v>
          </cell>
          <cell r="AK2957" t="str">
            <v>Tulsi Mehta</v>
          </cell>
        </row>
        <row r="2958">
          <cell r="C2958" t="str">
            <v>GS CRA Feb Extension</v>
          </cell>
          <cell r="H2958">
            <v>5031991</v>
          </cell>
          <cell r="AK2958" t="str">
            <v>DELETED USER</v>
          </cell>
        </row>
        <row r="2959">
          <cell r="C2959" t="str">
            <v>First Bank Richmond_RAS</v>
          </cell>
          <cell r="H2959">
            <v>5039633</v>
          </cell>
          <cell r="AK2959" t="str">
            <v>Diane Banks</v>
          </cell>
        </row>
        <row r="2960">
          <cell r="C2960" t="str">
            <v>FrMc_CSP 2018</v>
          </cell>
          <cell r="H2960">
            <v>5031933</v>
          </cell>
          <cell r="AK2960" t="str">
            <v>Thomas Wilson</v>
          </cell>
        </row>
        <row r="2961">
          <cell r="C2961" t="str">
            <v>Boulder Dam CU Premium Member</v>
          </cell>
          <cell r="H2961">
            <v>5032289</v>
          </cell>
          <cell r="AK2961" t="str">
            <v>Cristina Arechaga</v>
          </cell>
        </row>
        <row r="2962">
          <cell r="C2962" t="str">
            <v>Banco Sabadell_RAS</v>
          </cell>
          <cell r="H2962">
            <v>5039445</v>
          </cell>
          <cell r="AK2962" t="str">
            <v>Diane Banks</v>
          </cell>
        </row>
        <row r="2963">
          <cell r="C2963" t="str">
            <v>33688-RAS-Banco Sabadell</v>
          </cell>
          <cell r="H2963">
            <v>5032287</v>
          </cell>
          <cell r="AK2963" t="str">
            <v>Cristina Arechaga</v>
          </cell>
        </row>
        <row r="2964">
          <cell r="C2964" t="str">
            <v>Geo D Warthen Bank_RAS</v>
          </cell>
          <cell r="H2964">
            <v>5039562</v>
          </cell>
          <cell r="AK2964" t="str">
            <v>Travis Peraza</v>
          </cell>
        </row>
        <row r="2965">
          <cell r="C2965" t="str">
            <v>Borrowers-FL RiskAssessment 18</v>
          </cell>
          <cell r="H2965">
            <v>5030054</v>
          </cell>
          <cell r="AK2965" t="str">
            <v>Paula Witt</v>
          </cell>
        </row>
        <row r="2966">
          <cell r="C2966" t="str">
            <v>RAS-Hanover Community Bank</v>
          </cell>
          <cell r="H2966">
            <v>5032302</v>
          </cell>
          <cell r="AK2966" t="str">
            <v>Cristina Arechaga</v>
          </cell>
        </row>
        <row r="2967">
          <cell r="C2967" t="str">
            <v>PREMIUM MEMBERSHIP SERVICES</v>
          </cell>
          <cell r="H2967">
            <v>5030720</v>
          </cell>
          <cell r="AK2967" t="str">
            <v>Cristina Arechaga</v>
          </cell>
        </row>
        <row r="2968">
          <cell r="C2968" t="str">
            <v>Bear State-MLO-LO Comp Revw 18</v>
          </cell>
          <cell r="H2968">
            <v>5030050</v>
          </cell>
          <cell r="AK2968" t="str">
            <v>Dennis Smith</v>
          </cell>
        </row>
        <row r="2969">
          <cell r="C2969" t="str">
            <v>RBCUS_Volcker RENTD Data</v>
          </cell>
          <cell r="H2969">
            <v>5032134</v>
          </cell>
          <cell r="AK2969" t="str">
            <v>Glen Gannon</v>
          </cell>
        </row>
        <row r="2970">
          <cell r="C2970" t="str">
            <v>Premium Membership</v>
          </cell>
          <cell r="H2970">
            <v>5030456</v>
          </cell>
          <cell r="AK2970" t="str">
            <v>Cristina Arechaga</v>
          </cell>
        </row>
        <row r="2971">
          <cell r="C2971" t="str">
            <v>Jeff_CRM Production Support</v>
          </cell>
          <cell r="H2971">
            <v>5032185</v>
          </cell>
          <cell r="AK2971" t="str">
            <v>Ripple Bhullar</v>
          </cell>
        </row>
        <row r="2972">
          <cell r="C2972" t="str">
            <v>Heritage-HMDA Consulting</v>
          </cell>
          <cell r="H2972">
            <v>5032112</v>
          </cell>
          <cell r="AK2972" t="str">
            <v>Pamela Acciardo</v>
          </cell>
        </row>
        <row r="2973">
          <cell r="C2973" t="str">
            <v>Sunflower Bank NA_RAS</v>
          </cell>
          <cell r="H2973">
            <v>5039728</v>
          </cell>
          <cell r="AK2973" t="str">
            <v>Travis Peraza</v>
          </cell>
        </row>
        <row r="2974">
          <cell r="C2974" t="str">
            <v>United Bank_RAS</v>
          </cell>
          <cell r="H2974">
            <v>5039738</v>
          </cell>
          <cell r="AK2974" t="str">
            <v>Diane Banks</v>
          </cell>
        </row>
        <row r="2975">
          <cell r="C2975" t="str">
            <v>Carlsbad National Bank_RAS</v>
          </cell>
          <cell r="H2975">
            <v>5039459</v>
          </cell>
          <cell r="AK2975" t="str">
            <v>Diane Banks</v>
          </cell>
        </row>
        <row r="2976">
          <cell r="C2976" t="str">
            <v>Jeff_QA &amp; Test Team 2018</v>
          </cell>
          <cell r="H2976">
            <v>5032005</v>
          </cell>
          <cell r="AK2976" t="str">
            <v>John McCaffrey</v>
          </cell>
        </row>
        <row r="2977">
          <cell r="C2977" t="str">
            <v>Pershing_Project Cetera TM</v>
          </cell>
          <cell r="H2977">
            <v>5032039</v>
          </cell>
          <cell r="AK2977" t="str">
            <v>Rao Surapaneni</v>
          </cell>
        </row>
        <row r="2978">
          <cell r="C2978" t="str">
            <v>Jeff_Ops CTB Sourcing 2018</v>
          </cell>
          <cell r="H2978">
            <v>5031998</v>
          </cell>
          <cell r="AK2978" t="str">
            <v>Jon Herna</v>
          </cell>
        </row>
        <row r="2979">
          <cell r="C2979" t="str">
            <v>BancoBrasil-HMDA Data Rvw</v>
          </cell>
          <cell r="H2979">
            <v>5032038</v>
          </cell>
          <cell r="AK2979" t="str">
            <v>Juan Pimentel</v>
          </cell>
        </row>
        <row r="2980">
          <cell r="C2980" t="str">
            <v>FidelityCoop-Ent RA Enhance</v>
          </cell>
          <cell r="H2980">
            <v>5032097</v>
          </cell>
          <cell r="AK2980" t="str">
            <v>Tania Makuh</v>
          </cell>
        </row>
        <row r="2981">
          <cell r="C2981" t="str">
            <v>Jeff_Risk Program Office</v>
          </cell>
          <cell r="H2981">
            <v>5032009</v>
          </cell>
          <cell r="AK2981" t="str">
            <v>Chelsea Mattias</v>
          </cell>
        </row>
        <row r="2982">
          <cell r="C2982" t="str">
            <v>Liberty Bank_CA_RAS</v>
          </cell>
          <cell r="H2982">
            <v>5039678</v>
          </cell>
          <cell r="AK2982" t="str">
            <v>Diane Banks</v>
          </cell>
        </row>
        <row r="2983">
          <cell r="C2983" t="str">
            <v>FrMc_CSP IT PMO 2018</v>
          </cell>
          <cell r="H2983">
            <v>5032041</v>
          </cell>
          <cell r="AK2983" t="str">
            <v>Darrell Rials</v>
          </cell>
        </row>
        <row r="2984">
          <cell r="C2984" t="str">
            <v>American Bank NA_RAS</v>
          </cell>
          <cell r="H2984">
            <v>5039439</v>
          </cell>
          <cell r="AK2984" t="str">
            <v>Travis Peraza</v>
          </cell>
        </row>
        <row r="2985">
          <cell r="C2985" t="str">
            <v>RAS-13347-Dedham Institution</v>
          </cell>
          <cell r="H2985">
            <v>5032299</v>
          </cell>
          <cell r="AK2985" t="str">
            <v>Cristina Arechaga</v>
          </cell>
        </row>
        <row r="2986">
          <cell r="C2986" t="str">
            <v>Savings Bank of Danbury_RAS</v>
          </cell>
          <cell r="H2986">
            <v>5039721</v>
          </cell>
          <cell r="AK2986" t="str">
            <v>Diane Banks</v>
          </cell>
        </row>
        <row r="2987">
          <cell r="C2987" t="str">
            <v>Happy State-BSA Model Val</v>
          </cell>
          <cell r="H2987">
            <v>5032371</v>
          </cell>
          <cell r="AK2987" t="str">
            <v>Allan Cuttle</v>
          </cell>
        </row>
        <row r="2988">
          <cell r="C2988" t="str">
            <v>Happy State-BSA Rules Tun</v>
          </cell>
          <cell r="H2988">
            <v>5032212</v>
          </cell>
          <cell r="AK2988" t="str">
            <v>Benay Nachin</v>
          </cell>
        </row>
        <row r="2989">
          <cell r="C2989" t="str">
            <v>Middletown-CMSE w/RAS</v>
          </cell>
          <cell r="H2989">
            <v>5032158</v>
          </cell>
          <cell r="AK2989" t="str">
            <v>Steve Manitzas</v>
          </cell>
        </row>
        <row r="2990">
          <cell r="C2990" t="str">
            <v>NexTier Bank NA_RAS</v>
          </cell>
          <cell r="H2990">
            <v>5039693</v>
          </cell>
          <cell r="AK2990" t="str">
            <v>Diane Banks</v>
          </cell>
        </row>
        <row r="2991">
          <cell r="C2991" t="str">
            <v>Purefy-Ad Review</v>
          </cell>
          <cell r="H2991">
            <v>5032129</v>
          </cell>
          <cell r="AK2991" t="str">
            <v>Steve Manitzas</v>
          </cell>
        </row>
        <row r="2992">
          <cell r="C2992" t="str">
            <v>Borrowers-FL RiskAssessment 21</v>
          </cell>
          <cell r="H2992">
            <v>5029800</v>
          </cell>
        </row>
        <row r="2993">
          <cell r="C2993" t="str">
            <v>RBCUS - Volcker PM Extension</v>
          </cell>
          <cell r="H2993">
            <v>5028246</v>
          </cell>
          <cell r="AK2993" t="str">
            <v>DELETED USER</v>
          </cell>
        </row>
        <row r="2994">
          <cell r="C2994" t="str">
            <v>GreatPlains-FL RiskAssess 18</v>
          </cell>
          <cell r="H2994">
            <v>5029935</v>
          </cell>
          <cell r="AK2994" t="str">
            <v>Paula Witt</v>
          </cell>
        </row>
        <row r="2995">
          <cell r="C2995" t="str">
            <v>BAYB CCO Interim Staff Augm</v>
          </cell>
          <cell r="H2995">
            <v>5031212</v>
          </cell>
          <cell r="AK2995" t="str">
            <v>Patrice Nye</v>
          </cell>
        </row>
        <row r="2996">
          <cell r="C2996" t="str">
            <v>CSS_Ops Dashboard Project Amd1</v>
          </cell>
          <cell r="H2996">
            <v>5031888</v>
          </cell>
          <cell r="AK2996" t="str">
            <v>John Hickman</v>
          </cell>
        </row>
        <row r="2997">
          <cell r="C2997" t="str">
            <v>BMO Harris_Spotfire Ph6</v>
          </cell>
          <cell r="H2997">
            <v>5028321</v>
          </cell>
          <cell r="AK2997" t="str">
            <v>Matthias Daus</v>
          </cell>
        </row>
        <row r="2998">
          <cell r="C2998" t="str">
            <v>MS_FID_MSSM_Backfill</v>
          </cell>
          <cell r="H2998">
            <v>5028481</v>
          </cell>
          <cell r="AK2998" t="str">
            <v>Mitali Drews</v>
          </cell>
        </row>
        <row r="2999">
          <cell r="C2999" t="str">
            <v>CSS_CFO Finance Strategy</v>
          </cell>
          <cell r="H2999">
            <v>5032066</v>
          </cell>
          <cell r="AK2999" t="str">
            <v>John Hickman</v>
          </cell>
        </row>
        <row r="3000">
          <cell r="C3000" t="str">
            <v>BancoSabadell-Cyber Cons</v>
          </cell>
          <cell r="H3000">
            <v>5032148</v>
          </cell>
          <cell r="AK3000" t="str">
            <v>Kevin McCarty</v>
          </cell>
        </row>
        <row r="3001">
          <cell r="C3001" t="str">
            <v>Staunton-HMDA-Fair Lending</v>
          </cell>
          <cell r="H3001">
            <v>5032159</v>
          </cell>
          <cell r="AK3001" t="str">
            <v>Paula Witt</v>
          </cell>
        </row>
        <row r="3002">
          <cell r="C3002" t="str">
            <v>BRAD_Brokerage IL R1 MVP 1 INT</v>
          </cell>
          <cell r="H3002">
            <v>5032162</v>
          </cell>
          <cell r="AK3002" t="str">
            <v>Eduardo Yamassaki</v>
          </cell>
        </row>
        <row r="3003">
          <cell r="C3003" t="str">
            <v>Plumas Bank-File Review</v>
          </cell>
          <cell r="H3003">
            <v>5032181</v>
          </cell>
          <cell r="AK3003" t="str">
            <v>Elizabeth Jablonski</v>
          </cell>
        </row>
        <row r="3004">
          <cell r="C3004" t="str">
            <v>BarCap_CCAR Data Management</v>
          </cell>
          <cell r="H3004">
            <v>5032172</v>
          </cell>
          <cell r="AK3004" t="str">
            <v>Aditya Udas</v>
          </cell>
        </row>
        <row r="3005">
          <cell r="C3005" t="str">
            <v>Pioneer Bank_RAS</v>
          </cell>
          <cell r="H3005">
            <v>5039541</v>
          </cell>
          <cell r="AK3005" t="str">
            <v>Travis Peraza</v>
          </cell>
        </row>
        <row r="3006">
          <cell r="C3006" t="str">
            <v>FrMc_PM for Peter</v>
          </cell>
          <cell r="H3006">
            <v>5028562</v>
          </cell>
          <cell r="AK3006" t="str">
            <v>Karl Augenstein</v>
          </cell>
        </row>
        <row r="3007">
          <cell r="C3007" t="str">
            <v>UBS_ICAP Project Manager</v>
          </cell>
          <cell r="H3007">
            <v>5032252</v>
          </cell>
          <cell r="AK3007" t="str">
            <v>Michael Zambon</v>
          </cell>
        </row>
        <row r="3008">
          <cell r="C3008" t="str">
            <v>BNPP_Vndor On/Off-brding Pro</v>
          </cell>
          <cell r="H3008">
            <v>5032131</v>
          </cell>
          <cell r="AK3008" t="str">
            <v>Thanh Le Xuan</v>
          </cell>
        </row>
        <row r="3009">
          <cell r="C3009" t="str">
            <v>FidelityDDB-HMDA CRA Audit</v>
          </cell>
          <cell r="H3009">
            <v>5032201</v>
          </cell>
          <cell r="AK3009" t="str">
            <v>Gail Rassler</v>
          </cell>
        </row>
        <row r="3010">
          <cell r="C3010" t="str">
            <v>P&amp;GMehoopany-RA Audits</v>
          </cell>
          <cell r="H3010">
            <v>5032202</v>
          </cell>
          <cell r="AK3010" t="str">
            <v>Robert Farmer</v>
          </cell>
        </row>
        <row r="3011">
          <cell r="C3011" t="str">
            <v>FreedomVA-3rd RMP Rev</v>
          </cell>
          <cell r="H3011">
            <v>5032227</v>
          </cell>
          <cell r="AK3011" t="str">
            <v>Robert Farmer</v>
          </cell>
        </row>
        <row r="3012">
          <cell r="C3012" t="str">
            <v>CommunityDL-IB INfo Sec RA</v>
          </cell>
          <cell r="H3012">
            <v>5032183</v>
          </cell>
          <cell r="AK3012" t="str">
            <v>Robert Farmer</v>
          </cell>
        </row>
        <row r="3013">
          <cell r="C3013" t="str">
            <v>1stPriority-HMDA Scrub</v>
          </cell>
          <cell r="H3013">
            <v>5032264</v>
          </cell>
          <cell r="AK3013" t="str">
            <v>Paula Witt</v>
          </cell>
        </row>
        <row r="3014">
          <cell r="C3014" t="str">
            <v>Noah Bank-BSA Support</v>
          </cell>
          <cell r="H3014">
            <v>5032228</v>
          </cell>
          <cell r="AK3014" t="str">
            <v>Nancy Gregory</v>
          </cell>
        </row>
        <row r="3015">
          <cell r="C3015" t="str">
            <v>BMO Harris_Data Gov FDIC</v>
          </cell>
          <cell r="H3015">
            <v>5032205</v>
          </cell>
          <cell r="AK3015" t="str">
            <v>Kyle Marynowski</v>
          </cell>
        </row>
        <row r="3016">
          <cell r="C3016" t="str">
            <v>Patriot FCU-MQC</v>
          </cell>
          <cell r="H3016">
            <v>5032376</v>
          </cell>
          <cell r="AK3016" t="str">
            <v>Christian Maier</v>
          </cell>
        </row>
        <row r="3017">
          <cell r="C3017" t="str">
            <v>Alma Bank-BSA Monitoring</v>
          </cell>
          <cell r="H3017">
            <v>5032230</v>
          </cell>
          <cell r="AK3017" t="str">
            <v>Charles Mcwilliam</v>
          </cell>
        </row>
        <row r="3018">
          <cell r="C3018" t="str">
            <v>BMO Harris_FDIC Remediation</v>
          </cell>
          <cell r="H3018">
            <v>5032249</v>
          </cell>
          <cell r="AK3018" t="str">
            <v>George Simotas</v>
          </cell>
        </row>
        <row r="3019">
          <cell r="C3019" t="str">
            <v>UB_Regional Bk Ops Design</v>
          </cell>
          <cell r="H3019">
            <v>5032265</v>
          </cell>
          <cell r="AK3019" t="str">
            <v>Kevin Miologos</v>
          </cell>
        </row>
        <row r="3020">
          <cell r="C3020" t="str">
            <v>MS Design Thinking</v>
          </cell>
          <cell r="H3020">
            <v>5031618</v>
          </cell>
          <cell r="AK3020" t="str">
            <v>Amir Dotan</v>
          </cell>
        </row>
        <row r="3021">
          <cell r="C3021" t="str">
            <v>LM_Strategy Bridge 2</v>
          </cell>
          <cell r="H3021">
            <v>5032377</v>
          </cell>
          <cell r="AK3021" t="str">
            <v>Alan Chiang</v>
          </cell>
        </row>
        <row r="3022">
          <cell r="C3022" t="str">
            <v>Regions-Train Aud Staff Aug</v>
          </cell>
          <cell r="H3022">
            <v>5032266</v>
          </cell>
          <cell r="AK3022" t="str">
            <v>Louvera Walden</v>
          </cell>
        </row>
        <row r="3023">
          <cell r="C3023" t="str">
            <v>CNB_IT Risk &amp; Data</v>
          </cell>
          <cell r="H3023">
            <v>5032274</v>
          </cell>
          <cell r="AK3023" t="str">
            <v>Betsy Cherian</v>
          </cell>
        </row>
        <row r="3024">
          <cell r="C3024" t="str">
            <v>Huddle</v>
          </cell>
          <cell r="H3024">
            <v>5032300</v>
          </cell>
          <cell r="AK3024" t="str">
            <v>Lonnie Ingram</v>
          </cell>
        </row>
        <row r="3025">
          <cell r="C3025" t="str">
            <v>Alma Bank-Gap Analysis</v>
          </cell>
          <cell r="H3025">
            <v>5032237</v>
          </cell>
          <cell r="AK3025" t="str">
            <v>Benay Nachin</v>
          </cell>
        </row>
        <row r="3026">
          <cell r="C3026" t="str">
            <v>GS_BACM Sec Div Team Ext</v>
          </cell>
          <cell r="H3026">
            <v>5031833</v>
          </cell>
          <cell r="AK3026" t="str">
            <v>Robert Norris</v>
          </cell>
        </row>
        <row r="3027">
          <cell r="C3027" t="str">
            <v>Rayne State Bank &amp; Trust C_RAS</v>
          </cell>
          <cell r="H3027">
            <v>5039713</v>
          </cell>
          <cell r="AK3027" t="str">
            <v>Diane Banks</v>
          </cell>
        </row>
        <row r="3028">
          <cell r="C3028" t="str">
            <v>Amerant Bank_RAS</v>
          </cell>
          <cell r="H3028">
            <v>5039685</v>
          </cell>
          <cell r="AK3028" t="str">
            <v>Diane Banks</v>
          </cell>
        </row>
        <row r="3029">
          <cell r="C3029" t="str">
            <v>ConnectOne Bank_RAS</v>
          </cell>
          <cell r="H3029">
            <v>5039618</v>
          </cell>
          <cell r="AK3029" t="str">
            <v>Diane Banks</v>
          </cell>
        </row>
        <row r="3030">
          <cell r="C3030" t="str">
            <v>Citizens First National Ba_RAS</v>
          </cell>
          <cell r="H3030">
            <v>5039610</v>
          </cell>
          <cell r="AK3030" t="str">
            <v>Diane Banks</v>
          </cell>
        </row>
        <row r="3031">
          <cell r="C3031" t="str">
            <v>ALIC_Digital Phase 2 - Amd 2</v>
          </cell>
          <cell r="H3031">
            <v>5028847</v>
          </cell>
          <cell r="AK3031" t="str">
            <v>Matthew Berkowitz</v>
          </cell>
        </row>
        <row r="3032">
          <cell r="C3032" t="str">
            <v>FrMc_CRT Tech PMO</v>
          </cell>
          <cell r="H3032">
            <v>5032301</v>
          </cell>
          <cell r="AK3032" t="str">
            <v>Bharath Chikkamaranahalli Bhaskar</v>
          </cell>
        </row>
        <row r="3033">
          <cell r="C3033" t="str">
            <v>First Bank-CMSO</v>
          </cell>
          <cell r="H3033">
            <v>5032375</v>
          </cell>
          <cell r="AK3033" t="str">
            <v>Gail Rassler</v>
          </cell>
        </row>
        <row r="3034">
          <cell r="C3034" t="str">
            <v>ForestHills-BSAAML Audit</v>
          </cell>
          <cell r="H3034">
            <v>5029788</v>
          </cell>
          <cell r="AK3034" t="str">
            <v>DELETED USER</v>
          </cell>
        </row>
        <row r="3035">
          <cell r="C3035" t="str">
            <v>MS_FID IT Comms Extensions</v>
          </cell>
          <cell r="H3035">
            <v>5028298</v>
          </cell>
          <cell r="AK3035" t="str">
            <v>Mitali Drews</v>
          </cell>
        </row>
        <row r="3036">
          <cell r="C3036" t="str">
            <v>CalhounBank-Training</v>
          </cell>
          <cell r="H3036">
            <v>5032175</v>
          </cell>
          <cell r="AK3036" t="str">
            <v>Steve Manitzas</v>
          </cell>
        </row>
        <row r="3037">
          <cell r="C3037" t="str">
            <v>INHP-Project Cost Consult</v>
          </cell>
          <cell r="H3037">
            <v>5032374</v>
          </cell>
          <cell r="AK3037" t="str">
            <v>Paul Brinker</v>
          </cell>
        </row>
        <row r="3038">
          <cell r="C3038" t="str">
            <v>Boston Comm-Res Ln File Rev</v>
          </cell>
          <cell r="H3038">
            <v>5032248</v>
          </cell>
          <cell r="AK3038" t="str">
            <v>Juan Pimentel</v>
          </cell>
        </row>
        <row r="3039">
          <cell r="C3039" t="str">
            <v>FrMc_Master Integrator 2018</v>
          </cell>
          <cell r="H3039">
            <v>5032153</v>
          </cell>
          <cell r="AK3039" t="str">
            <v>John Napolitano</v>
          </cell>
        </row>
        <row r="3040">
          <cell r="C3040" t="str">
            <v>MS_DOL Enhanced Supervision</v>
          </cell>
          <cell r="H3040">
            <v>5032349</v>
          </cell>
          <cell r="AK3040" t="str">
            <v>Jacq Lilley</v>
          </cell>
        </row>
        <row r="3041">
          <cell r="C3041" t="str">
            <v>WestAmerica-Data Schema Dev</v>
          </cell>
          <cell r="H3041">
            <v>5032603</v>
          </cell>
          <cell r="AK3041" t="str">
            <v>Allan Cuttle</v>
          </cell>
        </row>
        <row r="3042">
          <cell r="C3042" t="str">
            <v>HarfordBank-CRA Perf Eval</v>
          </cell>
          <cell r="H3042">
            <v>5029535</v>
          </cell>
          <cell r="AK3042" t="str">
            <v>W. Annette Dredden</v>
          </cell>
        </row>
        <row r="3043">
          <cell r="C3043" t="str">
            <v>HarfordBank-18 Loan Serv Revw</v>
          </cell>
          <cell r="H3043">
            <v>5029991</v>
          </cell>
          <cell r="AK3043" t="str">
            <v>W. Annette Dredden</v>
          </cell>
        </row>
        <row r="3044">
          <cell r="C3044" t="str">
            <v>Illinois NB-Fraud RA</v>
          </cell>
          <cell r="H3044">
            <v>5032448</v>
          </cell>
          <cell r="AK3044" t="str">
            <v>Mary Louise Radley</v>
          </cell>
        </row>
        <row r="3045">
          <cell r="C3045" t="str">
            <v>Viewpost-BSA Ind Test</v>
          </cell>
          <cell r="H3045">
            <v>5032489</v>
          </cell>
          <cell r="AK3045" t="str">
            <v>Charles Mcwilliam</v>
          </cell>
        </row>
        <row r="3046">
          <cell r="C3046" t="str">
            <v>Plus-Credit Risk Consulting</v>
          </cell>
          <cell r="H3046">
            <v>5032421</v>
          </cell>
          <cell r="AK3046" t="str">
            <v>Patti Harrison</v>
          </cell>
        </row>
        <row r="3047">
          <cell r="C3047" t="str">
            <v>RBCUS_Trident 2 Bridge</v>
          </cell>
          <cell r="H3047">
            <v>5032828</v>
          </cell>
          <cell r="AK3047" t="str">
            <v>Michael Martinen</v>
          </cell>
        </row>
        <row r="3048">
          <cell r="C3048" t="str">
            <v>Premium Membership</v>
          </cell>
          <cell r="H3048">
            <v>5032305</v>
          </cell>
          <cell r="AK3048" t="str">
            <v>Cristina Arechaga</v>
          </cell>
        </row>
        <row r="3049">
          <cell r="C3049" t="str">
            <v>HarfordBank-2018 LoanFile Revw</v>
          </cell>
          <cell r="H3049">
            <v>5029834</v>
          </cell>
          <cell r="AK3049" t="str">
            <v>W. Annette Dredden</v>
          </cell>
        </row>
        <row r="3050">
          <cell r="C3050" t="str">
            <v>STC Capital-Loan Review</v>
          </cell>
          <cell r="H3050">
            <v>5032588</v>
          </cell>
          <cell r="AK3050" t="str">
            <v>DELETED USER</v>
          </cell>
        </row>
        <row r="3051">
          <cell r="C3051" t="str">
            <v>Palmetto Heritage Bank_RAS</v>
          </cell>
          <cell r="H3051">
            <v>5039698</v>
          </cell>
          <cell r="AK3051" t="str">
            <v>Travis Peraza</v>
          </cell>
        </row>
        <row r="3052">
          <cell r="C3052" t="str">
            <v>InvestTrust-Internal Audits</v>
          </cell>
          <cell r="H3052">
            <v>5032353</v>
          </cell>
          <cell r="AK3052" t="str">
            <v>Mary Louise Radley</v>
          </cell>
        </row>
        <row r="3053">
          <cell r="C3053" t="str">
            <v>Grand Bank-CMSO</v>
          </cell>
          <cell r="H3053">
            <v>5032304</v>
          </cell>
          <cell r="AK3053" t="str">
            <v>Gail Rassler</v>
          </cell>
        </row>
        <row r="3054">
          <cell r="C3054" t="str">
            <v>RBCUS_Qlik Upgrade</v>
          </cell>
          <cell r="H3054">
            <v>5032364</v>
          </cell>
          <cell r="AK3054" t="str">
            <v>James St. Jean</v>
          </cell>
        </row>
        <row r="3055">
          <cell r="C3055" t="str">
            <v>InsuranceAuto-OFAC Consulting</v>
          </cell>
          <cell r="H3055">
            <v>5032449</v>
          </cell>
          <cell r="AK3055" t="str">
            <v>Mary Louise Radley</v>
          </cell>
        </row>
        <row r="3056">
          <cell r="C3056" t="str">
            <v>FrMc_CSP Main AMD 1</v>
          </cell>
          <cell r="H3056">
            <v>5031933</v>
          </cell>
          <cell r="AK3056" t="str">
            <v>Thomas Wilson</v>
          </cell>
        </row>
        <row r="3057">
          <cell r="C3057" t="str">
            <v>Citi_MQA New</v>
          </cell>
          <cell r="H3057">
            <v>5032373</v>
          </cell>
          <cell r="AK3057" t="str">
            <v>Robert Norris</v>
          </cell>
        </row>
        <row r="3058">
          <cell r="C3058" t="str">
            <v>Bay Bank-HMDA Scrub</v>
          </cell>
          <cell r="H3058">
            <v>5032395</v>
          </cell>
          <cell r="AK3058" t="str">
            <v>Gail Rassler</v>
          </cell>
        </row>
        <row r="3059">
          <cell r="C3059" t="str">
            <v>RMSC</v>
          </cell>
          <cell r="H3059">
            <v>5031981</v>
          </cell>
          <cell r="AK3059" t="str">
            <v>Ginger Dahlin</v>
          </cell>
        </row>
        <row r="3060">
          <cell r="C3060" t="str">
            <v>Strategy &amp; Advisory E&amp;A</v>
          </cell>
          <cell r="H3060">
            <v>5028614</v>
          </cell>
          <cell r="AK3060" t="str">
            <v>Jennifer Hsiung</v>
          </cell>
        </row>
        <row r="3061">
          <cell r="C3061" t="str">
            <v>Wintrust-M7 Training-Audit</v>
          </cell>
          <cell r="H3061">
            <v>5034605</v>
          </cell>
          <cell r="AK3061" t="str">
            <v>Allan Cuttle</v>
          </cell>
        </row>
        <row r="3062">
          <cell r="C3062" t="str">
            <v>UBS_AM CDO Portfolio Mgt</v>
          </cell>
          <cell r="H3062">
            <v>5032626</v>
          </cell>
          <cell r="AK3062" t="str">
            <v>Matthew Faraone</v>
          </cell>
        </row>
        <row r="3063">
          <cell r="C3063" t="str">
            <v>MS_Ops Risk Scenario Analysis</v>
          </cell>
          <cell r="H3063">
            <v>5032386</v>
          </cell>
          <cell r="AK3063" t="str">
            <v>Dan Schutzman</v>
          </cell>
        </row>
        <row r="3064">
          <cell r="C3064" t="str">
            <v>Discover_Digital CoreAsses Ph1</v>
          </cell>
          <cell r="H3064">
            <v>5032407</v>
          </cell>
          <cell r="AK3064" t="str">
            <v>Daniela Hawkins</v>
          </cell>
        </row>
        <row r="3065">
          <cell r="C3065" t="str">
            <v>KB_Comm Org Pro Improve Amd 1</v>
          </cell>
          <cell r="H3065">
            <v>5031429</v>
          </cell>
          <cell r="AK3065" t="str">
            <v>Felix Urquia</v>
          </cell>
        </row>
        <row r="3066">
          <cell r="C3066" t="str">
            <v>UBS WMA DSP PM-BA Q2</v>
          </cell>
          <cell r="H3066">
            <v>5032493</v>
          </cell>
          <cell r="AK3066" t="str">
            <v>Matthew Faraone</v>
          </cell>
        </row>
        <row r="3067">
          <cell r="C3067" t="str">
            <v>CSS_PMO Leader &amp; Support Amd1</v>
          </cell>
          <cell r="H3067">
            <v>5029379</v>
          </cell>
          <cell r="AK3067" t="str">
            <v>John Hickman</v>
          </cell>
        </row>
        <row r="3068">
          <cell r="C3068" t="str">
            <v>CSS_Org Strategy Amd 1</v>
          </cell>
          <cell r="H3068">
            <v>5031257</v>
          </cell>
          <cell r="AK3068" t="str">
            <v>Isaac Halpern</v>
          </cell>
        </row>
        <row r="3069">
          <cell r="C3069" t="str">
            <v>Happy State-Mtg Subsidiarry RA</v>
          </cell>
          <cell r="H3069">
            <v>5032559</v>
          </cell>
          <cell r="AK3069" t="str">
            <v>Paula Witt</v>
          </cell>
        </row>
        <row r="3070">
          <cell r="C3070" t="str">
            <v>Ridgewood-CMSE w RAS - 18</v>
          </cell>
          <cell r="H3070">
            <v>5029747</v>
          </cell>
          <cell r="AK3070" t="str">
            <v>Mary Louise Radley</v>
          </cell>
        </row>
        <row r="3071">
          <cell r="C3071" t="str">
            <v>Happy State - CMS Consulting</v>
          </cell>
          <cell r="H3071">
            <v>5032556</v>
          </cell>
          <cell r="AK3071" t="str">
            <v>Randall Patton</v>
          </cell>
        </row>
        <row r="3072">
          <cell r="C3072" t="str">
            <v>RBCUS - SCCL/LEF UAT Program</v>
          </cell>
          <cell r="H3072">
            <v>5032560</v>
          </cell>
          <cell r="AK3072" t="str">
            <v>Frank Merla</v>
          </cell>
        </row>
        <row r="3073">
          <cell r="C3073" t="str">
            <v>Jeff_Compliance BA/PM Ext</v>
          </cell>
          <cell r="H3073">
            <v>5031373</v>
          </cell>
          <cell r="AK3073" t="str">
            <v>Chelsea Mattias</v>
          </cell>
        </row>
        <row r="3074">
          <cell r="C3074" t="str">
            <v>KB_REC_Roadmap Planning</v>
          </cell>
          <cell r="H3074">
            <v>5032518</v>
          </cell>
          <cell r="AK3074" t="str">
            <v>Felix Urquia</v>
          </cell>
        </row>
        <row r="3075">
          <cell r="C3075" t="str">
            <v>RBCUS_RiskID Expansion</v>
          </cell>
          <cell r="H3075">
            <v>5032528</v>
          </cell>
          <cell r="AK3075" t="str">
            <v>Kirby Pulver</v>
          </cell>
        </row>
        <row r="3076">
          <cell r="C3076" t="str">
            <v>Corner</v>
          </cell>
          <cell r="H3076">
            <v>5032501</v>
          </cell>
          <cell r="AK3076" t="str">
            <v>Lonnie Ingram</v>
          </cell>
        </row>
        <row r="3077">
          <cell r="C3077" t="str">
            <v>Artisans-Int Audit &amp; Compl</v>
          </cell>
          <cell r="H3077">
            <v>5032685</v>
          </cell>
          <cell r="AK3077" t="str">
            <v>Bonita Riccaboni</v>
          </cell>
        </row>
        <row r="3078">
          <cell r="C3078" t="str">
            <v>BarCap_CCAR Data Mngt. Mar Apr</v>
          </cell>
          <cell r="H3078">
            <v>5032495</v>
          </cell>
          <cell r="AK3078" t="str">
            <v>Aditya Udas</v>
          </cell>
        </row>
        <row r="3079">
          <cell r="C3079" t="str">
            <v>RBCUS - TPRM Extension</v>
          </cell>
          <cell r="H3079">
            <v>5032557</v>
          </cell>
          <cell r="AK3079" t="str">
            <v>Deepak Nersian</v>
          </cell>
        </row>
        <row r="3080">
          <cell r="C3080" t="str">
            <v>HSBC_Coml CC TOM Migration</v>
          </cell>
          <cell r="H3080">
            <v>5032562</v>
          </cell>
          <cell r="AK3080" t="str">
            <v>Robbie Roberts</v>
          </cell>
        </row>
        <row r="3081">
          <cell r="C3081" t="str">
            <v>Jefferies_Alpha Capture</v>
          </cell>
          <cell r="H3081">
            <v>5032423</v>
          </cell>
          <cell r="AK3081" t="str">
            <v>John McCaffrey</v>
          </cell>
        </row>
        <row r="3082">
          <cell r="C3082" t="str">
            <v>DB_Cyber Security Assessment</v>
          </cell>
          <cell r="H3082">
            <v>5032592</v>
          </cell>
          <cell r="AK3082" t="str">
            <v>Jayadevan Vijayakrishnan</v>
          </cell>
        </row>
        <row r="3083">
          <cell r="C3083" t="str">
            <v>Marshall-Info Sec RA</v>
          </cell>
          <cell r="H3083">
            <v>5031969</v>
          </cell>
          <cell r="AK3083" t="str">
            <v>Robert Farmer</v>
          </cell>
        </row>
        <row r="3084">
          <cell r="C3084" t="str">
            <v>ColoradoFSB-BUILT Software Rev</v>
          </cell>
          <cell r="H3084">
            <v>5032714</v>
          </cell>
          <cell r="AK3084" t="str">
            <v>David Lott</v>
          </cell>
        </row>
        <row r="3085">
          <cell r="C3085" t="str">
            <v>PeapackGlad-CMSO</v>
          </cell>
          <cell r="H3085">
            <v>5032755</v>
          </cell>
          <cell r="AK3085" t="str">
            <v>John Eshoo</v>
          </cell>
        </row>
        <row r="3086">
          <cell r="C3086" t="str">
            <v>Happy State-BSA Prog Rev</v>
          </cell>
          <cell r="H3086">
            <v>5032576</v>
          </cell>
          <cell r="AK3086" t="str">
            <v>Benay Nachin</v>
          </cell>
        </row>
        <row r="3087">
          <cell r="C3087" t="str">
            <v>M.Y. Safra-BSA Ind Test</v>
          </cell>
          <cell r="H3087">
            <v>5032282</v>
          </cell>
          <cell r="AK3087" t="str">
            <v>William Sachs</v>
          </cell>
        </row>
        <row r="3088">
          <cell r="C3088" t="str">
            <v>PatriotBank-RA Updates</v>
          </cell>
          <cell r="H3088">
            <v>5032728</v>
          </cell>
          <cell r="AK3088" t="str">
            <v>Mariana Dumanovsky</v>
          </cell>
        </row>
        <row r="3089">
          <cell r="C3089" t="str">
            <v>Goldman-TRID Disc Desk</v>
          </cell>
          <cell r="H3089">
            <v>5032378</v>
          </cell>
          <cell r="AK3089" t="str">
            <v>Christian Maier</v>
          </cell>
        </row>
        <row r="3090">
          <cell r="C3090" t="str">
            <v>BRAD_Brokerage DC IL MVP2 INT</v>
          </cell>
          <cell r="H3090">
            <v>5032666</v>
          </cell>
          <cell r="AK3090" t="str">
            <v>Eduardo Yamassaki</v>
          </cell>
        </row>
        <row r="3091">
          <cell r="C3091" t="str">
            <v>1stUnitedBT-BSA Ind Test</v>
          </cell>
          <cell r="H3091">
            <v>5032239</v>
          </cell>
          <cell r="AK3091" t="str">
            <v>Charles Mcwilliam</v>
          </cell>
        </row>
        <row r="3092">
          <cell r="C3092" t="str">
            <v>Goldman-Project Phoenix</v>
          </cell>
          <cell r="H3092">
            <v>5032591</v>
          </cell>
          <cell r="AK3092" t="str">
            <v>John Soffronoff</v>
          </cell>
        </row>
        <row r="3093">
          <cell r="C3093" t="str">
            <v>BeverlyCoop-CMSO</v>
          </cell>
          <cell r="H3093">
            <v>5033246</v>
          </cell>
          <cell r="AK3093" t="str">
            <v>Laura Steer</v>
          </cell>
        </row>
        <row r="3094">
          <cell r="C3094" t="str">
            <v>First North-HMDA Scrub 2016</v>
          </cell>
          <cell r="H3094">
            <v>5032589</v>
          </cell>
          <cell r="AK3094" t="str">
            <v>Gail Rassler</v>
          </cell>
        </row>
        <row r="3095">
          <cell r="C3095" t="str">
            <v>Seacoast-BSA Alert Clearing</v>
          </cell>
          <cell r="H3095">
            <v>5032662</v>
          </cell>
          <cell r="AK3095" t="str">
            <v>Ginger Dahlin</v>
          </cell>
        </row>
        <row r="3096">
          <cell r="C3096" t="str">
            <v>Centennial-ERM License Fee</v>
          </cell>
          <cell r="H3096">
            <v>5032979</v>
          </cell>
          <cell r="AK3096" t="str">
            <v>Tania Makuh</v>
          </cell>
        </row>
        <row r="3097">
          <cell r="C3097" t="str">
            <v>BankEastAsia-Compl Rev</v>
          </cell>
          <cell r="H3097">
            <v>5032408</v>
          </cell>
          <cell r="AK3097" t="str">
            <v>Mariana Dumanovsky</v>
          </cell>
        </row>
        <row r="3098">
          <cell r="C3098" t="str">
            <v>SanDiegoCCU-ERM License Fee</v>
          </cell>
          <cell r="H3098">
            <v>5032812</v>
          </cell>
          <cell r="AK3098" t="str">
            <v>Tania Makuh</v>
          </cell>
        </row>
        <row r="3099">
          <cell r="C3099" t="str">
            <v>MS_Advisory_Technology</v>
          </cell>
          <cell r="H3099">
            <v>5032478</v>
          </cell>
          <cell r="AK3099" t="str">
            <v>Ian Lightfoot</v>
          </cell>
        </row>
        <row r="3100">
          <cell r="C3100" t="str">
            <v>BancoBrasil-CMSO</v>
          </cell>
          <cell r="H3100">
            <v>5032934</v>
          </cell>
          <cell r="AK3100" t="str">
            <v>Louvera Walden</v>
          </cell>
        </row>
        <row r="3101">
          <cell r="C3101" t="str">
            <v>HarfordBank-18 Dep Compl Revw</v>
          </cell>
          <cell r="H3101">
            <v>5029990</v>
          </cell>
          <cell r="AK3101" t="str">
            <v>W. Annette Dredden</v>
          </cell>
        </row>
        <row r="3102">
          <cell r="C3102" t="str">
            <v>Marshall-Info Sec RA</v>
          </cell>
          <cell r="H3102">
            <v>5031969</v>
          </cell>
          <cell r="AK3102" t="str">
            <v>Robert Farmer</v>
          </cell>
        </row>
        <row r="3103">
          <cell r="C3103" t="str">
            <v>BancoBrasil-HMDA Review</v>
          </cell>
          <cell r="H3103">
            <v>5033096</v>
          </cell>
          <cell r="AK3103" t="str">
            <v>Cristina Arechaga</v>
          </cell>
        </row>
        <row r="3104">
          <cell r="C3104" t="str">
            <v>MS_Governance Q2 18' Ext</v>
          </cell>
          <cell r="H3104">
            <v>5029141</v>
          </cell>
          <cell r="AK3104" t="str">
            <v>Thea Smith</v>
          </cell>
        </row>
        <row r="3105">
          <cell r="C3105" t="str">
            <v>Jeff_Eq Com Remediation Amd 1</v>
          </cell>
          <cell r="H3105">
            <v>5031881</v>
          </cell>
          <cell r="AK3105" t="str">
            <v>Chelsea Mattias</v>
          </cell>
        </row>
        <row r="3106">
          <cell r="C3106" t="str">
            <v>HSBC_FLEX 2018 extension Q2</v>
          </cell>
          <cell r="H3106">
            <v>5025305</v>
          </cell>
          <cell r="AK3106" t="str">
            <v>Rahul Govada</v>
          </cell>
        </row>
        <row r="3107">
          <cell r="C3107" t="str">
            <v>DB Wealth - IT Landscape Opt</v>
          </cell>
          <cell r="H3107">
            <v>5031640</v>
          </cell>
          <cell r="AK3107" t="str">
            <v>Matthew Faraone</v>
          </cell>
        </row>
        <row r="3108">
          <cell r="C3108" t="str">
            <v>Prudential_Digital Delivery</v>
          </cell>
          <cell r="H3108">
            <v>5032616</v>
          </cell>
          <cell r="AK3108" t="str">
            <v>Phil Kerkel</v>
          </cell>
        </row>
        <row r="3109">
          <cell r="C3109" t="str">
            <v>UB_Unsecured Lending Prog</v>
          </cell>
          <cell r="H3109">
            <v>5032648</v>
          </cell>
          <cell r="AK3109" t="str">
            <v>Justin Hayden</v>
          </cell>
        </row>
        <row r="3110">
          <cell r="C3110" t="str">
            <v>Jeff_CRM Program Mgmt Analyst</v>
          </cell>
          <cell r="H3110">
            <v>5032618</v>
          </cell>
          <cell r="AK3110" t="str">
            <v>Ripple Bhullar</v>
          </cell>
        </row>
        <row r="3111">
          <cell r="C3111" t="str">
            <v>UB_PRSA/RCM Support for PPF</v>
          </cell>
          <cell r="H3111">
            <v>5032641</v>
          </cell>
          <cell r="AK3111" t="str">
            <v>Adrian Ungureanu</v>
          </cell>
        </row>
        <row r="3112">
          <cell r="C3112" t="str">
            <v>Citizens WV-BSAAML</v>
          </cell>
          <cell r="H3112">
            <v>5030302</v>
          </cell>
          <cell r="AK3112" t="str">
            <v>DELETED USER</v>
          </cell>
        </row>
        <row r="3113">
          <cell r="C3113" t="str">
            <v>UB_CBT PSRA Support</v>
          </cell>
          <cell r="H3113">
            <v>5032668</v>
          </cell>
          <cell r="AK3113" t="str">
            <v>Adrian Ungureanu</v>
          </cell>
        </row>
        <row r="3114">
          <cell r="C3114" t="str">
            <v>Jefferies FlowMonitor 15c3</v>
          </cell>
          <cell r="H3114">
            <v>5032702</v>
          </cell>
          <cell r="AK3114" t="str">
            <v>Erik Gudowski</v>
          </cell>
        </row>
        <row r="3115">
          <cell r="C3115" t="str">
            <v>Woodsboro Bank Mortgage QC</v>
          </cell>
          <cell r="H3115">
            <v>5032600</v>
          </cell>
          <cell r="AK3115" t="str">
            <v>Cristina Arechaga</v>
          </cell>
        </row>
        <row r="3116">
          <cell r="C3116" t="str">
            <v>HB_Zelle Pymnt Engine Int Co</v>
          </cell>
          <cell r="H3116">
            <v>5032607</v>
          </cell>
          <cell r="AK3116" t="str">
            <v>Scott Jurgensen</v>
          </cell>
        </row>
        <row r="3117">
          <cell r="C3117" t="str">
            <v>Jeff_CRM Dgtlzn (II Campaign)</v>
          </cell>
          <cell r="H3117">
            <v>5032683</v>
          </cell>
          <cell r="AK3117" t="str">
            <v>Ripple Bhullar</v>
          </cell>
        </row>
        <row r="3118">
          <cell r="C3118" t="str">
            <v>UBS_WMA Credit Cards</v>
          </cell>
          <cell r="H3118">
            <v>5032615</v>
          </cell>
          <cell r="AK3118" t="str">
            <v>Matthew Faraone</v>
          </cell>
        </row>
        <row r="3119">
          <cell r="C3119" t="str">
            <v>Jeff_CRM Analytics PM</v>
          </cell>
          <cell r="H3119">
            <v>5032680</v>
          </cell>
          <cell r="AK3119" t="str">
            <v>Ripple Bhullar</v>
          </cell>
        </row>
        <row r="3120">
          <cell r="C3120" t="str">
            <v>DB Reg Remediation 2018_Ext</v>
          </cell>
          <cell r="H3120">
            <v>5031793</v>
          </cell>
          <cell r="AK3120" t="str">
            <v>Carl Repoli</v>
          </cell>
        </row>
        <row r="3121">
          <cell r="C3121" t="str">
            <v>Jeff_CRM/Analytics Prog. Mgmt</v>
          </cell>
          <cell r="H3121">
            <v>5032049</v>
          </cell>
          <cell r="AK3121" t="str">
            <v>Ripple Bhullar</v>
          </cell>
        </row>
        <row r="3122">
          <cell r="C3122" t="str">
            <v>UB_CBT RCM Support</v>
          </cell>
          <cell r="H3122">
            <v>5032857</v>
          </cell>
          <cell r="AK3122" t="str">
            <v>Adrian Ungureanu</v>
          </cell>
        </row>
        <row r="3123">
          <cell r="C3123" t="str">
            <v>FrMc_SF BPR Extension 2</v>
          </cell>
          <cell r="H3123">
            <v>5028527</v>
          </cell>
          <cell r="AK3123" t="str">
            <v>Christopher Martines</v>
          </cell>
        </row>
        <row r="3124">
          <cell r="C3124" t="str">
            <v>Brad_NB April Delivery (INT)</v>
          </cell>
          <cell r="H3124">
            <v>5032650</v>
          </cell>
          <cell r="AK3124" t="str">
            <v>DELETED USER</v>
          </cell>
        </row>
        <row r="3125">
          <cell r="C3125" t="str">
            <v>Jeff_Murex Equity BA Amd 1</v>
          </cell>
          <cell r="H3125">
            <v>5029073</v>
          </cell>
          <cell r="AK3125" t="str">
            <v>Chelsea Mattias</v>
          </cell>
        </row>
        <row r="3126">
          <cell r="C3126" t="str">
            <v>GS_BACM Tax Team Amd 1</v>
          </cell>
          <cell r="H3126">
            <v>5031565</v>
          </cell>
          <cell r="AK3126" t="str">
            <v>Chintan Chokshi</v>
          </cell>
        </row>
        <row r="3127">
          <cell r="C3127" t="str">
            <v>Cybersecurity</v>
          </cell>
          <cell r="H3127">
            <v>5032148</v>
          </cell>
          <cell r="AK3127" t="str">
            <v>Kevin McCarty</v>
          </cell>
        </row>
        <row r="3128">
          <cell r="C3128" t="str">
            <v>ICB China - CMS Assist</v>
          </cell>
          <cell r="H3128">
            <v>5033267</v>
          </cell>
          <cell r="AK3128" t="str">
            <v>David Belfer</v>
          </cell>
        </row>
        <row r="3129">
          <cell r="C3129" t="str">
            <v>MS_DATA FINCEN CDD COMPLIANCE</v>
          </cell>
          <cell r="H3129">
            <v>5032671</v>
          </cell>
          <cell r="AK3129" t="str">
            <v>Eric Parrasch</v>
          </cell>
        </row>
        <row r="3130">
          <cell r="C3130" t="str">
            <v>Frankin -Training</v>
          </cell>
          <cell r="H3130">
            <v>5032677</v>
          </cell>
          <cell r="AK3130" t="str">
            <v>Lorraine Williams</v>
          </cell>
        </row>
        <row r="3131">
          <cell r="C3131" t="str">
            <v>First Bank-CRA Evaluation</v>
          </cell>
          <cell r="H3131">
            <v>5032609</v>
          </cell>
          <cell r="AK3131" t="str">
            <v>Paula Witt</v>
          </cell>
        </row>
        <row r="3132">
          <cell r="C3132" t="str">
            <v>FrMc_Treasury Info Risk</v>
          </cell>
          <cell r="H3132">
            <v>5032790</v>
          </cell>
          <cell r="AK3132" t="str">
            <v>Karl Augenstein</v>
          </cell>
        </row>
        <row r="3133">
          <cell r="C3133" t="str">
            <v>PNC_Retail Assets Pro Support</v>
          </cell>
          <cell r="H3133">
            <v>5032713</v>
          </cell>
          <cell r="AK3133" t="str">
            <v>Michael Crumpler</v>
          </cell>
        </row>
        <row r="3134">
          <cell r="C3134" t="str">
            <v>Glaucus2</v>
          </cell>
          <cell r="H3134">
            <v>5032699</v>
          </cell>
          <cell r="AK3134" t="str">
            <v>Lonnie Ingram</v>
          </cell>
        </row>
        <row r="3135">
          <cell r="C3135" t="str">
            <v>LM_European Strategy Bridge</v>
          </cell>
          <cell r="H3135">
            <v>5032739</v>
          </cell>
          <cell r="AK3135" t="str">
            <v>Louise Main</v>
          </cell>
        </row>
        <row r="3136">
          <cell r="C3136" t="str">
            <v>Wintrust-M7 Training-Compl</v>
          </cell>
          <cell r="H3136">
            <v>5034608</v>
          </cell>
          <cell r="AK3136" t="str">
            <v>Allan Cuttle</v>
          </cell>
        </row>
        <row r="3137">
          <cell r="C3137" t="str">
            <v>DB_AFC Reporting Support</v>
          </cell>
          <cell r="H3137">
            <v>5032754</v>
          </cell>
          <cell r="AK3137" t="str">
            <v>Carl Repoli</v>
          </cell>
        </row>
        <row r="3138">
          <cell r="C3138" t="str">
            <v>BOK_Paperless Office Strategy</v>
          </cell>
          <cell r="H3138">
            <v>5032743</v>
          </cell>
          <cell r="AK3138" t="str">
            <v>Jeffrey Bordan</v>
          </cell>
        </row>
        <row r="3139">
          <cell r="C3139" t="str">
            <v>Citi_Data Agg.&amp;Goverance</v>
          </cell>
          <cell r="H3139">
            <v>5032649</v>
          </cell>
          <cell r="AK3139" t="str">
            <v>Robert Norris</v>
          </cell>
        </row>
        <row r="3140">
          <cell r="C3140" t="str">
            <v>Wealth Alt Investments Ops RTB</v>
          </cell>
          <cell r="H3140">
            <v>5027949</v>
          </cell>
          <cell r="AK3140" t="str">
            <v>Mary Huang</v>
          </cell>
        </row>
        <row r="3141">
          <cell r="C3141" t="str">
            <v>CSS_PMO Leader&amp;Support Amd2</v>
          </cell>
          <cell r="H3141">
            <v>5029379</v>
          </cell>
          <cell r="AK3141" t="str">
            <v>John Hickman</v>
          </cell>
        </row>
        <row r="3142">
          <cell r="C3142" t="str">
            <v>Shoko-Compl Prog Rev</v>
          </cell>
          <cell r="H3142">
            <v>5032729</v>
          </cell>
          <cell r="AK3142" t="str">
            <v>John Eshoo</v>
          </cell>
        </row>
        <row r="3143">
          <cell r="C3143" t="str">
            <v>Watertown-Website Test</v>
          </cell>
          <cell r="H3143">
            <v>5032808</v>
          </cell>
          <cell r="AK3143" t="str">
            <v>Jamar Green</v>
          </cell>
        </row>
        <row r="3144">
          <cell r="C3144" t="str">
            <v>MS_FID Strats CO Ext</v>
          </cell>
          <cell r="H3144">
            <v>5029521</v>
          </cell>
          <cell r="AK3144" t="str">
            <v>Frank Merla</v>
          </cell>
        </row>
        <row r="3145">
          <cell r="C3145" t="str">
            <v>WA Federal-Int BSA Officer</v>
          </cell>
          <cell r="H3145">
            <v>5033138</v>
          </cell>
          <cell r="AK3145" t="str">
            <v>Charles Lynn Piper</v>
          </cell>
        </row>
        <row r="3146">
          <cell r="C3146" t="str">
            <v>GS_Bank Deposits Platform</v>
          </cell>
          <cell r="H3146">
            <v>5032821</v>
          </cell>
          <cell r="AK3146" t="str">
            <v>Satheeshan Siva</v>
          </cell>
        </row>
        <row r="3147">
          <cell r="C3147" t="str">
            <v>BMO Harris_FDIC Remediate Ph2</v>
          </cell>
          <cell r="H3147">
            <v>5032805</v>
          </cell>
          <cell r="AK3147" t="str">
            <v>George Simotas</v>
          </cell>
        </row>
        <row r="3148">
          <cell r="C3148" t="str">
            <v>5th3rd_UX FRM Portals Lead</v>
          </cell>
          <cell r="H3148">
            <v>5033139</v>
          </cell>
          <cell r="AK3148" t="str">
            <v>Tulsi Mehta</v>
          </cell>
        </row>
        <row r="3149">
          <cell r="C3149" t="str">
            <v>Regions-BSA Audit Prog Consul</v>
          </cell>
          <cell r="H3149">
            <v>5032855</v>
          </cell>
          <cell r="AK3149" t="str">
            <v>Mary Louise Radley</v>
          </cell>
        </row>
        <row r="3150">
          <cell r="C3150" t="str">
            <v>RBCUS - Qlik Upgrade Amd 1</v>
          </cell>
          <cell r="H3150">
            <v>5032364</v>
          </cell>
          <cell r="AK3150" t="str">
            <v>James St. Jean</v>
          </cell>
        </row>
        <row r="3151">
          <cell r="C3151" t="str">
            <v>PeapackGlad-BSA Compl Consult</v>
          </cell>
          <cell r="H3151">
            <v>5032852</v>
          </cell>
          <cell r="AK3151" t="str">
            <v>Nancy Gregory</v>
          </cell>
        </row>
        <row r="3152">
          <cell r="C3152" t="str">
            <v>HomeDepot-Training</v>
          </cell>
          <cell r="H3152">
            <v>5032964</v>
          </cell>
          <cell r="AK3152" t="str">
            <v>Rebecca Breland</v>
          </cell>
        </row>
        <row r="3153">
          <cell r="C3153" t="str">
            <v>MS_Unify Training Videos</v>
          </cell>
          <cell r="H3153">
            <v>5032972</v>
          </cell>
          <cell r="AK3153" t="str">
            <v>Erik Gudowski</v>
          </cell>
        </row>
        <row r="3154">
          <cell r="C3154" t="str">
            <v>CSS_ePMO Phase 3</v>
          </cell>
          <cell r="H3154">
            <v>5032868</v>
          </cell>
          <cell r="AK3154" t="str">
            <v>Katie Hermann</v>
          </cell>
        </row>
        <row r="3155">
          <cell r="C3155" t="str">
            <v>ValleyNat-ERM License</v>
          </cell>
          <cell r="H3155">
            <v>5033921</v>
          </cell>
          <cell r="AK3155" t="str">
            <v>Tania Makuh</v>
          </cell>
        </row>
        <row r="3156">
          <cell r="C3156" t="str">
            <v>Jeff_Equity Swaps Future State</v>
          </cell>
          <cell r="H3156">
            <v>5029073</v>
          </cell>
          <cell r="AK3156" t="str">
            <v>Chelsea Mattias</v>
          </cell>
        </row>
        <row r="3157">
          <cell r="C3157" t="str">
            <v>BerkshireMA-ERM License</v>
          </cell>
          <cell r="H3157">
            <v>5033920</v>
          </cell>
          <cell r="AK3157" t="str">
            <v>Tania Makuh</v>
          </cell>
        </row>
        <row r="3158">
          <cell r="C3158" t="str">
            <v>CSS_ePMO Phase 3</v>
          </cell>
          <cell r="H3158">
            <v>5032868</v>
          </cell>
          <cell r="AK3158" t="str">
            <v>Katie Hermann</v>
          </cell>
        </row>
        <row r="3159">
          <cell r="C3159" t="str">
            <v>AmLeadingFin-ERM License</v>
          </cell>
          <cell r="H3159">
            <v>5033922</v>
          </cell>
          <cell r="AK3159" t="str">
            <v>Tania Makuh</v>
          </cell>
        </row>
        <row r="3160">
          <cell r="C3160" t="str">
            <v>BMO_Spotfire Ph7</v>
          </cell>
          <cell r="H3160">
            <v>5028321</v>
          </cell>
          <cell r="AK3160" t="str">
            <v>Matthias Daus</v>
          </cell>
        </row>
        <row r="3161">
          <cell r="C3161" t="str">
            <v>MS_Business Lines Risk</v>
          </cell>
          <cell r="H3161">
            <v>5029141</v>
          </cell>
          <cell r="AK3161" t="str">
            <v>Thea Smith</v>
          </cell>
        </row>
        <row r="3162">
          <cell r="C3162" t="str">
            <v>Seattle CU-Compl Monit</v>
          </cell>
          <cell r="H3162">
            <v>5033081</v>
          </cell>
          <cell r="AK3162" t="str">
            <v>Jason Spelliscy</v>
          </cell>
        </row>
        <row r="3163">
          <cell r="C3163" t="str">
            <v>NatCap WA-CMSO</v>
          </cell>
          <cell r="H3163">
            <v>5032856</v>
          </cell>
          <cell r="AK3163" t="str">
            <v>Steve Manitzas</v>
          </cell>
        </row>
        <row r="3164">
          <cell r="C3164" t="str">
            <v>BarCap_CCAR Data Mgmt May</v>
          </cell>
          <cell r="H3164">
            <v>5032853</v>
          </cell>
          <cell r="AK3164" t="str">
            <v>Aditya Udas</v>
          </cell>
        </row>
        <row r="3165">
          <cell r="C3165" t="str">
            <v>ArthurState-Consulting</v>
          </cell>
          <cell r="H3165">
            <v>5031847</v>
          </cell>
          <cell r="AK3165" t="str">
            <v>Amanda Pickering</v>
          </cell>
        </row>
        <row r="3166">
          <cell r="C3166" t="str">
            <v>BRAD_NB May Delivery (INT)</v>
          </cell>
          <cell r="H3166">
            <v>5032866</v>
          </cell>
          <cell r="AK3166" t="str">
            <v>DELETED USER</v>
          </cell>
        </row>
        <row r="3167">
          <cell r="C3167" t="str">
            <v>South Shore-Consulting</v>
          </cell>
          <cell r="H3167">
            <v>5033033</v>
          </cell>
          <cell r="AK3167" t="str">
            <v>Laura Steer</v>
          </cell>
        </row>
        <row r="3168">
          <cell r="C3168" t="str">
            <v>Summit-IT &amp; Risk Assmnts</v>
          </cell>
          <cell r="H3168">
            <v>5032420</v>
          </cell>
          <cell r="AK3168" t="str">
            <v>Kristina Slattery</v>
          </cell>
        </row>
        <row r="3169">
          <cell r="C3169" t="str">
            <v>City Ntl FL-Alert Clearing</v>
          </cell>
          <cell r="H3169">
            <v>5032865</v>
          </cell>
          <cell r="AK3169" t="str">
            <v>Ginger Dahlin</v>
          </cell>
        </row>
        <row r="3170">
          <cell r="C3170" t="str">
            <v>RAS-Align Credit Union</v>
          </cell>
          <cell r="H3170">
            <v>5032829</v>
          </cell>
          <cell r="AK3170" t="str">
            <v>Cristina Arechaga</v>
          </cell>
        </row>
        <row r="3171">
          <cell r="C3171" t="str">
            <v>WF_OPS PME Derivs UAT Amd 1</v>
          </cell>
          <cell r="H3171">
            <v>5030081</v>
          </cell>
          <cell r="AK3171" t="str">
            <v>Edward Kelley</v>
          </cell>
        </row>
        <row r="3172">
          <cell r="C3172" t="str">
            <v>LM_Strategy Bridge Ext</v>
          </cell>
          <cell r="H3172">
            <v>5032739</v>
          </cell>
          <cell r="AK3172" t="str">
            <v>Louise Main</v>
          </cell>
        </row>
        <row r="3173">
          <cell r="C3173" t="str">
            <v>CambridgeSB-BSA Ind Test</v>
          </cell>
          <cell r="H3173">
            <v>5032830</v>
          </cell>
          <cell r="AK3173" t="str">
            <v>Benay Nachin</v>
          </cell>
        </row>
        <row r="3174">
          <cell r="C3174" t="str">
            <v>Assoc Banc-KYC Consulting</v>
          </cell>
          <cell r="H3174">
            <v>5032931</v>
          </cell>
          <cell r="AK3174" t="str">
            <v>Mary Louise Radley</v>
          </cell>
        </row>
        <row r="3175">
          <cell r="C3175" t="str">
            <v>Civitas Growth Strategy</v>
          </cell>
          <cell r="H3175">
            <v>5032851</v>
          </cell>
          <cell r="AK3175" t="str">
            <v>David Vasecka</v>
          </cell>
        </row>
        <row r="3176">
          <cell r="C3176" t="str">
            <v>Happy State-HMDA TRID Rev</v>
          </cell>
          <cell r="H3176">
            <v>5032957</v>
          </cell>
          <cell r="AK3176" t="str">
            <v>Susan Stevenson</v>
          </cell>
        </row>
        <row r="3177">
          <cell r="C3177" t="str">
            <v>CSS_Org. Strategy Phase 2</v>
          </cell>
          <cell r="H3177">
            <v>5032919</v>
          </cell>
          <cell r="AK3177" t="str">
            <v>Katie Hermann</v>
          </cell>
        </row>
        <row r="3178">
          <cell r="C3178" t="str">
            <v>UBS_Unicorn Advisor Prototype</v>
          </cell>
          <cell r="H3178">
            <v>5032918</v>
          </cell>
          <cell r="AK3178" t="str">
            <v>Michael Zambon</v>
          </cell>
        </row>
        <row r="3179">
          <cell r="C3179" t="str">
            <v>FrMc_CSP Main AMD 2</v>
          </cell>
          <cell r="H3179">
            <v>5031933</v>
          </cell>
          <cell r="AK3179" t="str">
            <v>Thomas Wilson</v>
          </cell>
        </row>
        <row r="3180">
          <cell r="C3180" t="str">
            <v>First North-HMDA Scrub 2017</v>
          </cell>
          <cell r="H3180">
            <v>5032932</v>
          </cell>
          <cell r="AK3180" t="str">
            <v>Gail Rassler</v>
          </cell>
        </row>
        <row r="3181">
          <cell r="C3181" t="str">
            <v>Citi_PrivateBankPMO</v>
          </cell>
          <cell r="H3181">
            <v>5033030</v>
          </cell>
          <cell r="AK3181" t="str">
            <v>Robert Norris</v>
          </cell>
        </row>
        <row r="3182">
          <cell r="C3182" t="str">
            <v>BMO Harris_Data Gov FDIC Amd1</v>
          </cell>
          <cell r="H3182">
            <v>5032205</v>
          </cell>
          <cell r="AK3182" t="str">
            <v>Kyle Marynowski</v>
          </cell>
        </row>
        <row r="3183">
          <cell r="C3183" t="str">
            <v>UB_ATM Software Upgrade Plan</v>
          </cell>
          <cell r="H3183">
            <v>5032878</v>
          </cell>
          <cell r="AK3183" t="str">
            <v>Scott Jurgensen</v>
          </cell>
        </row>
        <row r="3184">
          <cell r="C3184" t="str">
            <v>RBCUS_Trident 2 Bridge 2</v>
          </cell>
          <cell r="H3184">
            <v>5032828</v>
          </cell>
          <cell r="AK3184" t="str">
            <v>Michael Martinen</v>
          </cell>
        </row>
        <row r="3185">
          <cell r="C3185" t="str">
            <v>Shoko-BSA Ind Test</v>
          </cell>
          <cell r="H3185">
            <v>5032740</v>
          </cell>
          <cell r="AK3185" t="str">
            <v>James Demieri</v>
          </cell>
        </row>
        <row r="3186">
          <cell r="C3186" t="str">
            <v>UBS_DMO 2018 May-Aug Extension</v>
          </cell>
          <cell r="H3186">
            <v>5033032</v>
          </cell>
          <cell r="AK3186" t="str">
            <v>Daniel Holness</v>
          </cell>
        </row>
        <row r="3187">
          <cell r="C3187" t="str">
            <v>PeoplesBank-Prime Model Val</v>
          </cell>
          <cell r="H3187">
            <v>5032981</v>
          </cell>
          <cell r="AK3187" t="str">
            <v>DELETED USER</v>
          </cell>
        </row>
        <row r="3188">
          <cell r="C3188" t="str">
            <v>Next Bank Delivery May to June</v>
          </cell>
          <cell r="H3188">
            <v>5032866</v>
          </cell>
          <cell r="AK3188" t="str">
            <v>Owen Priestley</v>
          </cell>
        </row>
        <row r="3189">
          <cell r="C3189" t="str">
            <v>FM_HC Training Material Dev</v>
          </cell>
          <cell r="H3189">
            <v>5033019</v>
          </cell>
          <cell r="AK3189" t="str">
            <v>Sabrina Amjad</v>
          </cell>
        </row>
        <row r="3190">
          <cell r="C3190" t="str">
            <v>Deutsche-FL RA</v>
          </cell>
          <cell r="H3190">
            <v>5033137</v>
          </cell>
          <cell r="AK3190" t="str">
            <v>Paula Witt</v>
          </cell>
        </row>
        <row r="3191">
          <cell r="C3191" t="str">
            <v>Bancorp-HMDA Lookback</v>
          </cell>
          <cell r="H3191">
            <v>5033031</v>
          </cell>
          <cell r="AK3191" t="str">
            <v>Deborah Kent-Cochran</v>
          </cell>
        </row>
        <row r="3192">
          <cell r="C3192" t="str">
            <v>FrMc_BPR - EXT AMD 12</v>
          </cell>
          <cell r="H3192">
            <v>5032790</v>
          </cell>
          <cell r="AK3192" t="str">
            <v>Karl Augenstein</v>
          </cell>
        </row>
        <row r="3193">
          <cell r="C3193" t="str">
            <v>FrMc_BPR - Ext AMD 13</v>
          </cell>
          <cell r="H3193">
            <v>5032790</v>
          </cell>
          <cell r="AK3193" t="str">
            <v>Karl Augenstein</v>
          </cell>
        </row>
        <row r="3194">
          <cell r="C3194" t="str">
            <v>BarCap_Equity Risk Management</v>
          </cell>
          <cell r="H3194">
            <v>5030109</v>
          </cell>
          <cell r="AK3194" t="str">
            <v>Alberto Michelazzi</v>
          </cell>
        </row>
        <row r="3195">
          <cell r="C3195" t="str">
            <v>ColoradoFSB-IT Audits</v>
          </cell>
          <cell r="H3195">
            <v>5033582</v>
          </cell>
          <cell r="AK3195" t="str">
            <v>Robert Farmer</v>
          </cell>
        </row>
        <row r="3196">
          <cell r="C3196" t="str">
            <v>UBS_DSP Support</v>
          </cell>
          <cell r="H3196">
            <v>5033013</v>
          </cell>
          <cell r="AK3196" t="str">
            <v>Matthew Faraone</v>
          </cell>
        </row>
        <row r="3197">
          <cell r="C3197" t="str">
            <v>Harbor MD-TRID &amp; Cr Fee Lookbk</v>
          </cell>
          <cell r="H3197">
            <v>5033060</v>
          </cell>
          <cell r="AK3197" t="str">
            <v>W. Annette Dredden</v>
          </cell>
        </row>
        <row r="3198">
          <cell r="C3198" t="str">
            <v>BRAD_Brokerage_MVP 3 INT</v>
          </cell>
          <cell r="H3198">
            <v>5033108</v>
          </cell>
          <cell r="AK3198" t="str">
            <v>Owen Priestley</v>
          </cell>
        </row>
        <row r="3199">
          <cell r="C3199" t="str">
            <v>UBS_5Q3L Design</v>
          </cell>
          <cell r="H3199">
            <v>5033080</v>
          </cell>
          <cell r="AK3199" t="str">
            <v>Matthew Faraone</v>
          </cell>
        </row>
        <row r="3200">
          <cell r="C3200" t="str">
            <v>EmpireState-BSA Train Supp</v>
          </cell>
          <cell r="H3200">
            <v>5033168</v>
          </cell>
          <cell r="AK3200" t="str">
            <v>Benay Nachin</v>
          </cell>
        </row>
        <row r="3201">
          <cell r="C3201" t="str">
            <v>MS_Payments Governance Support</v>
          </cell>
          <cell r="H3201">
            <v>5031819</v>
          </cell>
          <cell r="AK3201" t="str">
            <v>Ruben Sooriya</v>
          </cell>
        </row>
        <row r="3202">
          <cell r="C3202" t="str">
            <v>DT Trading Ops Business Case</v>
          </cell>
          <cell r="H3202">
            <v>5031618</v>
          </cell>
          <cell r="AK3202" t="str">
            <v>Mitali Drews</v>
          </cell>
        </row>
        <row r="3203">
          <cell r="C3203" t="str">
            <v>FrMc_MF Data Program Lead</v>
          </cell>
          <cell r="H3203">
            <v>5033125</v>
          </cell>
          <cell r="AK3203" t="str">
            <v>Poorna Bhimavarapu</v>
          </cell>
        </row>
        <row r="3204">
          <cell r="C3204" t="str">
            <v>Jeff_Sybase Retirement PM</v>
          </cell>
          <cell r="H3204">
            <v>5033049</v>
          </cell>
          <cell r="AK3204" t="str">
            <v>Jeffrey Gheraldi</v>
          </cell>
        </row>
        <row r="3205">
          <cell r="C3205" t="str">
            <v>CitizensBB-ERM License</v>
          </cell>
          <cell r="H3205">
            <v>5033861</v>
          </cell>
          <cell r="AK3205" t="str">
            <v>Tania Makuh</v>
          </cell>
        </row>
        <row r="3206">
          <cell r="C3206" t="str">
            <v>Wintrust-ERM Consulting</v>
          </cell>
          <cell r="H3206">
            <v>5033421</v>
          </cell>
          <cell r="AK3206" t="str">
            <v>Allan Cuttle</v>
          </cell>
        </row>
        <row r="3207">
          <cell r="C3207" t="str">
            <v>BancoBrasil-Op Compl RA</v>
          </cell>
          <cell r="H3207">
            <v>5033206</v>
          </cell>
          <cell r="AK3207" t="str">
            <v>Louvera Walden</v>
          </cell>
        </row>
        <row r="3208">
          <cell r="C3208" t="str">
            <v>MS_Gladiator Amd 2</v>
          </cell>
          <cell r="H3208">
            <v>5027915</v>
          </cell>
          <cell r="AK3208" t="str">
            <v>Dan Schutzman</v>
          </cell>
        </row>
        <row r="3209">
          <cell r="C3209" t="str">
            <v>Boeing ECU-Regulatory Training</v>
          </cell>
          <cell r="H3209">
            <v>5033034</v>
          </cell>
          <cell r="AK3209" t="str">
            <v>Rebecca Breland</v>
          </cell>
        </row>
        <row r="3210">
          <cell r="C3210" t="str">
            <v>Wintrust-Compl Consulting</v>
          </cell>
          <cell r="H3210">
            <v>5033361</v>
          </cell>
          <cell r="AK3210" t="str">
            <v>Patti Harrison</v>
          </cell>
        </row>
        <row r="3211">
          <cell r="C3211" t="str">
            <v>Ironworkers-IT RA</v>
          </cell>
          <cell r="H3211">
            <v>5032194</v>
          </cell>
          <cell r="AK3211" t="str">
            <v>Robert Farmer</v>
          </cell>
        </row>
        <row r="3212">
          <cell r="C3212" t="str">
            <v>MainStreet-MSB Audit</v>
          </cell>
          <cell r="H3212">
            <v>5033117</v>
          </cell>
          <cell r="AK3212" t="str">
            <v>Mary Louise Radley</v>
          </cell>
        </row>
        <row r="3213">
          <cell r="C3213" t="str">
            <v>Jeff_IT PMO Extension</v>
          </cell>
          <cell r="H3213">
            <v>5033182</v>
          </cell>
          <cell r="AK3213" t="str">
            <v>Imran Parekh</v>
          </cell>
        </row>
        <row r="3214">
          <cell r="C3214" t="str">
            <v>SallieMae-Curr Consulting</v>
          </cell>
          <cell r="H3214">
            <v>5033048</v>
          </cell>
          <cell r="AK3214" t="str">
            <v>Rebecca Breland</v>
          </cell>
        </row>
        <row r="3215">
          <cell r="C3215" t="str">
            <v>SallieMae - Training</v>
          </cell>
          <cell r="H3215">
            <v>5033047</v>
          </cell>
          <cell r="AK3215" t="str">
            <v>Rebecca Breland</v>
          </cell>
        </row>
        <row r="3216">
          <cell r="C3216" t="str">
            <v>BOKF-Regulatory Training</v>
          </cell>
          <cell r="H3216">
            <v>5033035</v>
          </cell>
          <cell r="AK3216" t="str">
            <v>Rebecca Breland</v>
          </cell>
        </row>
        <row r="3217">
          <cell r="C3217" t="str">
            <v>Comenity-Regulatory Training</v>
          </cell>
          <cell r="H3217">
            <v>5033017</v>
          </cell>
          <cell r="AK3217" t="str">
            <v>Rebecca Breland</v>
          </cell>
        </row>
        <row r="3218">
          <cell r="C3218" t="str">
            <v>SanDiegoCCU-Reg Training</v>
          </cell>
          <cell r="H3218">
            <v>5033050</v>
          </cell>
          <cell r="AK3218" t="str">
            <v>Rebecca Breland</v>
          </cell>
        </row>
        <row r="3219">
          <cell r="C3219" t="str">
            <v>TotalBank-FLA &amp; File Rev</v>
          </cell>
          <cell r="H3219">
            <v>5031964</v>
          </cell>
          <cell r="AK3219" t="str">
            <v>Juan Pimentel</v>
          </cell>
        </row>
        <row r="3220">
          <cell r="C3220" t="str">
            <v>Jeff_Eq Compliance Remed Ext2</v>
          </cell>
          <cell r="H3220">
            <v>5031881</v>
          </cell>
          <cell r="AK3220" t="str">
            <v>Chelsea Mattias</v>
          </cell>
        </row>
        <row r="3221">
          <cell r="C3221" t="str">
            <v>MS_PBO CTB</v>
          </cell>
          <cell r="H3221">
            <v>5027949</v>
          </cell>
          <cell r="AK3221" t="str">
            <v>Mary Huang</v>
          </cell>
        </row>
        <row r="3222">
          <cell r="C3222" t="str">
            <v>Jeff_Murex Wave1B Day 2</v>
          </cell>
          <cell r="H3222">
            <v>5033185</v>
          </cell>
          <cell r="AK3222" t="str">
            <v>Chelsea Mattias</v>
          </cell>
        </row>
        <row r="3223">
          <cell r="C3223" t="str">
            <v>BMO_Spotfire Ph8</v>
          </cell>
          <cell r="H3223">
            <v>5028321</v>
          </cell>
          <cell r="AK3223" t="str">
            <v>Matthias Daus</v>
          </cell>
        </row>
        <row r="3224">
          <cell r="C3224" t="str">
            <v>Midwest CB-BSAAML</v>
          </cell>
          <cell r="H3224">
            <v>5031055</v>
          </cell>
          <cell r="AK3224" t="str">
            <v>Charles Mcwilliam</v>
          </cell>
        </row>
        <row r="3225">
          <cell r="C3225" t="str">
            <v>Happy State-CMS Enhan &amp; Consul</v>
          </cell>
          <cell r="H3225">
            <v>5033116</v>
          </cell>
          <cell r="AK3225" t="str">
            <v>Randall Patton</v>
          </cell>
        </row>
        <row r="3226">
          <cell r="C3226" t="str">
            <v>Jeff_FX Spectrum Upgrade</v>
          </cell>
          <cell r="H3226">
            <v>5033184</v>
          </cell>
          <cell r="AK3226" t="str">
            <v>Chelsea Mattias</v>
          </cell>
        </row>
        <row r="3227">
          <cell r="C3227" t="str">
            <v>NavyFCU-Metricstream Training</v>
          </cell>
          <cell r="H3227">
            <v>5033526</v>
          </cell>
          <cell r="AK3227" t="str">
            <v>Allan Cuttle</v>
          </cell>
        </row>
        <row r="3228">
          <cell r="C3228" t="str">
            <v>BarCap_CCAR Data Mgmt Jun July</v>
          </cell>
          <cell r="H3228">
            <v>5033124</v>
          </cell>
          <cell r="AK3228" t="str">
            <v>Aditya Udas</v>
          </cell>
        </row>
        <row r="3229">
          <cell r="C3229" t="str">
            <v>Prudential-Info Sec RA</v>
          </cell>
          <cell r="H3229">
            <v>5033196</v>
          </cell>
          <cell r="AK3229" t="str">
            <v>Robert Farmer</v>
          </cell>
        </row>
        <row r="3230">
          <cell r="C3230" t="str">
            <v>MS Payments Storyboard</v>
          </cell>
          <cell r="AK3230" t="str">
            <v>Ruben Sooriya</v>
          </cell>
        </row>
        <row r="3231">
          <cell r="C3231" t="str">
            <v>TaiwanBus-Cyber Secu Resil</v>
          </cell>
          <cell r="H3231">
            <v>5033244</v>
          </cell>
          <cell r="AK3231" t="str">
            <v>David Lott</v>
          </cell>
        </row>
        <row r="3232">
          <cell r="C3232" t="str">
            <v>M.Y. Safra-Int BSA Officer</v>
          </cell>
          <cell r="H3232">
            <v>5033248</v>
          </cell>
          <cell r="AK3232" t="str">
            <v>DELETED USER</v>
          </cell>
        </row>
        <row r="3233">
          <cell r="C3233" t="str">
            <v>HSBC_Comm Cr Card Conv Br</v>
          </cell>
          <cell r="H3233">
            <v>5032562</v>
          </cell>
          <cell r="AK3233" t="str">
            <v>Robbie Roberts</v>
          </cell>
        </row>
        <row r="3234">
          <cell r="C3234" t="str">
            <v>RBCUS_Ops Control</v>
          </cell>
          <cell r="H3234">
            <v>5033600</v>
          </cell>
          <cell r="AK3234" t="str">
            <v>Randall Sawyer</v>
          </cell>
        </row>
        <row r="3235">
          <cell r="C3235" t="str">
            <v>HB_OmniChannel Strat &amp; Roadmap</v>
          </cell>
          <cell r="H3235">
            <v>5033266</v>
          </cell>
          <cell r="AK3235" t="str">
            <v>Benjamin Nowikowski</v>
          </cell>
        </row>
        <row r="3236">
          <cell r="C3236" t="str">
            <v>Prudential_Digital Delivery I2</v>
          </cell>
          <cell r="H3236">
            <v>5033166</v>
          </cell>
          <cell r="AK3236" t="str">
            <v>Phil Kerkel</v>
          </cell>
        </row>
        <row r="3237">
          <cell r="C3237" t="str">
            <v>MS_Ops PBO Cash Mgmt UAT Team</v>
          </cell>
          <cell r="H3237">
            <v>5027949</v>
          </cell>
          <cell r="AK3237" t="str">
            <v>Mary Huang</v>
          </cell>
        </row>
        <row r="3238">
          <cell r="C3238" t="str">
            <v>FrMc_MF ODS Data Release 8</v>
          </cell>
          <cell r="H3238">
            <v>5033434</v>
          </cell>
          <cell r="AK3238" t="str">
            <v>Raj Konduru</v>
          </cell>
        </row>
        <row r="3239">
          <cell r="C3239" t="str">
            <v>Central TX-BSA Rules Tuning</v>
          </cell>
          <cell r="H3239">
            <v>5033683</v>
          </cell>
          <cell r="AK3239" t="str">
            <v>William Sachs</v>
          </cell>
        </row>
        <row r="3240">
          <cell r="C3240" t="str">
            <v>WA Federal-BSA RMSC</v>
          </cell>
          <cell r="H3240">
            <v>5033245</v>
          </cell>
          <cell r="AK3240" t="str">
            <v>Ginger Dahlin</v>
          </cell>
        </row>
        <row r="3241">
          <cell r="C3241" t="str">
            <v>WA Federal-BSA Staff Aug</v>
          </cell>
          <cell r="H3241">
            <v>5033310</v>
          </cell>
          <cell r="AK3241" t="str">
            <v>Charles Lynn Piper</v>
          </cell>
        </row>
        <row r="3242">
          <cell r="C3242" t="str">
            <v>Cross River-Staff Augmentation</v>
          </cell>
          <cell r="H3242">
            <v>5033555</v>
          </cell>
          <cell r="AK3242" t="str">
            <v>John Eshoo</v>
          </cell>
        </row>
        <row r="3243">
          <cell r="C3243" t="str">
            <v>FIS(VOB)-PolicyProced Review</v>
          </cell>
          <cell r="H3243">
            <v>5033268</v>
          </cell>
          <cell r="AK3243" t="str">
            <v>Paul Brinker</v>
          </cell>
        </row>
        <row r="3244">
          <cell r="C3244" t="str">
            <v>Rockland-Mtg File Rev</v>
          </cell>
          <cell r="H3244">
            <v>5032206</v>
          </cell>
          <cell r="AK3244" t="str">
            <v>Leigh Tribou</v>
          </cell>
        </row>
        <row r="3245">
          <cell r="C3245" t="str">
            <v>BMO Harris_Data Gov Biz Sup</v>
          </cell>
          <cell r="H3245">
            <v>5033307</v>
          </cell>
          <cell r="AK3245" t="str">
            <v>Kyle Marynowski</v>
          </cell>
        </row>
        <row r="3246">
          <cell r="C3246" t="str">
            <v>Shinkin-BSA Ind Test</v>
          </cell>
          <cell r="H3246">
            <v>5033217</v>
          </cell>
          <cell r="AK3246" t="str">
            <v>William Sachs</v>
          </cell>
        </row>
        <row r="3247">
          <cell r="C3247" t="str">
            <v>Citi_Divestiture YB 2018 H2</v>
          </cell>
          <cell r="H3247">
            <v>5033514</v>
          </cell>
          <cell r="AK3247" t="str">
            <v>Thomas Hummel</v>
          </cell>
        </row>
        <row r="3248">
          <cell r="C3248" t="str">
            <v>San_InfoSec Risk Framework</v>
          </cell>
          <cell r="H3248">
            <v>5033475</v>
          </cell>
          <cell r="AK3248" t="str">
            <v>Ridha Mesli</v>
          </cell>
        </row>
        <row r="3249">
          <cell r="C3249" t="str">
            <v>RBCUS - Trident 2 Bridge 3</v>
          </cell>
          <cell r="H3249">
            <v>5032828</v>
          </cell>
          <cell r="AK3249" t="str">
            <v>Michael Martinen</v>
          </cell>
        </row>
        <row r="3250">
          <cell r="C3250" t="str">
            <v>Citizens-IDTheftRedFlagRisk 18</v>
          </cell>
          <cell r="H3250">
            <v>5029815</v>
          </cell>
          <cell r="AK3250" t="str">
            <v>Kristina Slattery</v>
          </cell>
        </row>
        <row r="3251">
          <cell r="C3251" t="str">
            <v>CSS_Portfolio Management</v>
          </cell>
          <cell r="H3251">
            <v>5033316</v>
          </cell>
          <cell r="AK3251" t="str">
            <v>John Hickman</v>
          </cell>
        </row>
        <row r="3252">
          <cell r="C3252" t="str">
            <v>BOK_Treasury Dig Accnt Open</v>
          </cell>
          <cell r="H3252">
            <v>5033326</v>
          </cell>
          <cell r="AK3252" t="str">
            <v>Jeffrey Bordan</v>
          </cell>
        </row>
        <row r="3253">
          <cell r="C3253" t="str">
            <v>NavyFCU-ERM License</v>
          </cell>
          <cell r="H3253">
            <v>5033859</v>
          </cell>
          <cell r="AK3253" t="str">
            <v>Tania Makuh</v>
          </cell>
        </row>
        <row r="3254">
          <cell r="C3254" t="str">
            <v>UBS_Hub and Spoke Project</v>
          </cell>
          <cell r="H3254">
            <v>5033079</v>
          </cell>
          <cell r="AK3254" t="str">
            <v>Matthew Faraone</v>
          </cell>
        </row>
        <row r="3255">
          <cell r="C3255" t="str">
            <v>WF_FRTB Implementation</v>
          </cell>
          <cell r="H3255">
            <v>5031121</v>
          </cell>
          <cell r="AK3255" t="str">
            <v>Benjamin Harding</v>
          </cell>
        </row>
        <row r="3256">
          <cell r="C3256" t="str">
            <v>BMO Harris_FDIC Remediate Amd1</v>
          </cell>
          <cell r="H3256">
            <v>5032805</v>
          </cell>
          <cell r="AK3256" t="str">
            <v>George Simotas</v>
          </cell>
        </row>
        <row r="3257">
          <cell r="C3257" t="str">
            <v>FrMc_Duty to Serve S Director</v>
          </cell>
          <cell r="H3257">
            <v>5033306</v>
          </cell>
          <cell r="AK3257" t="str">
            <v>Christopher Martines</v>
          </cell>
        </row>
        <row r="3258">
          <cell r="C3258" t="str">
            <v>Citi_Data Aggregation FO</v>
          </cell>
          <cell r="H3258">
            <v>5033604</v>
          </cell>
          <cell r="AK3258" t="str">
            <v>Robert Norris</v>
          </cell>
        </row>
        <row r="3259">
          <cell r="C3259" t="str">
            <v>Golden1-MS Implementation</v>
          </cell>
          <cell r="H3259">
            <v>5035080</v>
          </cell>
          <cell r="AK3259" t="str">
            <v>Allan Cuttle</v>
          </cell>
        </row>
        <row r="3260">
          <cell r="C3260" t="str">
            <v>Dedicated-Compl Adv Svcs</v>
          </cell>
          <cell r="H3260">
            <v>5033532</v>
          </cell>
          <cell r="AK3260" t="str">
            <v>Amanda Pickering</v>
          </cell>
        </row>
        <row r="3261">
          <cell r="C3261" t="str">
            <v>ValleyNat-Turst Compl Phase II</v>
          </cell>
          <cell r="H3261">
            <v>5033226</v>
          </cell>
          <cell r="AK3261" t="str">
            <v>Nicole Russotto</v>
          </cell>
        </row>
        <row r="3262">
          <cell r="C3262" t="str">
            <v>Seacoast-EDD Reviews</v>
          </cell>
          <cell r="H3262">
            <v>5033337</v>
          </cell>
          <cell r="AK3262" t="str">
            <v>Ginger Dahlin</v>
          </cell>
        </row>
        <row r="3263">
          <cell r="C3263" t="str">
            <v>City Ntl FL-BSA Alert Clearing</v>
          </cell>
          <cell r="H3263">
            <v>5033437</v>
          </cell>
          <cell r="AK3263" t="str">
            <v>Ginger Dahlin</v>
          </cell>
        </row>
        <row r="3264">
          <cell r="C3264" t="str">
            <v>HarfordBank-BSAAML Review 18</v>
          </cell>
          <cell r="H3264">
            <v>5029938</v>
          </cell>
          <cell r="AK3264" t="str">
            <v>W. Annette Dredden</v>
          </cell>
        </row>
        <row r="3265">
          <cell r="C3265" t="str">
            <v>Golden1-MS Training</v>
          </cell>
          <cell r="H3265">
            <v>5035081</v>
          </cell>
          <cell r="AK3265" t="str">
            <v>Allan Cuttle</v>
          </cell>
        </row>
        <row r="3266">
          <cell r="C3266" t="str">
            <v>Woodforest-RCM Monitoring</v>
          </cell>
          <cell r="H3266">
            <v>5034259</v>
          </cell>
          <cell r="AK3266" t="str">
            <v>Scott Whitehead</v>
          </cell>
        </row>
        <row r="3267">
          <cell r="C3267" t="str">
            <v>EZCORP INC-BSA Consulting</v>
          </cell>
          <cell r="H3267">
            <v>5033318</v>
          </cell>
          <cell r="AK3267" t="str">
            <v>Benay Nachin</v>
          </cell>
        </row>
        <row r="3268">
          <cell r="C3268" t="str">
            <v>RBCUS_Qlik Ext Oct2018</v>
          </cell>
          <cell r="H3268">
            <v>5033410</v>
          </cell>
          <cell r="AK3268" t="str">
            <v>James St. Jean</v>
          </cell>
        </row>
        <row r="3269">
          <cell r="C3269" t="str">
            <v>Risk IT Env. Team Extension</v>
          </cell>
          <cell r="H3269">
            <v>5031712</v>
          </cell>
          <cell r="AK3269" t="str">
            <v>John McCaffrey</v>
          </cell>
        </row>
        <row r="3270">
          <cell r="C3270" t="str">
            <v>DB_PWCC - Data Sci Q3 2018</v>
          </cell>
          <cell r="H3270">
            <v>5033406</v>
          </cell>
          <cell r="AK3270" t="str">
            <v>Matthew Faraone</v>
          </cell>
        </row>
        <row r="3271">
          <cell r="C3271" t="str">
            <v>Service1st-MQC</v>
          </cell>
          <cell r="H3271">
            <v>5033657</v>
          </cell>
          <cell r="AK3271" t="str">
            <v>Christian Maier</v>
          </cell>
        </row>
        <row r="3272">
          <cell r="C3272" t="str">
            <v>Capital NJ-TechComplConsult 18</v>
          </cell>
          <cell r="H3272">
            <v>5029804</v>
          </cell>
          <cell r="AK3272" t="str">
            <v>Robert Farmer</v>
          </cell>
        </row>
        <row r="3273">
          <cell r="C3273" t="str">
            <v>SuncrestBank-Compl Consulting</v>
          </cell>
          <cell r="H3273">
            <v>5033477</v>
          </cell>
          <cell r="AK3273" t="str">
            <v>Steve Manitzas</v>
          </cell>
        </row>
        <row r="3274">
          <cell r="C3274" t="str">
            <v>GS_BACM SecDiv Support Amd2</v>
          </cell>
          <cell r="H3274">
            <v>5031833</v>
          </cell>
          <cell r="AK3274" t="str">
            <v>Robert Norris</v>
          </cell>
        </row>
        <row r="3275">
          <cell r="C3275" t="str">
            <v>CSS_Ops Dashboard Amd 2</v>
          </cell>
          <cell r="H3275">
            <v>5031888</v>
          </cell>
          <cell r="AK3275" t="str">
            <v>John Hickman</v>
          </cell>
        </row>
        <row r="3276">
          <cell r="C3276" t="str">
            <v>BPR - EXT AMD 16 (FSIA)</v>
          </cell>
          <cell r="H3276">
            <v>5032790</v>
          </cell>
          <cell r="AK3276" t="str">
            <v>Karl Augenstein</v>
          </cell>
        </row>
        <row r="3277">
          <cell r="C3277" t="str">
            <v>Risk&amp;Control Inf Spt {SOW#48}</v>
          </cell>
          <cell r="H3277">
            <v>5032857</v>
          </cell>
          <cell r="AK3277" t="str">
            <v>Adrian Ungureanu</v>
          </cell>
        </row>
        <row r="3278">
          <cell r="C3278" t="str">
            <v>RBCUS_Volcker RENTD Data</v>
          </cell>
          <cell r="H3278">
            <v>5032134</v>
          </cell>
          <cell r="AK3278" t="str">
            <v>Glen Gannon</v>
          </cell>
        </row>
        <row r="3279">
          <cell r="C3279" t="str">
            <v>UB_PRSA/RCM (SOW:51)</v>
          </cell>
          <cell r="H3279">
            <v>5032641</v>
          </cell>
          <cell r="AK3279" t="str">
            <v>Adrian Ungureanu</v>
          </cell>
        </row>
        <row r="3280">
          <cell r="C3280" t="str">
            <v>UB_UCL Risk &amp; Cntr (SOW 49)</v>
          </cell>
          <cell r="H3280">
            <v>5032648</v>
          </cell>
          <cell r="AK3280" t="str">
            <v>Justin Hayden</v>
          </cell>
        </row>
        <row r="3281">
          <cell r="C3281" t="str">
            <v>Santander_InfoSec_H2</v>
          </cell>
          <cell r="H3281">
            <v>5033572</v>
          </cell>
          <cell r="AK3281" t="str">
            <v>Ridha Mesli</v>
          </cell>
        </row>
        <row r="3282">
          <cell r="C3282" t="str">
            <v>GS_QFC Recordkeeping_2018 H2</v>
          </cell>
          <cell r="H3282">
            <v>5033362</v>
          </cell>
          <cell r="AK3282" t="str">
            <v>Robert Norris</v>
          </cell>
        </row>
        <row r="3283">
          <cell r="C3283" t="str">
            <v>Jeff_CRM BAU Backfill Support</v>
          </cell>
          <cell r="H3283">
            <v>5034412</v>
          </cell>
          <cell r="AK3283" t="str">
            <v>Ripple Bhullar</v>
          </cell>
        </row>
        <row r="3284">
          <cell r="C3284" t="str">
            <v>FrMc_Exchange Processor</v>
          </cell>
          <cell r="H3284">
            <v>5033428</v>
          </cell>
          <cell r="AK3284" t="str">
            <v>Karl Augenstein</v>
          </cell>
        </row>
        <row r="3285">
          <cell r="C3285" t="str">
            <v>FrMc_ MF Process Controls</v>
          </cell>
          <cell r="H3285">
            <v>5033425</v>
          </cell>
          <cell r="AK3285" t="str">
            <v>Karl Augenstein</v>
          </cell>
        </row>
        <row r="3286">
          <cell r="C3286" t="str">
            <v>UB_Wealth Prog Spt (SOW 42)</v>
          </cell>
          <cell r="H3286">
            <v>5033491</v>
          </cell>
          <cell r="AK3286" t="str">
            <v>Felix Urquia</v>
          </cell>
        </row>
        <row r="3287">
          <cell r="C3287" t="str">
            <v>Brad_NB US Delivery July</v>
          </cell>
          <cell r="H3287">
            <v>5033447</v>
          </cell>
          <cell r="AK3287" t="str">
            <v>Allison Kent</v>
          </cell>
        </row>
        <row r="3288">
          <cell r="C3288" t="str">
            <v>Golden1-ERM License</v>
          </cell>
          <cell r="H3288">
            <v>5033864</v>
          </cell>
          <cell r="AK3288" t="str">
            <v>Tania Makuh</v>
          </cell>
        </row>
        <row r="3289">
          <cell r="C3289" t="str">
            <v>HSBC_CDCo cS 2_2018 H2</v>
          </cell>
          <cell r="H3289">
            <v>5025701</v>
          </cell>
          <cell r="AK3289" t="str">
            <v>Matthew Faraone</v>
          </cell>
        </row>
        <row r="3290">
          <cell r="C3290" t="str">
            <v>CSS_CFO Finance Strategy Amd 1</v>
          </cell>
          <cell r="H3290">
            <v>5032066</v>
          </cell>
          <cell r="AK3290" t="str">
            <v>John Hickman</v>
          </cell>
        </row>
        <row r="3291">
          <cell r="C3291" t="str">
            <v>BMO_Spotfire Ph9</v>
          </cell>
          <cell r="H3291">
            <v>5028321</v>
          </cell>
          <cell r="AK3291" t="str">
            <v>Matthias Daus</v>
          </cell>
        </row>
        <row r="3292">
          <cell r="C3292" t="str">
            <v>MS_ISGPO DT Execution</v>
          </cell>
          <cell r="H3292">
            <v>5031618</v>
          </cell>
          <cell r="AK3292" t="str">
            <v>Mitali Drews</v>
          </cell>
        </row>
        <row r="3293">
          <cell r="C3293" t="str">
            <v>UB_Digital Prog Spt (SOW 44)</v>
          </cell>
          <cell r="H3293">
            <v>5033503</v>
          </cell>
          <cell r="AK3293" t="str">
            <v>Michael Tao</v>
          </cell>
        </row>
        <row r="3294">
          <cell r="C3294" t="str">
            <v>GS_BACMTaxTeam Ext H2</v>
          </cell>
          <cell r="H3294">
            <v>5031565</v>
          </cell>
          <cell r="AK3294" t="str">
            <v>Chintan Chokshi</v>
          </cell>
        </row>
        <row r="3295">
          <cell r="C3295" t="str">
            <v>1stCentral-HMDA Review</v>
          </cell>
          <cell r="H3295">
            <v>5033476</v>
          </cell>
          <cell r="AK3295" t="str">
            <v>Mariana Dumanovsky</v>
          </cell>
        </row>
        <row r="3296">
          <cell r="C3296" t="str">
            <v>Creditcorp-Due Dilig Visits</v>
          </cell>
          <cell r="H3296">
            <v>5033463</v>
          </cell>
          <cell r="AK3296" t="str">
            <v>Robert Farmer</v>
          </cell>
        </row>
        <row r="3297">
          <cell r="C3297" t="str">
            <v>RBCUS - Compliance OSFI PM</v>
          </cell>
          <cell r="H3297">
            <v>5033528</v>
          </cell>
          <cell r="AK3297" t="str">
            <v>Randall Sawyer</v>
          </cell>
        </row>
        <row r="3298">
          <cell r="C3298" t="str">
            <v>MS FID Strats Senior PM Ext</v>
          </cell>
          <cell r="H3298">
            <v>5028481</v>
          </cell>
          <cell r="AK3298" t="str">
            <v>Mitali Drews</v>
          </cell>
        </row>
        <row r="3299">
          <cell r="C3299" t="str">
            <v>BasePoint-CMS Audit</v>
          </cell>
          <cell r="H3299">
            <v>5033513</v>
          </cell>
          <cell r="AK3299" t="str">
            <v>Joseph Schmidt</v>
          </cell>
        </row>
        <row r="3300">
          <cell r="C3300" t="str">
            <v>Modern Bank-ACH P&amp;P Dev, RA</v>
          </cell>
          <cell r="H3300">
            <v>5033527</v>
          </cell>
          <cell r="AK3300" t="str">
            <v>Robert Farmer</v>
          </cell>
        </row>
        <row r="3301">
          <cell r="C3301" t="str">
            <v>RBCUS_Risk and Finance exp</v>
          </cell>
          <cell r="H3301">
            <v>5033560</v>
          </cell>
          <cell r="AK3301" t="str">
            <v>Michael Martinen</v>
          </cell>
        </row>
        <row r="3302">
          <cell r="C3302" t="str">
            <v>RBCUS - T2 Flex 1</v>
          </cell>
          <cell r="H3302">
            <v>5033559</v>
          </cell>
          <cell r="AK3302" t="str">
            <v>Michael Martinen</v>
          </cell>
        </row>
        <row r="3303">
          <cell r="C3303" t="str">
            <v>Artisans-2018 Audits</v>
          </cell>
          <cell r="H3303">
            <v>5033561</v>
          </cell>
          <cell r="AK3303" t="str">
            <v>Bonita Riccaboni</v>
          </cell>
        </row>
        <row r="3304">
          <cell r="C3304" t="str">
            <v>BPR - EXT AMD 18</v>
          </cell>
          <cell r="H3304">
            <v>5032790</v>
          </cell>
          <cell r="AK3304" t="str">
            <v>Karl Augenstein</v>
          </cell>
        </row>
        <row r="3305">
          <cell r="C3305" t="str">
            <v>Civitas_stgy and Ops Execution</v>
          </cell>
          <cell r="H3305">
            <v>5033618</v>
          </cell>
          <cell r="AK3305" t="str">
            <v>Mary Willetts</v>
          </cell>
        </row>
        <row r="3306">
          <cell r="C3306" t="str">
            <v>Civitas_Talent Mgmt Execution</v>
          </cell>
          <cell r="H3306">
            <v>5033616</v>
          </cell>
          <cell r="AK3306" t="str">
            <v>Mary Willetts</v>
          </cell>
        </row>
        <row r="3307">
          <cell r="C3307" t="str">
            <v>Zelle UAT Support</v>
          </cell>
          <cell r="H3307">
            <v>5032607</v>
          </cell>
          <cell r="AK3307" t="str">
            <v>Scott Jurgensen</v>
          </cell>
        </row>
        <row r="3308">
          <cell r="C3308" t="str">
            <v>New Dev for LAS</v>
          </cell>
          <cell r="H3308">
            <v>5027977</v>
          </cell>
          <cell r="AK3308" t="str">
            <v>Chinmoy Bhatiya</v>
          </cell>
        </row>
        <row r="3309">
          <cell r="C3309" t="str">
            <v>INHP-Mtg Underwriting</v>
          </cell>
          <cell r="H3309">
            <v>5033567</v>
          </cell>
          <cell r="AK3309" t="str">
            <v>Cristina Arechaga</v>
          </cell>
        </row>
        <row r="3310">
          <cell r="C3310" t="str">
            <v>BPR - AMD 14</v>
          </cell>
          <cell r="H3310">
            <v>5032790</v>
          </cell>
          <cell r="AK3310" t="str">
            <v>Karl Augenstein</v>
          </cell>
        </row>
        <row r="3311">
          <cell r="C3311" t="str">
            <v>CA_Infra Cybersec project gov</v>
          </cell>
          <cell r="H3311">
            <v>5033548</v>
          </cell>
          <cell r="AK3311" t="str">
            <v>Thanh Le Xuan</v>
          </cell>
        </row>
        <row r="3312">
          <cell r="C3312" t="str">
            <v>San_Payments Tech Exam Ready</v>
          </cell>
          <cell r="H3312">
            <v>5033564</v>
          </cell>
          <cell r="AK3312" t="str">
            <v>Sarah Cameron</v>
          </cell>
        </row>
        <row r="3313">
          <cell r="C3313" t="str">
            <v>San_MIS Dash Dev</v>
          </cell>
          <cell r="H3313">
            <v>5033679</v>
          </cell>
          <cell r="AK3313" t="str">
            <v>Ridha Mesli</v>
          </cell>
        </row>
        <row r="3314">
          <cell r="C3314" t="str">
            <v>Jeff_CRM II Campaign EU</v>
          </cell>
          <cell r="H3314">
            <v>5033570</v>
          </cell>
          <cell r="AK3314" t="str">
            <v>Ripple Bhullar</v>
          </cell>
        </row>
        <row r="3315">
          <cell r="C3315" t="str">
            <v>BPR EXT - AMD 15</v>
          </cell>
          <cell r="H3315">
            <v>5032790</v>
          </cell>
          <cell r="AK3315" t="str">
            <v>Karl Augenstein</v>
          </cell>
        </row>
        <row r="3316">
          <cell r="C3316" t="str">
            <v>BPR - EXT AMD 17</v>
          </cell>
          <cell r="H3316">
            <v>5032790</v>
          </cell>
          <cell r="AK3316" t="str">
            <v>Karl Augenstein</v>
          </cell>
        </row>
        <row r="3317">
          <cell r="C3317" t="str">
            <v>PatriotBank-Fair Lndg Review</v>
          </cell>
          <cell r="H3317">
            <v>5033597</v>
          </cell>
          <cell r="AK3317" t="str">
            <v>Juan Pimentel</v>
          </cell>
        </row>
        <row r="3318">
          <cell r="C3318" t="str">
            <v>Jeff_Wealth Mgmt Analysis</v>
          </cell>
          <cell r="H3318">
            <v>5033611</v>
          </cell>
          <cell r="AK3318" t="str">
            <v>Robert Norris</v>
          </cell>
        </row>
        <row r="3319">
          <cell r="C3319" t="str">
            <v>TaiwanBB-BSA Officer Support</v>
          </cell>
          <cell r="H3319">
            <v>5033583</v>
          </cell>
          <cell r="AK3319" t="str">
            <v>Benay Nachin</v>
          </cell>
        </row>
        <row r="3320">
          <cell r="C3320" t="str">
            <v>ALIC_Group Insurance Process</v>
          </cell>
          <cell r="H3320">
            <v>5033601</v>
          </cell>
          <cell r="AK3320" t="str">
            <v>DELETED USER</v>
          </cell>
        </row>
        <row r="3321">
          <cell r="C3321" t="str">
            <v>BMO_Datameer Dev</v>
          </cell>
          <cell r="H3321">
            <v>5033581</v>
          </cell>
          <cell r="AK3321" t="str">
            <v>Matthias Daus</v>
          </cell>
        </row>
        <row r="3322">
          <cell r="C3322" t="str">
            <v>FM_DATI TOM Definition</v>
          </cell>
          <cell r="H3322">
            <v>5033629</v>
          </cell>
          <cell r="AK3322" t="str">
            <v>Sabrina Amjad</v>
          </cell>
        </row>
        <row r="3323">
          <cell r="C3323" t="str">
            <v>Jeff_CRM UI UX Support</v>
          </cell>
          <cell r="H3323">
            <v>5033612</v>
          </cell>
          <cell r="AK3323" t="str">
            <v>Ripple Bhullar</v>
          </cell>
        </row>
        <row r="3324">
          <cell r="C3324" t="str">
            <v>WF_Collat &amp; Wire Analysis Ext</v>
          </cell>
          <cell r="H3324">
            <v>5031376</v>
          </cell>
          <cell r="AK3324" t="str">
            <v>Edward Kelley</v>
          </cell>
        </row>
        <row r="3325">
          <cell r="C3325" t="str">
            <v>JPMC_Post T0 Trade Journey</v>
          </cell>
          <cell r="H3325">
            <v>5033621</v>
          </cell>
          <cell r="AK3325" t="str">
            <v>Meghan Byrnes-Borderan</v>
          </cell>
        </row>
        <row r="3326">
          <cell r="C3326" t="str">
            <v>MF Process Controls (Amd 1)</v>
          </cell>
          <cell r="H3326">
            <v>5033425</v>
          </cell>
          <cell r="AK3326" t="str">
            <v>Karl Augenstein</v>
          </cell>
        </row>
        <row r="3327">
          <cell r="C3327" t="str">
            <v>Massena-BSA IT-18</v>
          </cell>
          <cell r="H3327">
            <v>5029729</v>
          </cell>
          <cell r="AK3327" t="str">
            <v>Charles Mcwilliam</v>
          </cell>
        </row>
        <row r="3328">
          <cell r="C3328" t="str">
            <v>Veritex-BSA&amp;Frd Sys Val-N3</v>
          </cell>
          <cell r="H3328">
            <v>5029565</v>
          </cell>
          <cell r="AK3328" t="str">
            <v>Charles Mcwilliam</v>
          </cell>
        </row>
        <row r="3329">
          <cell r="C3329" t="str">
            <v>Citi_GSM Development</v>
          </cell>
          <cell r="H3329">
            <v>5033667</v>
          </cell>
          <cell r="AK3329" t="str">
            <v>Robert Norris</v>
          </cell>
        </row>
        <row r="3330">
          <cell r="C3330" t="str">
            <v>DB_AFC Report Support_Ext</v>
          </cell>
          <cell r="H3330">
            <v>5032754</v>
          </cell>
          <cell r="AK3330" t="str">
            <v>Carl Repoli</v>
          </cell>
        </row>
        <row r="3331">
          <cell r="C3331" t="str">
            <v>Infra Cybersec PM</v>
          </cell>
          <cell r="H3331">
            <v>5033548</v>
          </cell>
          <cell r="AK3331" t="str">
            <v>Thanh Le Xuan</v>
          </cell>
        </row>
        <row r="3332">
          <cell r="C3332" t="str">
            <v>MS_FID Marketing 2018</v>
          </cell>
          <cell r="H3332">
            <v>5033654</v>
          </cell>
          <cell r="AK3332" t="str">
            <v>Mike Clarke</v>
          </cell>
        </row>
        <row r="3333">
          <cell r="C3333" t="str">
            <v>UBS_Project Hamilton_Phase 1b</v>
          </cell>
          <cell r="H3333">
            <v>5033686</v>
          </cell>
          <cell r="AK3333" t="str">
            <v>Matthew Berkowitz</v>
          </cell>
        </row>
        <row r="3334">
          <cell r="C3334" t="str">
            <v>MS_VMO Data Analysts</v>
          </cell>
          <cell r="H3334">
            <v>5033656</v>
          </cell>
          <cell r="AK3334" t="str">
            <v>Dan Schutzman</v>
          </cell>
        </row>
        <row r="3335">
          <cell r="C3335" t="str">
            <v>UBS_Project Hamilton_Phase 1a</v>
          </cell>
          <cell r="H3335">
            <v>5033685</v>
          </cell>
          <cell r="AK3335" t="str">
            <v>Matthew Berkowitz</v>
          </cell>
        </row>
        <row r="3336">
          <cell r="C3336" t="str">
            <v>FirstAmerican-HMDA Review</v>
          </cell>
          <cell r="H3336">
            <v>5033756</v>
          </cell>
          <cell r="AK3336" t="str">
            <v>Sandra Kinney</v>
          </cell>
        </row>
        <row r="3337">
          <cell r="C3337" t="str">
            <v>BMO Harris_Remediation Amd2</v>
          </cell>
          <cell r="H3337">
            <v>5032805</v>
          </cell>
          <cell r="AK3337" t="str">
            <v>George Simotas</v>
          </cell>
        </row>
        <row r="3338">
          <cell r="C3338" t="str">
            <v>UB_UCL UAT Support (SOW 53)</v>
          </cell>
          <cell r="H3338">
            <v>5033642</v>
          </cell>
          <cell r="AK3338" t="str">
            <v>Michael Walker</v>
          </cell>
        </row>
        <row r="3339">
          <cell r="C3339" t="str">
            <v>NBH Bank-ERM License</v>
          </cell>
          <cell r="H3339">
            <v>5033860</v>
          </cell>
          <cell r="AK3339" t="str">
            <v>Tania Makuh</v>
          </cell>
        </row>
        <row r="3340">
          <cell r="C3340" t="str">
            <v>Goldman-Fair Lndg &amp; HMDA Rev</v>
          </cell>
          <cell r="H3340">
            <v>5034447</v>
          </cell>
          <cell r="AK3340" t="str">
            <v>John Soffronoff</v>
          </cell>
        </row>
        <row r="3341">
          <cell r="C3341" t="str">
            <v>CSS_Solutions Operations PM</v>
          </cell>
          <cell r="H3341">
            <v>5032868</v>
          </cell>
          <cell r="AK3341" t="str">
            <v>Katie Hermann</v>
          </cell>
        </row>
        <row r="3342">
          <cell r="C3342" t="str">
            <v>FirstAmerican-CMSO Ext</v>
          </cell>
          <cell r="H3342">
            <v>5033717</v>
          </cell>
          <cell r="AK3342" t="str">
            <v>Mariana Dumanovsky</v>
          </cell>
        </row>
        <row r="3343">
          <cell r="C3343" t="str">
            <v>1stAmerican-BSA Rules Tuning</v>
          </cell>
          <cell r="H3343">
            <v>5032761</v>
          </cell>
          <cell r="AK3343" t="str">
            <v>William Sachs</v>
          </cell>
        </row>
        <row r="3344">
          <cell r="C3344" t="str">
            <v>Jeff_Murex FI Risk PM</v>
          </cell>
          <cell r="H3344">
            <v>5033690</v>
          </cell>
          <cell r="AK3344" t="str">
            <v>Chelsea Mattias</v>
          </cell>
        </row>
        <row r="3345">
          <cell r="C3345" t="str">
            <v>CSS_PMO Leader&amp;Support Amd3</v>
          </cell>
          <cell r="H3345">
            <v>5029379</v>
          </cell>
          <cell r="AK3345" t="str">
            <v>John Hickman</v>
          </cell>
        </row>
        <row r="3346">
          <cell r="C3346" t="str">
            <v>Citizens First - MQC</v>
          </cell>
          <cell r="H3346">
            <v>5033242</v>
          </cell>
          <cell r="AK3346" t="str">
            <v>Keith Cole</v>
          </cell>
        </row>
        <row r="3347">
          <cell r="C3347" t="str">
            <v>Jeff_Risk Program Office Amd1</v>
          </cell>
          <cell r="H3347">
            <v>5032009</v>
          </cell>
          <cell r="AK3347" t="str">
            <v>Chelsea Mattias</v>
          </cell>
        </row>
        <row r="3348">
          <cell r="C3348" t="str">
            <v>City Ntl FL-Alert Clearing</v>
          </cell>
          <cell r="H3348">
            <v>5033678</v>
          </cell>
          <cell r="AK3348" t="str">
            <v>Ginger Dahlin</v>
          </cell>
        </row>
        <row r="3349">
          <cell r="C3349" t="str">
            <v>Seacoast National Bank_RAS</v>
          </cell>
          <cell r="H3349">
            <v>5039722</v>
          </cell>
          <cell r="AK3349" t="str">
            <v>Diane Banks</v>
          </cell>
        </row>
        <row r="3350">
          <cell r="C3350" t="str">
            <v>UB_CBT PSRA Ext (SOW 54)</v>
          </cell>
          <cell r="H3350">
            <v>5033727</v>
          </cell>
          <cell r="AK3350" t="str">
            <v>Adrian Ungureanu</v>
          </cell>
        </row>
        <row r="3351">
          <cell r="C3351" t="str">
            <v>TotalBank-CMS Review</v>
          </cell>
          <cell r="H3351">
            <v>5032286</v>
          </cell>
          <cell r="AK3351" t="str">
            <v>Zebulon Green</v>
          </cell>
        </row>
        <row r="3352">
          <cell r="C3352" t="str">
            <v>1stColonial-MQC</v>
          </cell>
          <cell r="H3352">
            <v>5034503</v>
          </cell>
          <cell r="AK3352" t="str">
            <v>Keith Cole</v>
          </cell>
        </row>
        <row r="3353">
          <cell r="C3353" t="str">
            <v>ChesapeakeBT-IT Consult</v>
          </cell>
          <cell r="H3353">
            <v>5033568</v>
          </cell>
          <cell r="AK3353" t="str">
            <v>Robert Farmer</v>
          </cell>
        </row>
        <row r="3354">
          <cell r="C3354" t="str">
            <v>BRAD_NB Aug INT</v>
          </cell>
          <cell r="H3354">
            <v>5033692</v>
          </cell>
          <cell r="AK3354" t="str">
            <v>Allison Kent</v>
          </cell>
        </row>
        <row r="3355">
          <cell r="C3355" t="str">
            <v>GS_Sec Div Aug Amd 3</v>
          </cell>
          <cell r="H3355">
            <v>5031833</v>
          </cell>
          <cell r="AK3355" t="str">
            <v>Robert Norris</v>
          </cell>
        </row>
        <row r="3356">
          <cell r="C3356" t="str">
            <v>Arundel FSB-MQC</v>
          </cell>
          <cell r="H3356">
            <v>5034310</v>
          </cell>
          <cell r="AK3356" t="str">
            <v>Cristina Arechaga</v>
          </cell>
        </row>
        <row r="3357">
          <cell r="C3357" t="str">
            <v>BkTaiwan-BSA Rules Val</v>
          </cell>
          <cell r="H3357">
            <v>5033687</v>
          </cell>
          <cell r="AK3357" t="str">
            <v>William Sachs</v>
          </cell>
        </row>
        <row r="3358">
          <cell r="C3358" t="str">
            <v>FIS-Investors Sec Tr BSA Audit</v>
          </cell>
          <cell r="H3358">
            <v>5033700</v>
          </cell>
          <cell r="AK3358" t="str">
            <v>Mary Louise Radley</v>
          </cell>
        </row>
        <row r="3359">
          <cell r="C3359" t="str">
            <v>RBCUS_Reg QA Automation</v>
          </cell>
          <cell r="H3359">
            <v>5033728</v>
          </cell>
          <cell r="AK3359" t="str">
            <v>Adam Taneski</v>
          </cell>
        </row>
        <row r="3360">
          <cell r="C3360" t="str">
            <v>Digital Wealth Strategy</v>
          </cell>
          <cell r="AK3360" t="str">
            <v>Matthew Berkowitz</v>
          </cell>
        </row>
        <row r="3361">
          <cell r="C3361" t="str">
            <v>PeapackGlad-Third Party PP Rev</v>
          </cell>
          <cell r="H3361">
            <v>5033766</v>
          </cell>
          <cell r="AK3361" t="str">
            <v>Benay Nachin</v>
          </cell>
        </row>
        <row r="3362">
          <cell r="C3362" t="str">
            <v>NorthEastCB-BSA P&amp;P</v>
          </cell>
          <cell r="H3362">
            <v>5033688</v>
          </cell>
          <cell r="AK3362" t="str">
            <v>Benay Nachin</v>
          </cell>
        </row>
        <row r="3363">
          <cell r="C3363" t="str">
            <v>AI Ops Assessment - Gresham</v>
          </cell>
          <cell r="H3363">
            <v>5027949</v>
          </cell>
          <cell r="AK3363" t="str">
            <v>Mary Huang</v>
          </cell>
        </row>
        <row r="3364">
          <cell r="C3364" t="str">
            <v>MS Wealth Ops UAT Strategy</v>
          </cell>
          <cell r="H3364">
            <v>5027949</v>
          </cell>
          <cell r="AK3364" t="str">
            <v>Mary Huang</v>
          </cell>
        </row>
        <row r="3365">
          <cell r="C3365" t="str">
            <v>ATM Software Upgrade Design</v>
          </cell>
          <cell r="H3365">
            <v>5032878</v>
          </cell>
          <cell r="AK3365" t="str">
            <v>Scott Jurgensen</v>
          </cell>
        </row>
        <row r="3366">
          <cell r="C3366" t="str">
            <v>EmpireState-FLA CRA Rev</v>
          </cell>
          <cell r="H3366">
            <v>5033724</v>
          </cell>
          <cell r="AK3366" t="str">
            <v>Mariana Dumanovsky</v>
          </cell>
        </row>
        <row r="3367">
          <cell r="C3367" t="str">
            <v>Baltimore-HMDA Scrub</v>
          </cell>
          <cell r="H3367">
            <v>5033767</v>
          </cell>
          <cell r="AK3367" t="str">
            <v>W. Annette Dredden</v>
          </cell>
        </row>
        <row r="3368">
          <cell r="C3368" t="str">
            <v>UBS_UIS Concept Narrative</v>
          </cell>
          <cell r="H3368">
            <v>5033684</v>
          </cell>
          <cell r="AK3368" t="str">
            <v>Michael Zambon</v>
          </cell>
        </row>
        <row r="3369">
          <cell r="C3369" t="str">
            <v>BBT_FDIC 370 Compliance Design</v>
          </cell>
          <cell r="H3369">
            <v>5033736</v>
          </cell>
          <cell r="AK3369" t="str">
            <v>Kelsey Popplewell</v>
          </cell>
        </row>
        <row r="3370">
          <cell r="C3370" t="str">
            <v>Jeff_LIBOR Impact Assessment</v>
          </cell>
          <cell r="H3370">
            <v>5033677</v>
          </cell>
          <cell r="AK3370" t="str">
            <v>Victor Marranca</v>
          </cell>
        </row>
        <row r="3371">
          <cell r="C3371" t="str">
            <v>Jeff_QlikView Support</v>
          </cell>
          <cell r="H3371">
            <v>5034073</v>
          </cell>
          <cell r="AK3371" t="str">
            <v>John McCaffrey</v>
          </cell>
        </row>
        <row r="3372">
          <cell r="C3372" t="str">
            <v>Santander_InfoSec CoS Sup</v>
          </cell>
          <cell r="H3372">
            <v>5033765</v>
          </cell>
          <cell r="AK3372" t="str">
            <v>Ridha Mesli</v>
          </cell>
        </row>
        <row r="3373">
          <cell r="C3373" t="str">
            <v>SVB_PB Weath Biz Case Strat</v>
          </cell>
          <cell r="H3373">
            <v>5033776</v>
          </cell>
          <cell r="AK3373" t="str">
            <v>DELETED USER</v>
          </cell>
        </row>
        <row r="3374">
          <cell r="C3374" t="str">
            <v>BMO Harris_Data Gov FDIC Amd2</v>
          </cell>
          <cell r="H3374">
            <v>5032205</v>
          </cell>
          <cell r="AK3374" t="str">
            <v>Kyle Marynowski</v>
          </cell>
        </row>
        <row r="3375">
          <cell r="C3375" t="str">
            <v>Santander-18 CRA Data Adt Val</v>
          </cell>
          <cell r="H3375">
            <v>5033782</v>
          </cell>
          <cell r="AK3375" t="str">
            <v>Paula Witt</v>
          </cell>
        </row>
        <row r="3376">
          <cell r="C3376" t="str">
            <v>FM_Connect Prod Strategy</v>
          </cell>
          <cell r="H3376">
            <v>5033844</v>
          </cell>
          <cell r="AK3376" t="str">
            <v>Daragh Fitzpatrick</v>
          </cell>
        </row>
        <row r="3377">
          <cell r="C3377" t="str">
            <v>BarCap_CCAR Data Mgmt. Aug Oct</v>
          </cell>
          <cell r="H3377">
            <v>5033713</v>
          </cell>
          <cell r="AK3377" t="str">
            <v>Aditya Udas</v>
          </cell>
        </row>
        <row r="3378">
          <cell r="C3378" t="str">
            <v>CNB_VMO Launch Prep</v>
          </cell>
          <cell r="H3378">
            <v>5033807</v>
          </cell>
          <cell r="AK3378" t="str">
            <v>Betsy Cherian</v>
          </cell>
        </row>
        <row r="3379">
          <cell r="C3379" t="str">
            <v>Commercial-Compl Consulting</v>
          </cell>
          <cell r="H3379">
            <v>5033758</v>
          </cell>
          <cell r="AK3379" t="str">
            <v>Kevin McCarty</v>
          </cell>
        </row>
        <row r="3380">
          <cell r="C3380" t="str">
            <v>Legal Entity &amp; Client Data Ops</v>
          </cell>
          <cell r="H3380">
            <v>5031618</v>
          </cell>
          <cell r="AK3380" t="str">
            <v>Mitali Drews</v>
          </cell>
        </row>
        <row r="3381">
          <cell r="C3381" t="str">
            <v>NT_Wealth Performance Rptg</v>
          </cell>
          <cell r="H3381">
            <v>5033773</v>
          </cell>
          <cell r="AK3381" t="str">
            <v>Paul Tatseos</v>
          </cell>
        </row>
        <row r="3382">
          <cell r="C3382" t="str">
            <v>Pru_Agile Delivery Increment 3</v>
          </cell>
          <cell r="H3382">
            <v>5033795</v>
          </cell>
          <cell r="AK3382" t="str">
            <v>Phil Kerkel</v>
          </cell>
        </row>
        <row r="3383">
          <cell r="C3383" t="str">
            <v>Jeff_Flow Monitor - 2018 Ext2</v>
          </cell>
          <cell r="H3383">
            <v>5033784</v>
          </cell>
          <cell r="AK3383" t="str">
            <v>Jeffrey Gheraldi</v>
          </cell>
        </row>
        <row r="3384">
          <cell r="C3384" t="str">
            <v>Delmarva-Audit Review</v>
          </cell>
          <cell r="H3384">
            <v>5032422</v>
          </cell>
          <cell r="AK3384" t="str">
            <v>Mary Louise Radley</v>
          </cell>
        </row>
        <row r="3385">
          <cell r="C3385" t="str">
            <v>UBS_DMO 2018 Aug-Dec Ext</v>
          </cell>
          <cell r="H3385">
            <v>5033837</v>
          </cell>
          <cell r="AK3385" t="str">
            <v>Daniel Holness</v>
          </cell>
        </row>
        <row r="3386">
          <cell r="C3386" t="str">
            <v>FM_HC Train Material Dev Amd 1</v>
          </cell>
          <cell r="H3386">
            <v>5033019</v>
          </cell>
          <cell r="AK3386" t="str">
            <v>Sabrina Amjad</v>
          </cell>
        </row>
        <row r="3387">
          <cell r="C3387" t="str">
            <v>Golden1-M7 Sandbox</v>
          </cell>
          <cell r="H3387">
            <v>5034361</v>
          </cell>
          <cell r="AK3387" t="str">
            <v>Patti Harrison</v>
          </cell>
        </row>
        <row r="3388">
          <cell r="C3388" t="str">
            <v>Civitas_SF Implementation</v>
          </cell>
          <cell r="H3388">
            <v>5033821</v>
          </cell>
          <cell r="AK3388" t="str">
            <v>Mary Willetts</v>
          </cell>
        </row>
        <row r="3389">
          <cell r="C3389" t="str">
            <v>UB_IT BA Leadership (TO 1)</v>
          </cell>
          <cell r="H3389">
            <v>5034104</v>
          </cell>
          <cell r="AK3389" t="str">
            <v>Justin Hayden</v>
          </cell>
        </row>
        <row r="3390">
          <cell r="C3390" t="str">
            <v>AD_Status Code Eval</v>
          </cell>
          <cell r="H3390">
            <v>5033811</v>
          </cell>
          <cell r="AK3390" t="str">
            <v>Elizabeth Allen</v>
          </cell>
        </row>
        <row r="3391">
          <cell r="C3391" t="str">
            <v>Pru_Advisors TOM &amp;IT Roadmap</v>
          </cell>
          <cell r="H3391">
            <v>5033899</v>
          </cell>
          <cell r="AK3391" t="str">
            <v>Phil Kerkel</v>
          </cell>
        </row>
        <row r="3392">
          <cell r="C3392" t="str">
            <v>BOTW_Data&amp;tech Req</v>
          </cell>
          <cell r="H3392">
            <v>5033858</v>
          </cell>
          <cell r="AK3392" t="str">
            <v>Martin Amend</v>
          </cell>
        </row>
        <row r="3393">
          <cell r="C3393" t="str">
            <v>FrMc_BR IMO</v>
          </cell>
          <cell r="H3393">
            <v>5033855</v>
          </cell>
          <cell r="AK3393" t="str">
            <v>Kevin Wells</v>
          </cell>
        </row>
        <row r="3394">
          <cell r="C3394" t="str">
            <v>MS Vendor Management PMO</v>
          </cell>
          <cell r="H3394">
            <v>5033830</v>
          </cell>
          <cell r="AK3394" t="str">
            <v>Dan Schutzman</v>
          </cell>
        </row>
        <row r="3395">
          <cell r="C3395" t="str">
            <v>UB_Digital PSRA (SOW 52)</v>
          </cell>
          <cell r="H3395">
            <v>5033836</v>
          </cell>
          <cell r="AK3395" t="str">
            <v>Adrian Ungureanu</v>
          </cell>
        </row>
        <row r="3396">
          <cell r="C3396" t="str">
            <v>FrMc_Duty-Serve-HFA Odd Coupon</v>
          </cell>
          <cell r="H3396">
            <v>5033823</v>
          </cell>
          <cell r="AK3396" t="str">
            <v>Sebastian Ekberg</v>
          </cell>
        </row>
        <row r="3397">
          <cell r="C3397" t="str">
            <v>LBTaiwan NY-IT Indep Test</v>
          </cell>
          <cell r="H3397">
            <v>5034044</v>
          </cell>
          <cell r="AK3397" t="str">
            <v>David Lott</v>
          </cell>
        </row>
        <row r="3398">
          <cell r="C3398" t="str">
            <v>Century BTC-BSA System Val</v>
          </cell>
          <cell r="H3398">
            <v>5033757</v>
          </cell>
          <cell r="AK3398" t="str">
            <v>DELETED USER</v>
          </cell>
        </row>
        <row r="3399">
          <cell r="C3399" t="str">
            <v>Jeff_CRM DSS Support</v>
          </cell>
          <cell r="H3399">
            <v>5034908</v>
          </cell>
          <cell r="AK3399" t="str">
            <v>Ripple Bhullar</v>
          </cell>
        </row>
        <row r="3400">
          <cell r="C3400" t="str">
            <v>Alight Sol-Alert Clearing</v>
          </cell>
          <cell r="H3400">
            <v>5034295</v>
          </cell>
          <cell r="AK3400" t="str">
            <v>Chintan Patel</v>
          </cell>
        </row>
        <row r="3401">
          <cell r="C3401" t="str">
            <v>Spring EQ-P&amp;P Monit Practice</v>
          </cell>
          <cell r="H3401">
            <v>5034137</v>
          </cell>
          <cell r="AK3401" t="str">
            <v>Denise Rinear</v>
          </cell>
        </row>
        <row r="3402">
          <cell r="C3402" t="str">
            <v>Census FCU-BSA Training</v>
          </cell>
          <cell r="H3402">
            <v>5033775</v>
          </cell>
          <cell r="AK3402" t="str">
            <v>Steve Manitzas</v>
          </cell>
        </row>
        <row r="3403">
          <cell r="C3403" t="str">
            <v>PatriotBank-Compl Training</v>
          </cell>
          <cell r="H3403">
            <v>5033541</v>
          </cell>
          <cell r="AK3403" t="str">
            <v>Mariana Dumanovsky</v>
          </cell>
        </row>
        <row r="3404">
          <cell r="C3404" t="str">
            <v>NavyFCU-ERM Impl Consulting</v>
          </cell>
          <cell r="H3404">
            <v>5034054</v>
          </cell>
          <cell r="AK3404" t="str">
            <v>Patti Harrison</v>
          </cell>
        </row>
        <row r="3405">
          <cell r="C3405" t="str">
            <v>GS_Project Bright Interim</v>
          </cell>
          <cell r="H3405">
            <v>5033893</v>
          </cell>
          <cell r="AK3405" t="str">
            <v>Robert Norris</v>
          </cell>
        </row>
        <row r="3406">
          <cell r="C3406" t="str">
            <v>MSWM - Enhanced Supervision</v>
          </cell>
          <cell r="H3406">
            <v>5033820</v>
          </cell>
          <cell r="AK3406" t="str">
            <v>Phil Kerkel</v>
          </cell>
        </row>
        <row r="3407">
          <cell r="C3407" t="str">
            <v>City Ntl FL-Alert Clearing</v>
          </cell>
          <cell r="H3407">
            <v>5033933</v>
          </cell>
          <cell r="AK3407" t="str">
            <v>Ginger Dahlin</v>
          </cell>
        </row>
        <row r="3408">
          <cell r="C3408" t="str">
            <v>1stCentral-CRA Training</v>
          </cell>
          <cell r="H3408">
            <v>5033833</v>
          </cell>
          <cell r="AK3408" t="str">
            <v>Elizabeth Rozsa</v>
          </cell>
        </row>
        <row r="3409">
          <cell r="C3409" t="str">
            <v>PreferredCA-Reg Compl Audit</v>
          </cell>
          <cell r="H3409">
            <v>5032701</v>
          </cell>
          <cell r="AK3409" t="str">
            <v>Mary Louise Radley</v>
          </cell>
        </row>
        <row r="3410">
          <cell r="C3410" t="str">
            <v>PreferredCA-Mtg Op Int Audit</v>
          </cell>
          <cell r="H3410">
            <v>5032700</v>
          </cell>
          <cell r="AK3410" t="str">
            <v>Mary Louise Radley</v>
          </cell>
        </row>
        <row r="3411">
          <cell r="C3411" t="str">
            <v>ODS Release 8 PHASE 2</v>
          </cell>
          <cell r="H3411">
            <v>5033434</v>
          </cell>
          <cell r="AK3411" t="str">
            <v>Raj Konduru</v>
          </cell>
        </row>
        <row r="3412">
          <cell r="C3412" t="str">
            <v>First Central Savings Bank_RAS</v>
          </cell>
          <cell r="H3412">
            <v>5039634</v>
          </cell>
          <cell r="AK3412" t="str">
            <v>Rebecca Breland</v>
          </cell>
        </row>
        <row r="3413">
          <cell r="C3413" t="str">
            <v>Jeff_RBC Risk PM Ext</v>
          </cell>
          <cell r="H3413">
            <v>5033738</v>
          </cell>
          <cell r="AK3413" t="str">
            <v>Chelsea Mattias</v>
          </cell>
        </row>
        <row r="3414">
          <cell r="C3414" t="str">
            <v>UB_WMG Portf Mgt &amp; Exec (TO 2)</v>
          </cell>
          <cell r="H3414">
            <v>5033961</v>
          </cell>
          <cell r="AK3414" t="str">
            <v>Felix Urquia</v>
          </cell>
        </row>
        <row r="3415">
          <cell r="C3415" t="str">
            <v>Brad_NB UX Intl</v>
          </cell>
          <cell r="H3415">
            <v>5033894</v>
          </cell>
          <cell r="AK3415" t="str">
            <v>Suzana Morais</v>
          </cell>
        </row>
        <row r="3416">
          <cell r="C3416" t="str">
            <v>UB_Digit Transformation (TO 3)</v>
          </cell>
          <cell r="H3416">
            <v>5034103</v>
          </cell>
          <cell r="AK3416" t="str">
            <v>Michael Tao</v>
          </cell>
        </row>
        <row r="3417">
          <cell r="C3417" t="str">
            <v>ICB China-Corp FC Compl Rev</v>
          </cell>
          <cell r="H3417">
            <v>5033911</v>
          </cell>
          <cell r="AK3417" t="str">
            <v>Mary Louise Radley</v>
          </cell>
        </row>
        <row r="3418">
          <cell r="C3418" t="str">
            <v>Brad_NB Delivery Sept Intl</v>
          </cell>
          <cell r="H3418">
            <v>5033910</v>
          </cell>
          <cell r="AK3418" t="str">
            <v>Allison Kent</v>
          </cell>
        </row>
        <row r="3419">
          <cell r="C3419" t="str">
            <v>Jeff_Compliance PM Resource</v>
          </cell>
          <cell r="H3419">
            <v>5031881</v>
          </cell>
          <cell r="AK3419" t="str">
            <v>Chelsea Mattias</v>
          </cell>
        </row>
        <row r="3420">
          <cell r="C3420" t="str">
            <v>Jeff_Murex Day 2 Extn</v>
          </cell>
          <cell r="H3420">
            <v>5033185</v>
          </cell>
          <cell r="AK3420" t="str">
            <v>Chelsea Mattias</v>
          </cell>
        </row>
        <row r="3421">
          <cell r="C3421" t="str">
            <v>LAS Extension</v>
          </cell>
          <cell r="H3421">
            <v>5027977</v>
          </cell>
          <cell r="AK3421" t="str">
            <v>Chinmoy Bhatiya</v>
          </cell>
        </row>
        <row r="3422">
          <cell r="C3422" t="str">
            <v>Jeff_CRM_Impala PM</v>
          </cell>
          <cell r="H3422">
            <v>5033937</v>
          </cell>
          <cell r="AK3422" t="str">
            <v>Ripple Bhullar</v>
          </cell>
        </row>
        <row r="3423">
          <cell r="C3423" t="str">
            <v>Jeff WM Callidus</v>
          </cell>
          <cell r="H3423">
            <v>5034068</v>
          </cell>
          <cell r="AK3423" t="str">
            <v>Robert Norris</v>
          </cell>
        </row>
        <row r="3424">
          <cell r="C3424" t="str">
            <v>Happy State-TRID Lookback</v>
          </cell>
          <cell r="H3424">
            <v>5033885</v>
          </cell>
          <cell r="AK3424" t="str">
            <v>Susan Stevenson</v>
          </cell>
        </row>
        <row r="3425">
          <cell r="C3425" t="str">
            <v>India NY-Server Config Assmnt</v>
          </cell>
          <cell r="H3425">
            <v>5033882</v>
          </cell>
          <cell r="AK3425" t="str">
            <v>David Lott</v>
          </cell>
        </row>
        <row r="3426">
          <cell r="C3426" t="str">
            <v>FrMc_MF Investor Reporting</v>
          </cell>
          <cell r="H3426">
            <v>5033856</v>
          </cell>
          <cell r="AK3426" t="str">
            <v>David Williams</v>
          </cell>
        </row>
        <row r="3427">
          <cell r="C3427" t="str">
            <v>Happy State-CMS Infra Enhance</v>
          </cell>
          <cell r="H3427">
            <v>5033884</v>
          </cell>
          <cell r="AK3427" t="str">
            <v>Randall Patton</v>
          </cell>
        </row>
        <row r="3428">
          <cell r="C3428" t="str">
            <v>FM_L&amp;D Extension</v>
          </cell>
          <cell r="H3428">
            <v>5033959</v>
          </cell>
          <cell r="AK3428" t="str">
            <v>Sabrina Amjad</v>
          </cell>
        </row>
        <row r="3429">
          <cell r="C3429" t="str">
            <v>FrMc_Duty to Srv Energy Effic</v>
          </cell>
          <cell r="H3429">
            <v>5033845</v>
          </cell>
          <cell r="AK3429" t="str">
            <v>Christopher Martines</v>
          </cell>
        </row>
        <row r="3430">
          <cell r="C3430" t="str">
            <v>Members 1st-BSA Ind Test</v>
          </cell>
          <cell r="H3430">
            <v>5033478</v>
          </cell>
          <cell r="AK3430" t="str">
            <v>Charles Mcwilliam</v>
          </cell>
        </row>
        <row r="3431">
          <cell r="C3431" t="str">
            <v>Civitas_Strat Initiatives Exec</v>
          </cell>
          <cell r="H3431">
            <v>5033618</v>
          </cell>
          <cell r="AK3431" t="str">
            <v>David Vasecka</v>
          </cell>
        </row>
        <row r="3432">
          <cell r="C3432" t="str">
            <v>BMO_Analytics Strategy PvtBB</v>
          </cell>
          <cell r="H3432">
            <v>5033935</v>
          </cell>
          <cell r="AK3432" t="str">
            <v>Matthias Daus</v>
          </cell>
        </row>
        <row r="3433">
          <cell r="C3433" t="str">
            <v>CACIB_Reporting</v>
          </cell>
          <cell r="H3433">
            <v>5033548</v>
          </cell>
          <cell r="AK3433" t="str">
            <v>Thanh Le Xuan</v>
          </cell>
        </row>
        <row r="3434">
          <cell r="C3434" t="str">
            <v>Compliance and Innov PM</v>
          </cell>
          <cell r="H3434">
            <v>5033548</v>
          </cell>
          <cell r="AK3434" t="str">
            <v>Thanh Le Xuan</v>
          </cell>
        </row>
        <row r="3435">
          <cell r="C3435" t="str">
            <v>Summit-Loan Reviews</v>
          </cell>
          <cell r="H3435">
            <v>5033774</v>
          </cell>
          <cell r="AK3435" t="str">
            <v>Steve Manitzas</v>
          </cell>
        </row>
        <row r="3436">
          <cell r="C3436" t="str">
            <v>CreditAg_Cyber DFS Compliance</v>
          </cell>
          <cell r="H3436">
            <v>5034014</v>
          </cell>
          <cell r="AK3436" t="str">
            <v>Thanh Le Xuan</v>
          </cell>
        </row>
        <row r="3437">
          <cell r="C3437" t="str">
            <v>Hightower_Digital Wealth</v>
          </cell>
          <cell r="H3437">
            <v>5033918</v>
          </cell>
          <cell r="AK3437" t="str">
            <v>Christopher Woodside</v>
          </cell>
        </row>
        <row r="3438">
          <cell r="C3438" t="str">
            <v>BMO Harris_Remediation Amd3</v>
          </cell>
          <cell r="H3438">
            <v>5032805</v>
          </cell>
          <cell r="AK3438" t="str">
            <v>George Simotas</v>
          </cell>
        </row>
        <row r="3439">
          <cell r="C3439" t="str">
            <v>Jeff Cyber Security Advisory</v>
          </cell>
          <cell r="H3439">
            <v>5034072</v>
          </cell>
          <cell r="AK3439" t="str">
            <v>Jeffrey Gheraldi</v>
          </cell>
        </row>
        <row r="3440">
          <cell r="C3440" t="str">
            <v>MS VMO Special Projects</v>
          </cell>
          <cell r="H3440">
            <v>5033974</v>
          </cell>
          <cell r="AK3440" t="str">
            <v>Dan Schutzman</v>
          </cell>
        </row>
        <row r="3441">
          <cell r="C3441" t="str">
            <v>Jeff Cyber Security Advisory</v>
          </cell>
          <cell r="H3441">
            <v>5034072</v>
          </cell>
          <cell r="AK3441" t="str">
            <v>Jeffrey Gheraldi</v>
          </cell>
        </row>
        <row r="3442">
          <cell r="C3442" t="str">
            <v>FrMc_MF Connect CRM</v>
          </cell>
          <cell r="H3442">
            <v>5033960</v>
          </cell>
          <cell r="AK3442" t="str">
            <v>David Williams</v>
          </cell>
        </row>
        <row r="3443">
          <cell r="C3443" t="str">
            <v>GS_BACM Project Bright</v>
          </cell>
          <cell r="H3443">
            <v>5033934</v>
          </cell>
          <cell r="AK3443" t="str">
            <v>Robert Norris</v>
          </cell>
        </row>
        <row r="3444">
          <cell r="C3444" t="str">
            <v>FrMc_Workload Migration Work</v>
          </cell>
          <cell r="H3444">
            <v>5033984</v>
          </cell>
          <cell r="AK3444" t="str">
            <v>Raj Konduru</v>
          </cell>
        </row>
        <row r="3445">
          <cell r="C3445" t="str">
            <v>GL DFS Reg 187 Program</v>
          </cell>
          <cell r="H3445">
            <v>5034159</v>
          </cell>
          <cell r="AK3445" t="str">
            <v>Phil Kerkel</v>
          </cell>
        </row>
        <row r="3446">
          <cell r="C3446" t="str">
            <v>Amex_LIF Card Accept_PM Sprt</v>
          </cell>
          <cell r="H3446">
            <v>5034041</v>
          </cell>
          <cell r="AK3446" t="str">
            <v>Carl Repoli</v>
          </cell>
        </row>
        <row r="3447">
          <cell r="C3447" t="str">
            <v>BMO_DataGov Datameer Dev II</v>
          </cell>
          <cell r="H3447">
            <v>5033581</v>
          </cell>
          <cell r="AK3447" t="str">
            <v>Matthias Daus</v>
          </cell>
        </row>
        <row r="3448">
          <cell r="C3448" t="str">
            <v>Jeff_CRM PMO</v>
          </cell>
          <cell r="H3448">
            <v>5034268</v>
          </cell>
          <cell r="AK3448" t="str">
            <v>Ripple Bhullar</v>
          </cell>
        </row>
        <row r="3449">
          <cell r="C3449" t="str">
            <v>Brunswick-Due Diligence Rev</v>
          </cell>
          <cell r="H3449">
            <v>5033711</v>
          </cell>
          <cell r="AK3449" t="str">
            <v>Benay Nachin</v>
          </cell>
        </row>
        <row r="3450">
          <cell r="C3450" t="str">
            <v>LBTaiwan NY-2018 Compl Audit</v>
          </cell>
          <cell r="H3450">
            <v>5034059</v>
          </cell>
          <cell r="AK3450" t="str">
            <v>Mary Louise Radley</v>
          </cell>
        </row>
        <row r="3451">
          <cell r="C3451" t="str">
            <v>TTRO CTB Incremental</v>
          </cell>
          <cell r="H3451">
            <v>5031618</v>
          </cell>
          <cell r="AK3451" t="str">
            <v>Mitali Drews</v>
          </cell>
        </row>
        <row r="3452">
          <cell r="C3452" t="str">
            <v>FM_DATI Amd 1</v>
          </cell>
          <cell r="H3452">
            <v>5033629</v>
          </cell>
          <cell r="AK3452" t="str">
            <v>Sabrina Amjad</v>
          </cell>
        </row>
        <row r="3453">
          <cell r="C3453" t="str">
            <v>UBS_CCAR Support</v>
          </cell>
          <cell r="H3453">
            <v>5034283</v>
          </cell>
          <cell r="AK3453" t="str">
            <v>Daniel Holness</v>
          </cell>
        </row>
        <row r="3454">
          <cell r="C3454" t="str">
            <v>FrMc_Selling System Mod</v>
          </cell>
          <cell r="H3454">
            <v>5033967</v>
          </cell>
          <cell r="AK3454" t="str">
            <v>Dennis Bassich</v>
          </cell>
        </row>
        <row r="3455">
          <cell r="C3455" t="str">
            <v>Santander_Infosec Standards</v>
          </cell>
          <cell r="H3455">
            <v>5034194</v>
          </cell>
          <cell r="AK3455" t="str">
            <v>Ridha Mesli</v>
          </cell>
        </row>
        <row r="3456">
          <cell r="C3456" t="str">
            <v>SterlingBT-Policy &amp; Proc Rev</v>
          </cell>
          <cell r="H3456">
            <v>5034062</v>
          </cell>
          <cell r="AK3456" t="str">
            <v>Lisa Feistritzer</v>
          </cell>
        </row>
        <row r="3457">
          <cell r="C3457" t="str">
            <v>Commercial-ExtPenTstIntVulScan</v>
          </cell>
          <cell r="H3457">
            <v>5034051</v>
          </cell>
          <cell r="AK3457" t="str">
            <v>David Lott</v>
          </cell>
        </row>
        <row r="3458">
          <cell r="C3458" t="str">
            <v>Happy State-TRID PstCls QC Rev</v>
          </cell>
          <cell r="H3458">
            <v>5033890</v>
          </cell>
          <cell r="AK3458" t="str">
            <v>Dennis Smith</v>
          </cell>
        </row>
        <row r="3459">
          <cell r="C3459" t="str">
            <v>DB_AFC T&amp;R Support</v>
          </cell>
          <cell r="H3459">
            <v>5034116</v>
          </cell>
          <cell r="AK3459" t="str">
            <v>Jason Malcolm</v>
          </cell>
        </row>
        <row r="3460">
          <cell r="C3460" t="str">
            <v>UBS_WMA ICAP PM</v>
          </cell>
          <cell r="H3460">
            <v>5034093</v>
          </cell>
          <cell r="AK3460" t="str">
            <v>Michael Zambon</v>
          </cell>
        </row>
        <row r="3461">
          <cell r="C3461" t="str">
            <v>UB_CBT RCM PSRA SPT (TO 4)</v>
          </cell>
          <cell r="H3461">
            <v>5034105</v>
          </cell>
          <cell r="AK3461" t="str">
            <v>Adrian Ungureanu</v>
          </cell>
        </row>
        <row r="3462">
          <cell r="C3462" t="str">
            <v>BMO Harris_Data Gov Acq Sup</v>
          </cell>
          <cell r="H3462">
            <v>5033307</v>
          </cell>
          <cell r="AK3462" t="str">
            <v>Kyle Marynowski</v>
          </cell>
        </row>
        <row r="3463">
          <cell r="C3463" t="str">
            <v>CA_Reporting Permanent Control</v>
          </cell>
          <cell r="H3463">
            <v>5033548</v>
          </cell>
          <cell r="AK3463" t="str">
            <v>Thanh Le Xuan</v>
          </cell>
        </row>
        <row r="3464">
          <cell r="C3464" t="str">
            <v>DB PWCC - Data Sci Oct 2018</v>
          </cell>
          <cell r="H3464">
            <v>5034217</v>
          </cell>
          <cell r="AK3464" t="str">
            <v>Matthew Faraone</v>
          </cell>
        </row>
        <row r="3465">
          <cell r="C3465" t="str">
            <v>Marine B&amp;T-CMS Rev</v>
          </cell>
          <cell r="H3465">
            <v>5032288</v>
          </cell>
          <cell r="AK3465" t="str">
            <v>Zebulon Green</v>
          </cell>
        </row>
        <row r="3466">
          <cell r="C3466" t="str">
            <v>FNB Sioux-FL Anal &amp; File Rev</v>
          </cell>
          <cell r="H3466">
            <v>5033906</v>
          </cell>
          <cell r="AK3466" t="str">
            <v>Paula Witt</v>
          </cell>
        </row>
        <row r="3467">
          <cell r="C3467" t="str">
            <v>Enterprise-Fair Lending RA</v>
          </cell>
          <cell r="H3467">
            <v>5033783</v>
          </cell>
          <cell r="AK3467" t="str">
            <v>Paula Witt</v>
          </cell>
        </row>
        <row r="3468">
          <cell r="C3468" t="str">
            <v>FrMc_Investor ReportPMO Ext</v>
          </cell>
          <cell r="H3468">
            <v>5031735</v>
          </cell>
          <cell r="AK3468" t="str">
            <v>John Napolitano</v>
          </cell>
        </row>
        <row r="3469">
          <cell r="C3469" t="str">
            <v>City Ntl FL-BSA Alert Clearing</v>
          </cell>
          <cell r="H3469">
            <v>5034135</v>
          </cell>
          <cell r="AK3469" t="str">
            <v>Ginger Dahlin</v>
          </cell>
        </row>
        <row r="3470">
          <cell r="C3470" t="str">
            <v>UBS_WM Collibra Support</v>
          </cell>
          <cell r="H3470">
            <v>5034177</v>
          </cell>
          <cell r="AK3470" t="str">
            <v>Daniel Holness</v>
          </cell>
        </row>
        <row r="3471">
          <cell r="C3471" t="str">
            <v>UB_RCM &amp; PSRA Spt (TO 6)</v>
          </cell>
          <cell r="H3471">
            <v>5034221</v>
          </cell>
          <cell r="AK3471" t="str">
            <v>Adrian Ungureanu</v>
          </cell>
        </row>
        <row r="3472">
          <cell r="C3472" t="str">
            <v>Jeff_Oracle Program Mgr</v>
          </cell>
          <cell r="H3472">
            <v>5034087</v>
          </cell>
          <cell r="AK3472" t="str">
            <v>Jeffrey Gheraldi</v>
          </cell>
        </row>
        <row r="3473">
          <cell r="C3473" t="str">
            <v>Ridgewood ACH RA</v>
          </cell>
          <cell r="H3473">
            <v>5034160</v>
          </cell>
          <cell r="AK3473" t="str">
            <v>Robert Farmer</v>
          </cell>
        </row>
        <row r="3474">
          <cell r="C3474" t="str">
            <v>Brad_Next Bank Oct INTL 2018</v>
          </cell>
          <cell r="H3474">
            <v>5034184</v>
          </cell>
          <cell r="AK3474" t="str">
            <v>Allison Kent</v>
          </cell>
        </row>
        <row r="3475">
          <cell r="C3475" t="str">
            <v>Delaware FEA-Compl 18 Training</v>
          </cell>
          <cell r="H3475">
            <v>5034226</v>
          </cell>
          <cell r="AK3475" t="str">
            <v>Rebecca Breland</v>
          </cell>
        </row>
        <row r="3476">
          <cell r="C3476" t="str">
            <v>BMOHarris-Compl Pre-Reviews II</v>
          </cell>
          <cell r="H3476">
            <v>5034322</v>
          </cell>
          <cell r="AK3476" t="str">
            <v>Paul Brinker</v>
          </cell>
        </row>
        <row r="3477">
          <cell r="C3477" t="str">
            <v>Jeff_CRM Prog. Mgmt Extension</v>
          </cell>
          <cell r="H3477">
            <v>5034266</v>
          </cell>
          <cell r="AK3477" t="str">
            <v>Ripple Bhullar</v>
          </cell>
        </row>
        <row r="3478">
          <cell r="C3478" t="str">
            <v>PNC_Retail Assets Pro Sup Amd1</v>
          </cell>
          <cell r="H3478">
            <v>5032713</v>
          </cell>
          <cell r="AK3478" t="str">
            <v>Michael Crumpler</v>
          </cell>
        </row>
        <row r="3479">
          <cell r="C3479" t="str">
            <v>Axiom-ERM License</v>
          </cell>
          <cell r="H3479">
            <v>5034138</v>
          </cell>
          <cell r="AK3479" t="str">
            <v>Tania Makuh</v>
          </cell>
        </row>
        <row r="3480">
          <cell r="C3480" t="str">
            <v>UB_Cavalier PM Support TO9</v>
          </cell>
          <cell r="H3480">
            <v>5034286</v>
          </cell>
          <cell r="AK3480" t="str">
            <v>Michael Tao</v>
          </cell>
        </row>
        <row r="3481">
          <cell r="C3481" t="str">
            <v>First Security Bank_RAS</v>
          </cell>
          <cell r="H3481">
            <v>5039498</v>
          </cell>
          <cell r="AK3481" t="str">
            <v>Diane Banks</v>
          </cell>
        </row>
        <row r="3482">
          <cell r="C3482" t="str">
            <v>UBS_DMO CCAR Risk Finance</v>
          </cell>
          <cell r="H3482">
            <v>5034274</v>
          </cell>
          <cell r="AK3482" t="str">
            <v>Daniel Holness</v>
          </cell>
        </row>
        <row r="3483">
          <cell r="C3483" t="str">
            <v>GS QFC Q4</v>
          </cell>
          <cell r="H3483">
            <v>5033362</v>
          </cell>
          <cell r="AK3483" t="str">
            <v>Robert Norris</v>
          </cell>
        </row>
        <row r="3484">
          <cell r="C3484" t="str">
            <v>Country NY-ACH Risk Assmnt</v>
          </cell>
          <cell r="H3484">
            <v>5033857</v>
          </cell>
          <cell r="AK3484" t="str">
            <v>Robert Farmer</v>
          </cell>
        </row>
        <row r="3485">
          <cell r="C3485" t="str">
            <v>Liberty Bank_CA_RAS</v>
          </cell>
          <cell r="H3485">
            <v>5039677</v>
          </cell>
          <cell r="AK3485" t="str">
            <v>Travis Peraza</v>
          </cell>
        </row>
        <row r="3486">
          <cell r="C3486" t="str">
            <v>Country NY-ACH Rules Audit</v>
          </cell>
          <cell r="H3486">
            <v>5033907</v>
          </cell>
          <cell r="AK3486" t="str">
            <v>Mary Louise Radley</v>
          </cell>
        </row>
        <row r="3487">
          <cell r="C3487" t="str">
            <v>Brad_INTL_Corretora Pln Phase</v>
          </cell>
          <cell r="H3487">
            <v>5034131</v>
          </cell>
          <cell r="AK3487" t="str">
            <v>DELETED USER</v>
          </cell>
        </row>
        <row r="3488">
          <cell r="C3488" t="str">
            <v>Shoko-BSA System Verification</v>
          </cell>
          <cell r="H3488">
            <v>5033793</v>
          </cell>
          <cell r="AK3488" t="str">
            <v>James Demieri</v>
          </cell>
        </row>
        <row r="3489">
          <cell r="C3489" t="str">
            <v>LB Taiwan NY-BSA Indepndt Test</v>
          </cell>
          <cell r="H3489">
            <v>5033985</v>
          </cell>
          <cell r="AK3489" t="str">
            <v>William Sachs</v>
          </cell>
        </row>
        <row r="3490">
          <cell r="C3490" t="str">
            <v>MS_Tech_Workflow</v>
          </cell>
          <cell r="H3490">
            <v>5034210</v>
          </cell>
          <cell r="AK3490" t="str">
            <v>Rad Ashok</v>
          </cell>
        </row>
        <row r="3491">
          <cell r="C3491" t="str">
            <v>GL_RIA Growth Strategy</v>
          </cell>
          <cell r="H3491">
            <v>5034096</v>
          </cell>
          <cell r="AK3491" t="str">
            <v>Greg Negron</v>
          </cell>
        </row>
        <row r="3492">
          <cell r="C3492" t="str">
            <v>FrMc__BIA</v>
          </cell>
          <cell r="H3492">
            <v>5034161</v>
          </cell>
          <cell r="AK3492" t="str">
            <v>Karl Augenstein</v>
          </cell>
        </row>
        <row r="3493">
          <cell r="C3493" t="str">
            <v>UB_TO5 UCL - PM</v>
          </cell>
          <cell r="H3493">
            <v>5034205</v>
          </cell>
          <cell r="AK3493" t="str">
            <v>Justin Hayden</v>
          </cell>
        </row>
        <row r="3494">
          <cell r="C3494" t="str">
            <v>SanDiegoCCU-ERM Consulting</v>
          </cell>
          <cell r="H3494">
            <v>5034321</v>
          </cell>
          <cell r="AK3494" t="str">
            <v>Allan Cuttle</v>
          </cell>
        </row>
        <row r="3495">
          <cell r="C3495" t="str">
            <v>Veritex-CRE StrTst ModVal2</v>
          </cell>
          <cell r="H3495">
            <v>5029567</v>
          </cell>
          <cell r="AK3495" t="str">
            <v>Denise Rinear</v>
          </cell>
        </row>
        <row r="3496">
          <cell r="C3496" t="str">
            <v>Commerce Bank_RAS</v>
          </cell>
          <cell r="H3496">
            <v>5039470</v>
          </cell>
          <cell r="AK3496" t="str">
            <v>Rebecca Breland</v>
          </cell>
        </row>
        <row r="3497">
          <cell r="C3497" t="str">
            <v>BMO_Spotfire Ph10</v>
          </cell>
          <cell r="H3497">
            <v>5028321</v>
          </cell>
          <cell r="AK3497" t="str">
            <v>Matthias Daus</v>
          </cell>
        </row>
        <row r="3498">
          <cell r="C3498" t="str">
            <v>Summit-BSA Rules Tuning</v>
          </cell>
          <cell r="H3498">
            <v>5034253</v>
          </cell>
          <cell r="AK3498" t="str">
            <v>Steve Manitzas</v>
          </cell>
        </row>
        <row r="3499">
          <cell r="C3499" t="str">
            <v>CSS_Ops PM Ext 2</v>
          </cell>
          <cell r="H3499">
            <v>5032868</v>
          </cell>
          <cell r="AK3499" t="str">
            <v>Katie Hermann</v>
          </cell>
        </row>
        <row r="3500">
          <cell r="C3500" t="str">
            <v>FrMc_ ODS Release 9</v>
          </cell>
          <cell r="H3500">
            <v>5034176</v>
          </cell>
          <cell r="AK3500" t="str">
            <v>David Williams</v>
          </cell>
        </row>
        <row r="3501">
          <cell r="C3501" t="str">
            <v>Bank United_Digital Transform</v>
          </cell>
          <cell r="H3501">
            <v>5034278</v>
          </cell>
          <cell r="AK3501" t="str">
            <v>Kevin Miologos</v>
          </cell>
        </row>
        <row r="3502">
          <cell r="C3502" t="str">
            <v>SFLCA DepComplTraining</v>
          </cell>
          <cell r="H3502">
            <v>5034141</v>
          </cell>
          <cell r="AK3502" t="str">
            <v>Rebecca Breland</v>
          </cell>
        </row>
        <row r="3503">
          <cell r="C3503" t="str">
            <v>HB_OMNI Execution</v>
          </cell>
          <cell r="H3503">
            <v>5034395</v>
          </cell>
          <cell r="AK3503" t="str">
            <v>Samuel Awsumb</v>
          </cell>
        </row>
        <row r="3504">
          <cell r="C3504" t="str">
            <v>Happy State-BSAAMLOFAC</v>
          </cell>
          <cell r="H3504">
            <v>5033968</v>
          </cell>
          <cell r="AK3504" t="str">
            <v>Benay Nachin</v>
          </cell>
        </row>
        <row r="3505">
          <cell r="C3505" t="str">
            <v>UniBANK Acting Chief Compl Off</v>
          </cell>
          <cell r="H3505">
            <v>5034227</v>
          </cell>
          <cell r="AK3505" t="str">
            <v>Pamela Acciardo</v>
          </cell>
        </row>
        <row r="3506">
          <cell r="C3506" t="str">
            <v>MS_ISG Div Mgmt COO Support</v>
          </cell>
          <cell r="H3506">
            <v>5031618</v>
          </cell>
          <cell r="AK3506" t="str">
            <v>Mitali Drews</v>
          </cell>
        </row>
        <row r="3507">
          <cell r="C3507" t="str">
            <v>RBC_BusCapabilityTech Roadmap</v>
          </cell>
          <cell r="H3507">
            <v>5034350</v>
          </cell>
          <cell r="AK3507" t="str">
            <v>Jeffrey Bordan</v>
          </cell>
        </row>
        <row r="3508">
          <cell r="C3508" t="str">
            <v>First National Com Bank_PA_RAS</v>
          </cell>
          <cell r="H3508">
            <v>5039650</v>
          </cell>
          <cell r="AK3508" t="str">
            <v>Diane Banks</v>
          </cell>
        </row>
        <row r="3509">
          <cell r="C3509" t="str">
            <v>UBS_WMA Credit Cards Ext</v>
          </cell>
          <cell r="H3509">
            <v>5032615</v>
          </cell>
          <cell r="AK3509" t="str">
            <v>Matthew Faraone</v>
          </cell>
        </row>
        <row r="3510">
          <cell r="C3510" t="str">
            <v>UBS_Project Hamilton Phase 2</v>
          </cell>
          <cell r="H3510">
            <v>5034308</v>
          </cell>
          <cell r="AK3510" t="str">
            <v>Matthew Berkowitz</v>
          </cell>
        </row>
        <row r="3511">
          <cell r="C3511" t="str">
            <v>MS Advisory Tech PM Ext</v>
          </cell>
          <cell r="H3511">
            <v>5032478</v>
          </cell>
          <cell r="AK3511" t="str">
            <v>Ian Lightfoot</v>
          </cell>
        </row>
        <row r="3512">
          <cell r="C3512" t="str">
            <v>FrMc_BIA and Bus Continuity</v>
          </cell>
          <cell r="H3512">
            <v>5034243</v>
          </cell>
          <cell r="AK3512" t="str">
            <v>Karl Augenstein</v>
          </cell>
        </row>
        <row r="3513">
          <cell r="C3513" t="str">
            <v>Jeff_Transcend Implementation</v>
          </cell>
          <cell r="H3513">
            <v>5034401</v>
          </cell>
          <cell r="AK3513" t="str">
            <v>Jon Herna</v>
          </cell>
        </row>
        <row r="3514">
          <cell r="C3514" t="str">
            <v>Rosedale-ERM Consulting</v>
          </cell>
          <cell r="H3514">
            <v>5034265</v>
          </cell>
          <cell r="AK3514" t="str">
            <v>Denise Rinear</v>
          </cell>
        </row>
        <row r="3515">
          <cell r="C3515" t="str">
            <v>Metro CU-Policy Review</v>
          </cell>
          <cell r="H3515">
            <v>5034260</v>
          </cell>
          <cell r="AK3515" t="str">
            <v>Jamar Green</v>
          </cell>
        </row>
        <row r="3516">
          <cell r="C3516" t="str">
            <v>Mutual Bank-HMDA Training</v>
          </cell>
          <cell r="H3516">
            <v>5034261</v>
          </cell>
          <cell r="AK3516" t="str">
            <v>Leigh Tribou</v>
          </cell>
        </row>
        <row r="3517">
          <cell r="C3517" t="str">
            <v>UBS CDO - Records Mgmt</v>
          </cell>
          <cell r="H3517">
            <v>5034382</v>
          </cell>
          <cell r="AK3517" t="str">
            <v>Daniel Holness</v>
          </cell>
        </row>
        <row r="3518">
          <cell r="C3518" t="str">
            <v>Happy State-HMDA Data Int Rev</v>
          </cell>
          <cell r="H3518">
            <v>5034267</v>
          </cell>
          <cell r="AK3518" t="str">
            <v>Juan Pimentel</v>
          </cell>
        </row>
        <row r="3519">
          <cell r="C3519" t="str">
            <v>FrMc_MF Investor Reporting II</v>
          </cell>
          <cell r="H3519">
            <v>5034285</v>
          </cell>
          <cell r="AK3519" t="str">
            <v>David Williams</v>
          </cell>
        </row>
        <row r="3520">
          <cell r="C3520" t="str">
            <v>Bryn Mawr - Compl Monitoring</v>
          </cell>
          <cell r="H3520">
            <v>5034368</v>
          </cell>
          <cell r="AK3520" t="str">
            <v>Elizabeth Rozsa</v>
          </cell>
        </row>
        <row r="3521">
          <cell r="C3521" t="str">
            <v>FrMc_ LAS Ext 2019</v>
          </cell>
          <cell r="H3521">
            <v>5034559</v>
          </cell>
          <cell r="AK3521" t="str">
            <v>Chinmoy Bhatiya</v>
          </cell>
        </row>
        <row r="3522">
          <cell r="C3522" t="str">
            <v>FM_Digital Alliance Goal/KPIs</v>
          </cell>
          <cell r="H3522">
            <v>5034239</v>
          </cell>
          <cell r="AK3522" t="str">
            <v>Ashley Blake</v>
          </cell>
        </row>
        <row r="3523">
          <cell r="C3523" t="str">
            <v>UBS_Clearing Market-Entry</v>
          </cell>
          <cell r="H3523">
            <v>5034434</v>
          </cell>
          <cell r="AK3523" t="str">
            <v>Michael Zambon</v>
          </cell>
        </row>
        <row r="3524">
          <cell r="C3524" t="str">
            <v>FID PM/BA Ext</v>
          </cell>
          <cell r="H3524">
            <v>5029521</v>
          </cell>
          <cell r="AK3524" t="str">
            <v>Mitali Drews</v>
          </cell>
        </row>
        <row r="3525">
          <cell r="C3525" t="str">
            <v>Civitas_Core+Talent Mgmt Ext</v>
          </cell>
          <cell r="H3525">
            <v>5034396</v>
          </cell>
          <cell r="AK3525" t="str">
            <v>Mary Willetts</v>
          </cell>
        </row>
        <row r="3526">
          <cell r="C3526" t="str">
            <v>CitizensBTC-BSA Ind Test</v>
          </cell>
          <cell r="H3526">
            <v>5032716</v>
          </cell>
          <cell r="AK3526" t="str">
            <v>Charles Mcwilliam</v>
          </cell>
        </row>
        <row r="3527">
          <cell r="C3527" t="str">
            <v>MainStreet-CMS Gap Review</v>
          </cell>
          <cell r="H3527">
            <v>5034277</v>
          </cell>
          <cell r="AK3527" t="str">
            <v>Steve Manitzas</v>
          </cell>
        </row>
        <row r="3528">
          <cell r="C3528" t="str">
            <v>Capitol Fed Svgs-Verafin BSA</v>
          </cell>
          <cell r="H3528">
            <v>5034341</v>
          </cell>
          <cell r="AK3528" t="str">
            <v>William Sachs</v>
          </cell>
        </row>
        <row r="3529">
          <cell r="C3529" t="str">
            <v>BarCap_CCAR Data Mgmt Oct Dec</v>
          </cell>
          <cell r="H3529">
            <v>5034282</v>
          </cell>
          <cell r="AK3529" t="str">
            <v>Aditya Udas</v>
          </cell>
        </row>
        <row r="3530">
          <cell r="C3530" t="str">
            <v>ICBC NY - Regulatory Updates</v>
          </cell>
          <cell r="H3530">
            <v>5034379</v>
          </cell>
          <cell r="AK3530" t="str">
            <v>Leah Robinson</v>
          </cell>
        </row>
        <row r="3531">
          <cell r="C3531" t="str">
            <v>BMO Harris_FDIC Remediate Amd4</v>
          </cell>
          <cell r="H3531">
            <v>5032805</v>
          </cell>
          <cell r="AK3531" t="str">
            <v>George Simotas</v>
          </cell>
        </row>
        <row r="3532">
          <cell r="C3532" t="str">
            <v>DFS 500 CyberAudit rsc add</v>
          </cell>
          <cell r="H3532">
            <v>5034014</v>
          </cell>
          <cell r="AK3532" t="str">
            <v>Thanh Le Xuan</v>
          </cell>
        </row>
        <row r="3533">
          <cell r="C3533" t="str">
            <v>AuraMrtg-CMS Opt-RMSC</v>
          </cell>
          <cell r="H3533">
            <v>5034400</v>
          </cell>
          <cell r="AK3533" t="str">
            <v>Leigh Tribou</v>
          </cell>
        </row>
        <row r="3534">
          <cell r="C3534" t="str">
            <v>Adirondack Bank-ERM Training</v>
          </cell>
          <cell r="H3534">
            <v>5034404</v>
          </cell>
          <cell r="AK3534" t="str">
            <v>Allan Cuttle</v>
          </cell>
        </row>
        <row r="3535">
          <cell r="C3535" t="str">
            <v>UB_ATM Extension - TO8</v>
          </cell>
          <cell r="H3535">
            <v>5034299</v>
          </cell>
          <cell r="AK3535" t="str">
            <v>Scott Jurgensen</v>
          </cell>
        </row>
        <row r="3536">
          <cell r="C3536" t="str">
            <v>5th3rd_CapMkts Support</v>
          </cell>
          <cell r="H3536">
            <v>5034372</v>
          </cell>
          <cell r="AK3536" t="str">
            <v>Tulsi Mehta</v>
          </cell>
        </row>
        <row r="3537">
          <cell r="C3537" t="str">
            <v>2018 Compl.Training Webinars</v>
          </cell>
          <cell r="H3537">
            <v>5034741</v>
          </cell>
          <cell r="AK3537" t="str">
            <v>Rebecca Breland</v>
          </cell>
        </row>
        <row r="3538">
          <cell r="C3538" t="str">
            <v>MS VMO Special Projects</v>
          </cell>
          <cell r="H3538">
            <v>5033974</v>
          </cell>
          <cell r="AK3538" t="str">
            <v>Dan Schutzman</v>
          </cell>
        </row>
        <row r="3539">
          <cell r="C3539" t="str">
            <v>BPR - Treasury - AMD 19</v>
          </cell>
          <cell r="H3539">
            <v>5032790</v>
          </cell>
          <cell r="AK3539" t="str">
            <v>Karl Augenstein</v>
          </cell>
        </row>
        <row r="3540">
          <cell r="C3540" t="str">
            <v>DT Client Onboarding</v>
          </cell>
          <cell r="H3540">
            <v>5031618</v>
          </cell>
          <cell r="AK3540" t="str">
            <v>Mitali Drews</v>
          </cell>
        </row>
        <row r="3541">
          <cell r="C3541" t="str">
            <v>Santander_NYDFS Assessment</v>
          </cell>
          <cell r="H3541">
            <v>5034418</v>
          </cell>
          <cell r="AK3541" t="str">
            <v>Ridha Mesli</v>
          </cell>
        </row>
        <row r="3542">
          <cell r="C3542" t="str">
            <v>Roosevelt-Cyber RiskAssess 18</v>
          </cell>
          <cell r="H3542">
            <v>5030024</v>
          </cell>
          <cell r="AK3542" t="str">
            <v>Robert Farmer</v>
          </cell>
        </row>
        <row r="3543">
          <cell r="C3543" t="str">
            <v>BMO Harris_Comm Ops &amp; BI</v>
          </cell>
          <cell r="H3543">
            <v>5034417</v>
          </cell>
          <cell r="AK3543" t="str">
            <v>Matthias Daus</v>
          </cell>
        </row>
        <row r="3544">
          <cell r="C3544" t="str">
            <v>City Ntl FL-RMSC Alert Clrng</v>
          </cell>
          <cell r="H3544">
            <v>5034414</v>
          </cell>
          <cell r="AK3544" t="str">
            <v>Ginger Dahlin</v>
          </cell>
        </row>
        <row r="3545">
          <cell r="C3545" t="str">
            <v>Brad_NB Nov 2018 INTL</v>
          </cell>
          <cell r="H3545">
            <v>5034383</v>
          </cell>
          <cell r="AK3545" t="str">
            <v>Allison Kent</v>
          </cell>
        </row>
        <row r="3546">
          <cell r="C3546" t="str">
            <v>BMO_FDIC 370 AMD CO 5</v>
          </cell>
          <cell r="H3546">
            <v>5032805</v>
          </cell>
          <cell r="AK3546" t="str">
            <v>George Simotas</v>
          </cell>
        </row>
        <row r="3547">
          <cell r="C3547" t="str">
            <v>Alight Sol-OFAC Consulting</v>
          </cell>
          <cell r="H3547">
            <v>5034312</v>
          </cell>
          <cell r="AK3547" t="str">
            <v>Mary Louise Radley</v>
          </cell>
        </row>
        <row r="3548">
          <cell r="C3548" t="str">
            <v>CSS_PMO Leader &amp; Support Co5</v>
          </cell>
          <cell r="H3548">
            <v>5029379</v>
          </cell>
          <cell r="AK3548" t="str">
            <v>John Hickman</v>
          </cell>
        </row>
        <row r="3549">
          <cell r="C3549" t="str">
            <v>WF-OPS PME Setts UAT Ext</v>
          </cell>
          <cell r="H3549">
            <v>5030081</v>
          </cell>
          <cell r="AK3549" t="str">
            <v>Edward Kelley</v>
          </cell>
        </row>
        <row r="3550">
          <cell r="C3550" t="str">
            <v>Silvergate Bk-Risk Model&amp;Rules</v>
          </cell>
          <cell r="H3550">
            <v>5034405</v>
          </cell>
          <cell r="AK3550" t="str">
            <v>DELETED USER</v>
          </cell>
        </row>
        <row r="3551">
          <cell r="C3551" t="str">
            <v>ChainBridge-LoanServ CmplAudit</v>
          </cell>
          <cell r="H3551">
            <v>5029812</v>
          </cell>
          <cell r="AK3551" t="str">
            <v>W. Annette Dredden</v>
          </cell>
        </row>
        <row r="3552">
          <cell r="C3552" t="str">
            <v>SabalTrust-BSA WM Audits</v>
          </cell>
          <cell r="H3552">
            <v>5033909</v>
          </cell>
          <cell r="AK3552" t="str">
            <v>Mary Louise Radley</v>
          </cell>
        </row>
        <row r="3553">
          <cell r="C3553" t="str">
            <v>WF_Collat&amp;Wires Analysis Amd 2</v>
          </cell>
          <cell r="H3553">
            <v>5031376</v>
          </cell>
          <cell r="AK3553" t="str">
            <v>Edward Kelley</v>
          </cell>
        </row>
        <row r="3554">
          <cell r="C3554" t="str">
            <v>TrustCoBank-CMS Staff Aug</v>
          </cell>
          <cell r="H3554">
            <v>5034403</v>
          </cell>
          <cell r="AK3554" t="str">
            <v>Leigh Tribou</v>
          </cell>
        </row>
        <row r="3555">
          <cell r="C3555" t="str">
            <v>RBCUS - Qlik Salesbook</v>
          </cell>
          <cell r="H3555">
            <v>5034377</v>
          </cell>
          <cell r="AK3555" t="str">
            <v>Jason Malcolm</v>
          </cell>
        </row>
        <row r="3556">
          <cell r="C3556" t="str">
            <v>FM_DATI Program Office Setup</v>
          </cell>
          <cell r="H3556">
            <v>5034445</v>
          </cell>
          <cell r="AK3556" t="str">
            <v>Sabrina Amjad</v>
          </cell>
        </row>
        <row r="3557">
          <cell r="C3557" t="str">
            <v>CSS_Portfolio Management Amd1</v>
          </cell>
          <cell r="H3557">
            <v>5033316</v>
          </cell>
          <cell r="AK3557" t="str">
            <v>John Hickman</v>
          </cell>
        </row>
        <row r="3558">
          <cell r="C3558" t="str">
            <v>SanDiegoCCU-ERM License</v>
          </cell>
          <cell r="H3558">
            <v>5034323</v>
          </cell>
          <cell r="AK3558" t="str">
            <v>Tania Makuh</v>
          </cell>
        </row>
        <row r="3559">
          <cell r="C3559" t="str">
            <v>RBCUS - QLIK Dev and Infra</v>
          </cell>
          <cell r="H3559">
            <v>5034393</v>
          </cell>
          <cell r="AK3559" t="str">
            <v>Jason Malcolm</v>
          </cell>
        </row>
        <row r="3560">
          <cell r="C3560" t="str">
            <v>1stCentral-Website Review</v>
          </cell>
          <cell r="H3560">
            <v>5034313</v>
          </cell>
          <cell r="AK3560" t="str">
            <v>Mariana Dumanovsky</v>
          </cell>
        </row>
        <row r="3561">
          <cell r="C3561" t="str">
            <v>ICB China US-RCM Monitoring</v>
          </cell>
          <cell r="H3561">
            <v>5034487</v>
          </cell>
          <cell r="AK3561" t="str">
            <v>Leah Robinson</v>
          </cell>
        </row>
        <row r="3562">
          <cell r="C3562" t="str">
            <v>MS S&amp;A Nov Dec BA Extension</v>
          </cell>
          <cell r="H3562">
            <v>5028614</v>
          </cell>
          <cell r="AK3562" t="str">
            <v>Jennifer Hsiung</v>
          </cell>
        </row>
        <row r="3563">
          <cell r="C3563" t="str">
            <v>MS S&amp;A Nov/Dec Extensions</v>
          </cell>
          <cell r="H3563">
            <v>5028614</v>
          </cell>
          <cell r="AK3563" t="str">
            <v>Jennifer Hsiung</v>
          </cell>
        </row>
        <row r="3564">
          <cell r="C3564" t="str">
            <v>Cape Cod 5c-GLBA Prog Consul</v>
          </cell>
          <cell r="H3564">
            <v>5033986</v>
          </cell>
          <cell r="AK3564" t="str">
            <v>David Lott</v>
          </cell>
        </row>
        <row r="3565">
          <cell r="C3565" t="str">
            <v>Kearny-Reg Compliance Reviews</v>
          </cell>
          <cell r="H3565">
            <v>5034451</v>
          </cell>
          <cell r="AK3565" t="str">
            <v>Bonita Riccaboni</v>
          </cell>
        </row>
        <row r="3566">
          <cell r="C3566" t="str">
            <v>UB_Sales Practice MRA-TO12</v>
          </cell>
          <cell r="H3566">
            <v>5034432</v>
          </cell>
          <cell r="AK3566" t="str">
            <v>Betsy Cherian</v>
          </cell>
        </row>
        <row r="3567">
          <cell r="C3567" t="str">
            <v>FM_Connect_AMD1</v>
          </cell>
          <cell r="H3567">
            <v>5033844</v>
          </cell>
          <cell r="AK3567" t="str">
            <v>Daragh Fitzpatrick</v>
          </cell>
        </row>
        <row r="3568">
          <cell r="C3568" t="str">
            <v>FM_Operational Risk Mgmt</v>
          </cell>
          <cell r="H3568">
            <v>5034456</v>
          </cell>
          <cell r="AK3568" t="str">
            <v>Allan Cuttle</v>
          </cell>
        </row>
        <row r="3569">
          <cell r="C3569" t="str">
            <v>MS VMO Data Analyst Extension</v>
          </cell>
          <cell r="H3569">
            <v>5033656</v>
          </cell>
          <cell r="AK3569" t="str">
            <v>Dan Schutzman</v>
          </cell>
        </row>
        <row r="3570">
          <cell r="C3570" t="str">
            <v>FirstAmerican-2018 Q3 HMDA Rev</v>
          </cell>
          <cell r="H3570">
            <v>5034435</v>
          </cell>
          <cell r="AK3570" t="str">
            <v>Juan Pimentel</v>
          </cell>
        </row>
        <row r="3571">
          <cell r="C3571" t="str">
            <v>MS PBO LaL Testing</v>
          </cell>
          <cell r="H3571">
            <v>5027949</v>
          </cell>
          <cell r="AK3571" t="str">
            <v>Mary Huang</v>
          </cell>
        </row>
        <row r="3572">
          <cell r="C3572" t="str">
            <v>MS_Compliance Reg Reporting</v>
          </cell>
          <cell r="H3572">
            <v>5034360</v>
          </cell>
          <cell r="AK3572" t="str">
            <v>James St. Jean</v>
          </cell>
        </row>
        <row r="3573">
          <cell r="C3573" t="str">
            <v>BasePoint-CMS Review</v>
          </cell>
          <cell r="H3573">
            <v>5034452</v>
          </cell>
          <cell r="AK3573" t="str">
            <v>Joseph Schmidt</v>
          </cell>
        </row>
        <row r="3574">
          <cell r="C3574" t="str">
            <v>Mutual Bank-HMDA Staff Augment</v>
          </cell>
          <cell r="H3574">
            <v>5034436</v>
          </cell>
          <cell r="AK3574" t="str">
            <v>Juan Pimentel</v>
          </cell>
        </row>
        <row r="3575">
          <cell r="C3575" t="str">
            <v>1st Colonial BSAAMLRA</v>
          </cell>
          <cell r="H3575">
            <v>5034163</v>
          </cell>
          <cell r="AK3575" t="str">
            <v>Benay Nachin</v>
          </cell>
        </row>
        <row r="3576">
          <cell r="C3576" t="str">
            <v>Northfield-Website Review</v>
          </cell>
          <cell r="H3576">
            <v>5034488</v>
          </cell>
          <cell r="AK3576" t="str">
            <v>Amanda Pickering</v>
          </cell>
        </row>
        <row r="3577">
          <cell r="C3577" t="str">
            <v>Bryn Mawr-MQC</v>
          </cell>
          <cell r="H3577">
            <v>5034463</v>
          </cell>
          <cell r="AK3577" t="str">
            <v>Christian Maier</v>
          </cell>
        </row>
        <row r="3578">
          <cell r="C3578" t="str">
            <v>LBTaiwan NY-BIC Consulting</v>
          </cell>
          <cell r="H3578">
            <v>5034252</v>
          </cell>
          <cell r="AK3578" t="str">
            <v>Nicole Russotto</v>
          </cell>
        </row>
        <row r="3579">
          <cell r="C3579" t="str">
            <v>UB_Bank Freely-PM Support-TO7</v>
          </cell>
          <cell r="H3579">
            <v>5034514</v>
          </cell>
          <cell r="AK3579" t="str">
            <v>Lizzie Borchers</v>
          </cell>
        </row>
        <row r="3580">
          <cell r="C3580" t="str">
            <v>Jeff_PADM Support</v>
          </cell>
          <cell r="H3580">
            <v>5034616</v>
          </cell>
          <cell r="AK3580" t="str">
            <v>John McCaffrey</v>
          </cell>
        </row>
        <row r="3581">
          <cell r="C3581" t="str">
            <v>NT_Wealth Performance Rptg</v>
          </cell>
          <cell r="H3581">
            <v>5033773</v>
          </cell>
          <cell r="AK3581" t="str">
            <v>Paul Tatseos</v>
          </cell>
        </row>
        <row r="3582">
          <cell r="C3582" t="str">
            <v>LEG-CDO Business Case Update</v>
          </cell>
          <cell r="H3582">
            <v>5031618</v>
          </cell>
          <cell r="AK3582" t="str">
            <v>Mitali Drews</v>
          </cell>
        </row>
        <row r="3583">
          <cell r="C3583" t="str">
            <v>ICB China NY-KYC Cons Phase 1</v>
          </cell>
          <cell r="H3583">
            <v>5034549</v>
          </cell>
          <cell r="AK3583" t="str">
            <v>Benay Nachin</v>
          </cell>
        </row>
        <row r="3584">
          <cell r="C3584" t="str">
            <v>HB_FDIC Timely Deposit Eval</v>
          </cell>
          <cell r="H3584">
            <v>5034470</v>
          </cell>
          <cell r="AK3584" t="str">
            <v>George Simotas</v>
          </cell>
        </row>
        <row r="3585">
          <cell r="C3585" t="str">
            <v>BMO FDIC AMD Change Order #6</v>
          </cell>
          <cell r="H3585">
            <v>5032805</v>
          </cell>
          <cell r="AK3585" t="str">
            <v>George Simotas</v>
          </cell>
        </row>
        <row r="3586">
          <cell r="C3586" t="str">
            <v>Svenska-Brkr Dlr AML Audit</v>
          </cell>
          <cell r="H3586">
            <v>5034497</v>
          </cell>
          <cell r="AK3586" t="str">
            <v>William Sachs</v>
          </cell>
        </row>
        <row r="3587">
          <cell r="C3587" t="str">
            <v>Svenska-BSA Independent Test</v>
          </cell>
          <cell r="H3587">
            <v>5034496</v>
          </cell>
          <cell r="AK3587" t="str">
            <v>William Sachs</v>
          </cell>
        </row>
        <row r="3588">
          <cell r="C3588" t="str">
            <v>Marshall-Loan Review</v>
          </cell>
          <cell r="H3588">
            <v>5034607</v>
          </cell>
          <cell r="AK3588" t="str">
            <v>Cristina Arechaga</v>
          </cell>
        </row>
        <row r="3589">
          <cell r="C3589" t="str">
            <v>MS_CAT PMO &amp; Testing</v>
          </cell>
          <cell r="H3589">
            <v>5034629</v>
          </cell>
          <cell r="AK3589" t="str">
            <v>Mitali Drews</v>
          </cell>
        </row>
        <row r="3590">
          <cell r="C3590" t="str">
            <v>Civitas_Salesforce Phase II</v>
          </cell>
          <cell r="H3590">
            <v>5034538</v>
          </cell>
          <cell r="AK3590" t="str">
            <v>Mary Willetts</v>
          </cell>
        </row>
        <row r="3591">
          <cell r="C3591" t="str">
            <v>Jeff_Compliance Support</v>
          </cell>
          <cell r="H3591">
            <v>5034575</v>
          </cell>
          <cell r="AK3591" t="str">
            <v>Ripple Bhullar</v>
          </cell>
        </row>
        <row r="3592">
          <cell r="C3592" t="str">
            <v>Jeff_Brexit JDS PM</v>
          </cell>
          <cell r="H3592">
            <v>5034536</v>
          </cell>
          <cell r="AK3592" t="str">
            <v>Chelsea Mattias</v>
          </cell>
        </row>
        <row r="3593">
          <cell r="C3593" t="str">
            <v>MS_COO Support</v>
          </cell>
          <cell r="H3593">
            <v>5034515</v>
          </cell>
          <cell r="AK3593" t="str">
            <v>Rahul Govada</v>
          </cell>
        </row>
        <row r="3594">
          <cell r="C3594" t="str">
            <v>Project Hamilton_Phase 3a</v>
          </cell>
          <cell r="H3594">
            <v>5034631</v>
          </cell>
          <cell r="AK3594" t="str">
            <v>Matthew Berkowitz</v>
          </cell>
        </row>
        <row r="3595">
          <cell r="C3595" t="str">
            <v>BMO Harris_ FDIC Data Support</v>
          </cell>
          <cell r="H3595">
            <v>5034453</v>
          </cell>
          <cell r="AK3595" t="str">
            <v>Kyle Marynowski</v>
          </cell>
        </row>
        <row r="3596">
          <cell r="C3596" t="str">
            <v>CSS_SecOps Transform Add</v>
          </cell>
          <cell r="H3596">
            <v>5033316</v>
          </cell>
          <cell r="AK3596" t="str">
            <v>John Hickman</v>
          </cell>
        </row>
        <row r="3597">
          <cell r="C3597" t="str">
            <v>MS_Commodities Transf Ph 1</v>
          </cell>
          <cell r="H3597">
            <v>5034632</v>
          </cell>
          <cell r="AK3597" t="str">
            <v>Andrew Dearman</v>
          </cell>
        </row>
        <row r="3598">
          <cell r="C3598" t="str">
            <v>TIAA-HMDA Data Scrub</v>
          </cell>
          <cell r="H3598">
            <v>5034552</v>
          </cell>
          <cell r="AK3598" t="str">
            <v>Juan Pimentel</v>
          </cell>
        </row>
        <row r="3599">
          <cell r="C3599" t="str">
            <v>CA_Cyber Crisis Management</v>
          </cell>
          <cell r="H3599">
            <v>5034587</v>
          </cell>
          <cell r="AK3599" t="str">
            <v>Thanh Le Xuan</v>
          </cell>
        </row>
        <row r="3600">
          <cell r="C3600" t="str">
            <v>5th3rd_CapMkts Support Add-On</v>
          </cell>
          <cell r="H3600">
            <v>5034593</v>
          </cell>
          <cell r="AK3600" t="str">
            <v>Tulsi Mehta</v>
          </cell>
        </row>
        <row r="3601">
          <cell r="C3601" t="str">
            <v>Jeff_Compliance IT Document</v>
          </cell>
          <cell r="H3601">
            <v>5034592</v>
          </cell>
          <cell r="AK3601" t="str">
            <v>Mike Drews</v>
          </cell>
        </row>
        <row r="3602">
          <cell r="C3602" t="str">
            <v>Bryn Mawr-HMDA Review</v>
          </cell>
          <cell r="H3602">
            <v>5034609</v>
          </cell>
          <cell r="AK3602" t="str">
            <v>Juan Pimentel</v>
          </cell>
        </row>
        <row r="3603">
          <cell r="C3603" t="str">
            <v>GL DFS Reg 187 Program Ext</v>
          </cell>
          <cell r="H3603">
            <v>5034591</v>
          </cell>
          <cell r="AK3603" t="str">
            <v>Matthew Faraone</v>
          </cell>
        </row>
        <row r="3604">
          <cell r="C3604" t="str">
            <v>Receivables-CMS Review</v>
          </cell>
          <cell r="H3604">
            <v>5034652</v>
          </cell>
          <cell r="AK3604" t="str">
            <v>Joseph Schmidt</v>
          </cell>
        </row>
        <row r="3605">
          <cell r="C3605" t="str">
            <v>Chesapeake-MQC</v>
          </cell>
          <cell r="H3605">
            <v>5035444</v>
          </cell>
          <cell r="AK3605" t="str">
            <v>Keith Cole</v>
          </cell>
        </row>
        <row r="3606">
          <cell r="C3606" t="str">
            <v>CenterState-2018 HMDA Scrub</v>
          </cell>
          <cell r="H3606">
            <v>5034657</v>
          </cell>
          <cell r="AK3606" t="str">
            <v>Juan Pimentel</v>
          </cell>
        </row>
        <row r="3607">
          <cell r="C3607" t="str">
            <v>Bradesco NB December Intl</v>
          </cell>
          <cell r="H3607">
            <v>5034710</v>
          </cell>
          <cell r="AK3607" t="str">
            <v>Allison Kent</v>
          </cell>
        </row>
        <row r="3608">
          <cell r="C3608" t="str">
            <v>City Ntl FL-BSA Alert Clrng</v>
          </cell>
          <cell r="H3608">
            <v>5034656</v>
          </cell>
          <cell r="AK3608" t="str">
            <v>Ginger Dahlin</v>
          </cell>
        </row>
        <row r="3609">
          <cell r="C3609" t="str">
            <v>HSBC_RBW IT Provenir</v>
          </cell>
          <cell r="H3609">
            <v>5034654</v>
          </cell>
          <cell r="AK3609" t="str">
            <v>Rahul Govada</v>
          </cell>
        </row>
        <row r="3610">
          <cell r="C3610" t="str">
            <v>HSBC_GBM-CC Re-Plat Migration</v>
          </cell>
          <cell r="H3610">
            <v>5034630</v>
          </cell>
          <cell r="AK3610" t="str">
            <v>Kevin Sajdak</v>
          </cell>
        </row>
        <row r="3611">
          <cell r="C3611" t="str">
            <v>HSBC_FIN-Transf 2019</v>
          </cell>
          <cell r="H3611">
            <v>5034646</v>
          </cell>
          <cell r="AK3611" t="str">
            <v>Rahul Govada</v>
          </cell>
        </row>
        <row r="3612">
          <cell r="C3612" t="str">
            <v>ICB China NY-KYC Cons Phase 2</v>
          </cell>
          <cell r="H3612">
            <v>5034819</v>
          </cell>
          <cell r="AK3612" t="str">
            <v>Ginger Dahlin</v>
          </cell>
        </row>
        <row r="3613">
          <cell r="C3613" t="str">
            <v>HSBC_RBW-December 2018</v>
          </cell>
          <cell r="H3613">
            <v>5034633</v>
          </cell>
          <cell r="AK3613" t="str">
            <v>Rahul Govada</v>
          </cell>
        </row>
        <row r="3614">
          <cell r="C3614" t="str">
            <v>HSBC_CMB-Dec18Jun19</v>
          </cell>
          <cell r="H3614">
            <v>5034647</v>
          </cell>
          <cell r="AK3614" t="str">
            <v>Rahul Govada</v>
          </cell>
        </row>
        <row r="3615">
          <cell r="C3615" t="str">
            <v>DB_Tech for Operations</v>
          </cell>
          <cell r="H3615">
            <v>5034696</v>
          </cell>
          <cell r="AK3615" t="str">
            <v>Mo Chandiramani</v>
          </cell>
        </row>
        <row r="3616">
          <cell r="C3616" t="str">
            <v>HSBC_OPS-Host 18-19</v>
          </cell>
          <cell r="H3616">
            <v>5034655</v>
          </cell>
          <cell r="AK3616" t="str">
            <v>Rahul Govada</v>
          </cell>
        </row>
        <row r="3617">
          <cell r="C3617" t="str">
            <v>HSBC_GBM-GLCM RTP Dec 2018</v>
          </cell>
          <cell r="H3617">
            <v>5034651</v>
          </cell>
          <cell r="AK3617" t="str">
            <v>Rahul Govada</v>
          </cell>
        </row>
        <row r="3618">
          <cell r="C3618" t="str">
            <v>BR_BRK_PMDIL Extension INTL</v>
          </cell>
          <cell r="H3618">
            <v>5034618</v>
          </cell>
          <cell r="AK3618" t="str">
            <v>Eduardo Yamassaki</v>
          </cell>
        </row>
        <row r="3619">
          <cell r="C3619" t="str">
            <v>HB_Data Tech Support</v>
          </cell>
          <cell r="H3619">
            <v>5034673</v>
          </cell>
          <cell r="AK3619" t="str">
            <v>Daragh Fitzpatrick</v>
          </cell>
        </row>
        <row r="3620">
          <cell r="C3620" t="str">
            <v>HSBC_RBW Risk</v>
          </cell>
          <cell r="H3620">
            <v>5034649</v>
          </cell>
          <cell r="AK3620" t="str">
            <v>Rahul Govada</v>
          </cell>
        </row>
        <row r="3621">
          <cell r="C3621" t="str">
            <v>FrMc_BPM Payments 2019</v>
          </cell>
          <cell r="H3621">
            <v>5034522</v>
          </cell>
          <cell r="AK3621" t="str">
            <v>Linda Graham</v>
          </cell>
        </row>
        <row r="3622">
          <cell r="C3622" t="str">
            <v>UB_Digital RCM PSRA (TO 11)</v>
          </cell>
          <cell r="H3622">
            <v>5034976</v>
          </cell>
          <cell r="AK3622" t="str">
            <v>Adrian Ungureanu</v>
          </cell>
        </row>
        <row r="3623">
          <cell r="C3623" t="str">
            <v>HB_Enterprise Data Strat&amp;Road</v>
          </cell>
          <cell r="H3623">
            <v>5034653</v>
          </cell>
          <cell r="AK3623" t="str">
            <v>Pete Grebus</v>
          </cell>
        </row>
        <row r="3624">
          <cell r="C3624" t="str">
            <v>HSBC_RBW Lending Dec 2018</v>
          </cell>
          <cell r="H3624">
            <v>5034645</v>
          </cell>
          <cell r="AK3624" t="str">
            <v>Rahul Govada</v>
          </cell>
        </row>
        <row r="3625">
          <cell r="C3625" t="str">
            <v>BMO Harris NA_FDIC 370ExecPlan</v>
          </cell>
          <cell r="H3625">
            <v>5034512</v>
          </cell>
          <cell r="AK3625" t="str">
            <v>Janet Gray</v>
          </cell>
        </row>
        <row r="3626">
          <cell r="C3626" t="str">
            <v>FrMc_GBS_Assurance</v>
          </cell>
          <cell r="H3626">
            <v>5034576</v>
          </cell>
          <cell r="AK3626" t="str">
            <v>Karl Augenstein</v>
          </cell>
        </row>
        <row r="3627">
          <cell r="C3627" t="str">
            <v>HSBC_GPB-Alladin Support</v>
          </cell>
          <cell r="H3627">
            <v>5034698</v>
          </cell>
          <cell r="AK3627" t="str">
            <v>Rahul Govada</v>
          </cell>
        </row>
        <row r="3628">
          <cell r="C3628" t="str">
            <v>HSBC_RBWM_RBB-Dec 2018</v>
          </cell>
          <cell r="H3628">
            <v>5034635</v>
          </cell>
          <cell r="AK3628" t="str">
            <v>Rahul Govada</v>
          </cell>
        </row>
        <row r="3629">
          <cell r="C3629" t="str">
            <v>BOK_Commercial Portal Strategy</v>
          </cell>
          <cell r="H3629">
            <v>5034684</v>
          </cell>
          <cell r="AK3629" t="str">
            <v>Jeffrey Bordan</v>
          </cell>
        </row>
        <row r="3630">
          <cell r="C3630" t="str">
            <v>SVB_BD Stand Up</v>
          </cell>
          <cell r="H3630">
            <v>5034723</v>
          </cell>
          <cell r="AK3630" t="str">
            <v>Bill Mollica</v>
          </cell>
        </row>
        <row r="3631">
          <cell r="C3631" t="str">
            <v>MS_Data Agile Coaching and PM</v>
          </cell>
          <cell r="H3631">
            <v>5034744</v>
          </cell>
          <cell r="AK3631" t="str">
            <v>Rajiv Mehta</v>
          </cell>
        </row>
        <row r="3632">
          <cell r="C3632" t="str">
            <v>City Ntl FL-UDAAP Risk Assmnt</v>
          </cell>
          <cell r="H3632">
            <v>5034717</v>
          </cell>
          <cell r="AK3632" t="str">
            <v>Zebulon Green</v>
          </cell>
        </row>
        <row r="3633">
          <cell r="C3633" t="str">
            <v>HB_FDIC Timely Deposit Amd1</v>
          </cell>
          <cell r="H3633">
            <v>5034470</v>
          </cell>
          <cell r="AK3633" t="str">
            <v>George Simotas</v>
          </cell>
        </row>
        <row r="3634">
          <cell r="C3634" t="str">
            <v>PNC_Debit&amp;Prepay Assess</v>
          </cell>
          <cell r="H3634">
            <v>5034750</v>
          </cell>
          <cell r="AK3634" t="str">
            <v>Michael Crumpler</v>
          </cell>
        </row>
        <row r="3635">
          <cell r="C3635" t="str">
            <v>FrMc_Duty2Serve Consulting</v>
          </cell>
          <cell r="H3635">
            <v>5034762</v>
          </cell>
          <cell r="AK3635" t="str">
            <v>Gregory Barry</v>
          </cell>
        </row>
        <row r="3636">
          <cell r="C3636" t="str">
            <v>MS_WM POS 2019</v>
          </cell>
          <cell r="H3636">
            <v>5034912</v>
          </cell>
          <cell r="AK3636" t="str">
            <v>Mary Huang</v>
          </cell>
        </row>
        <row r="3637">
          <cell r="C3637" t="str">
            <v>TIAA-HMDA Program Assessment</v>
          </cell>
          <cell r="H3637">
            <v>5034578</v>
          </cell>
          <cell r="AK3637" t="str">
            <v>Louvera Walden</v>
          </cell>
        </row>
        <row r="3638">
          <cell r="C3638" t="str">
            <v>UBS US DMO 2019 CCAR</v>
          </cell>
          <cell r="H3638">
            <v>5035045</v>
          </cell>
          <cell r="AK3638" t="str">
            <v>Daniel Holness</v>
          </cell>
        </row>
        <row r="3639">
          <cell r="C3639" t="str">
            <v>UBS US DMO 2019 RTB</v>
          </cell>
          <cell r="H3639">
            <v>5035267</v>
          </cell>
          <cell r="AK3639" t="str">
            <v>Daniel Holness</v>
          </cell>
        </row>
        <row r="3640">
          <cell r="C3640" t="str">
            <v>UBS_DMO 2019 BCBS 239 - P3</v>
          </cell>
          <cell r="H3640">
            <v>5035262</v>
          </cell>
          <cell r="AK3640" t="str">
            <v>Daniel Holness</v>
          </cell>
        </row>
        <row r="3641">
          <cell r="C3641" t="str">
            <v>MS_Alternatives Ops Training</v>
          </cell>
          <cell r="H3641">
            <v>5035047</v>
          </cell>
          <cell r="AK3641" t="str">
            <v>Patrick Wong</v>
          </cell>
        </row>
        <row r="3642">
          <cell r="C3642" t="str">
            <v>Payment Control 2018 Uplift</v>
          </cell>
          <cell r="H3642">
            <v>5031819</v>
          </cell>
          <cell r="AK3642" t="str">
            <v>Ruben Sooriya</v>
          </cell>
        </row>
        <row r="3643">
          <cell r="C3643" t="str">
            <v>Eagle HM-BSA Risk Assessment</v>
          </cell>
          <cell r="H3643">
            <v>5034297</v>
          </cell>
          <cell r="AK3643" t="str">
            <v>Nancy Gregory</v>
          </cell>
        </row>
        <row r="3644">
          <cell r="C3644" t="str">
            <v>UBS_DMO 2019 BCBS 239-Risk Ref</v>
          </cell>
          <cell r="H3644">
            <v>5035261</v>
          </cell>
          <cell r="AK3644" t="str">
            <v>Daniel Holness</v>
          </cell>
        </row>
        <row r="3645">
          <cell r="C3645" t="str">
            <v>Auto Club - HMDA Review</v>
          </cell>
          <cell r="H3645">
            <v>5035006</v>
          </cell>
          <cell r="AK3645" t="str">
            <v>Juan Pimentel</v>
          </cell>
        </row>
        <row r="3646">
          <cell r="C3646" t="str">
            <v>UBS DMO 2019 Project Pentagon</v>
          </cell>
          <cell r="H3646">
            <v>5035268</v>
          </cell>
          <cell r="AK3646" t="str">
            <v>Daniel Holness</v>
          </cell>
        </row>
        <row r="3647">
          <cell r="C3647" t="str">
            <v>PNC_Investment Line of Credit</v>
          </cell>
          <cell r="H3647">
            <v>5034851</v>
          </cell>
          <cell r="AK3647" t="str">
            <v>Michael Crumpler</v>
          </cell>
        </row>
        <row r="3648">
          <cell r="C3648" t="str">
            <v>Amex_Merchant Enablement_Ext</v>
          </cell>
          <cell r="H3648">
            <v>5034671</v>
          </cell>
          <cell r="AK3648" t="str">
            <v>Carl Repoli</v>
          </cell>
        </row>
        <row r="3649">
          <cell r="C3649" t="str">
            <v>UB_WMG Portf Supp - SOW 61</v>
          </cell>
          <cell r="H3649">
            <v>5034893</v>
          </cell>
          <cell r="AK3649" t="str">
            <v>Felix Urquia</v>
          </cell>
        </row>
        <row r="3650">
          <cell r="C3650" t="str">
            <v>Jeff-RiskBasedCap- Prog.Office</v>
          </cell>
          <cell r="H3650">
            <v>5035105</v>
          </cell>
          <cell r="AK3650" t="str">
            <v>Chelsea Mattias</v>
          </cell>
        </row>
        <row r="3651">
          <cell r="C3651" t="str">
            <v>Bryn Mawr-HMDA Review</v>
          </cell>
          <cell r="H3651">
            <v>5034989</v>
          </cell>
          <cell r="AK3651" t="str">
            <v>Juan Pimentel</v>
          </cell>
        </row>
        <row r="3652">
          <cell r="C3652" t="str">
            <v>WF_Middle Office Product Strat</v>
          </cell>
          <cell r="H3652">
            <v>5035028</v>
          </cell>
          <cell r="AK3652" t="str">
            <v>Edward Kelley</v>
          </cell>
        </row>
        <row r="3653">
          <cell r="C3653" t="str">
            <v>WF_OPS PME Derivs Setts UAT</v>
          </cell>
          <cell r="H3653">
            <v>5035011</v>
          </cell>
          <cell r="AK3653" t="str">
            <v>Edward Kelley</v>
          </cell>
        </row>
        <row r="3654">
          <cell r="C3654" t="str">
            <v>Jeff_Risk Based Cap - Murex PM</v>
          </cell>
          <cell r="H3654">
            <v>5035101</v>
          </cell>
          <cell r="AK3654" t="str">
            <v>Chelsea Mattias</v>
          </cell>
        </row>
        <row r="3655">
          <cell r="C3655" t="str">
            <v>Jeff_Risk Based Cap - Murex PM</v>
          </cell>
          <cell r="H3655">
            <v>5035101</v>
          </cell>
          <cell r="AK3655" t="str">
            <v>Chelsea Mattias</v>
          </cell>
        </row>
        <row r="3656">
          <cell r="C3656" t="str">
            <v>FIS-Systematics Consulting</v>
          </cell>
          <cell r="H3656">
            <v>5035015</v>
          </cell>
          <cell r="AK3656" t="str">
            <v>Nancy Gregory</v>
          </cell>
        </row>
        <row r="3657">
          <cell r="C3657" t="str">
            <v>Jeff_Murex Fixed Income 2019</v>
          </cell>
          <cell r="H3657">
            <v>5035285</v>
          </cell>
          <cell r="AK3657" t="str">
            <v>Chelsea Mattias</v>
          </cell>
        </row>
        <row r="3658">
          <cell r="C3658" t="str">
            <v>Jeff_Compliance PM</v>
          </cell>
          <cell r="H3658">
            <v>5035124</v>
          </cell>
          <cell r="AK3658" t="str">
            <v>Chelsea Mattias</v>
          </cell>
        </row>
        <row r="3659">
          <cell r="C3659" t="str">
            <v>MSWM_Risk Enhanced Supervision</v>
          </cell>
          <cell r="H3659">
            <v>5035003</v>
          </cell>
          <cell r="AK3659" t="str">
            <v>Phil Kerkel</v>
          </cell>
        </row>
        <row r="3660">
          <cell r="C3660" t="str">
            <v>Jeff_CRM Surge Extension</v>
          </cell>
          <cell r="H3660">
            <v>5035093</v>
          </cell>
          <cell r="AK3660" t="str">
            <v>Ripple Bhullar</v>
          </cell>
        </row>
        <row r="3661">
          <cell r="C3661" t="str">
            <v>Argent FCU - CMSO</v>
          </cell>
          <cell r="H3661">
            <v>5034850</v>
          </cell>
          <cell r="AK3661" t="str">
            <v>Steve Manitzas</v>
          </cell>
        </row>
        <row r="3662">
          <cell r="C3662" t="str">
            <v>Farmers-CMSO</v>
          </cell>
          <cell r="H3662">
            <v>5035133</v>
          </cell>
          <cell r="AK3662" t="str">
            <v>Bonita Riccaboni</v>
          </cell>
        </row>
        <row r="3663">
          <cell r="C3663" t="str">
            <v>Delmarva - CMSO</v>
          </cell>
          <cell r="H3663">
            <v>5035512</v>
          </cell>
          <cell r="AK3663" t="str">
            <v>Steve Manitzas</v>
          </cell>
        </row>
        <row r="3664">
          <cell r="C3664" t="str">
            <v>1stExchange-CMSO</v>
          </cell>
          <cell r="H3664">
            <v>5034327</v>
          </cell>
          <cell r="AK3664" t="str">
            <v>Jeanette Wampler</v>
          </cell>
        </row>
        <row r="3665">
          <cell r="C3665" t="str">
            <v>First State-CMSO</v>
          </cell>
          <cell r="H3665">
            <v>5035012</v>
          </cell>
          <cell r="AK3665" t="str">
            <v>Steve Manitzas</v>
          </cell>
        </row>
        <row r="3666">
          <cell r="C3666" t="str">
            <v>FNB Bank-Compl Monitoring</v>
          </cell>
          <cell r="H3666">
            <v>5034847</v>
          </cell>
          <cell r="AK3666" t="str">
            <v>Jeanette Wampler</v>
          </cell>
        </row>
        <row r="3667">
          <cell r="C3667" t="str">
            <v>SVB_InvestCloud</v>
          </cell>
          <cell r="H3667">
            <v>5035050</v>
          </cell>
          <cell r="AK3667" t="str">
            <v>Benjamin Kornblum</v>
          </cell>
        </row>
        <row r="3668">
          <cell r="C3668" t="str">
            <v>Citi Yieldbook PM H1</v>
          </cell>
          <cell r="H3668">
            <v>5035148</v>
          </cell>
          <cell r="AK3668" t="str">
            <v>Robert Norris</v>
          </cell>
        </row>
        <row r="3669">
          <cell r="C3669" t="str">
            <v>Dime Bank - CMSO</v>
          </cell>
          <cell r="H3669">
            <v>5035299</v>
          </cell>
          <cell r="AK3669" t="str">
            <v>Gail Rassler</v>
          </cell>
        </row>
        <row r="3670">
          <cell r="C3670" t="str">
            <v>Cape Cod 5c - CMSO</v>
          </cell>
          <cell r="H3670">
            <v>5035135</v>
          </cell>
          <cell r="AK3670" t="str">
            <v>Leigh Tribou</v>
          </cell>
        </row>
        <row r="3671">
          <cell r="C3671" t="str">
            <v>Behalf Inc.-Compl Co-Sourcing</v>
          </cell>
          <cell r="H3671">
            <v>5035590</v>
          </cell>
          <cell r="AK3671" t="str">
            <v>Lori Robeson</v>
          </cell>
        </row>
        <row r="3672">
          <cell r="C3672" t="str">
            <v>Jeff_Sol Arch</v>
          </cell>
          <cell r="H3672">
            <v>5035328</v>
          </cell>
          <cell r="AK3672" t="str">
            <v>Ripple Bhullar</v>
          </cell>
        </row>
        <row r="3673">
          <cell r="C3673" t="str">
            <v>UBS_WMA ICAP PM 2019</v>
          </cell>
          <cell r="H3673">
            <v>5034776</v>
          </cell>
          <cell r="AK3673" t="str">
            <v>Michael Zambon</v>
          </cell>
        </row>
        <row r="3674">
          <cell r="C3674" t="str">
            <v>MainStreet - CMSO</v>
          </cell>
          <cell r="H3674">
            <v>5035557</v>
          </cell>
          <cell r="AK3674" t="str">
            <v>Bonita Riccaboni</v>
          </cell>
        </row>
        <row r="3675">
          <cell r="C3675" t="str">
            <v>MS_CTB 2019 TTRO NY</v>
          </cell>
          <cell r="H3675">
            <v>5034820</v>
          </cell>
          <cell r="AK3675" t="str">
            <v>Salim Modi</v>
          </cell>
        </row>
        <row r="3676">
          <cell r="C3676" t="str">
            <v>Union Bank Rebate</v>
          </cell>
          <cell r="H3676">
            <v>5035821</v>
          </cell>
          <cell r="AK3676" t="str">
            <v>Prakash Siddappa</v>
          </cell>
        </row>
        <row r="3677">
          <cell r="C3677" t="str">
            <v>MS_CTB 2019 SSBO NY</v>
          </cell>
          <cell r="H3677">
            <v>5034929</v>
          </cell>
          <cell r="AK3677" t="str">
            <v>Brian Cohen</v>
          </cell>
        </row>
        <row r="3678">
          <cell r="C3678" t="str">
            <v>MS_CTB 2019 ISGPO NY</v>
          </cell>
          <cell r="H3678">
            <v>5034821</v>
          </cell>
          <cell r="AK3678" t="str">
            <v>Joann Economou</v>
          </cell>
        </row>
        <row r="3679">
          <cell r="C3679" t="str">
            <v>CenterState-2019 HMDA Scrub</v>
          </cell>
          <cell r="H3679">
            <v>5034658</v>
          </cell>
          <cell r="AK3679" t="str">
            <v>Juan Pimentel</v>
          </cell>
        </row>
        <row r="3680">
          <cell r="C3680" t="str">
            <v>PS Bank - CMSO</v>
          </cell>
          <cell r="H3680">
            <v>5034804</v>
          </cell>
          <cell r="AK3680" t="str">
            <v>Gail Rassler</v>
          </cell>
        </row>
        <row r="3681">
          <cell r="C3681" t="str">
            <v>MS_CTB 2019 GPG NY</v>
          </cell>
          <cell r="H3681">
            <v>5034822</v>
          </cell>
          <cell r="AK3681" t="str">
            <v>Greg Barefoot</v>
          </cell>
        </row>
        <row r="3682">
          <cell r="C3682" t="str">
            <v>Rosedale - CMSO</v>
          </cell>
          <cell r="H3682">
            <v>5035389</v>
          </cell>
          <cell r="AK3682" t="str">
            <v>W. Annette Dredden</v>
          </cell>
        </row>
        <row r="3683">
          <cell r="C3683" t="str">
            <v>USAA-Mortgage Consulting</v>
          </cell>
          <cell r="H3683">
            <v>5034917</v>
          </cell>
          <cell r="AK3683" t="str">
            <v>Willis Leitner</v>
          </cell>
        </row>
        <row r="3684">
          <cell r="C3684" t="str">
            <v>MS_PBO Extension</v>
          </cell>
          <cell r="H3684">
            <v>5034914</v>
          </cell>
          <cell r="AK3684" t="str">
            <v>Kaz Pattni</v>
          </cell>
        </row>
        <row r="3685">
          <cell r="C3685" t="str">
            <v>MS_WM MSSN|CSC 2019</v>
          </cell>
          <cell r="H3685">
            <v>5034910</v>
          </cell>
          <cell r="AK3685" t="str">
            <v>Leah Watson</v>
          </cell>
        </row>
        <row r="3686">
          <cell r="C3686" t="str">
            <v>Marshall - CMSO</v>
          </cell>
          <cell r="H3686">
            <v>5035306</v>
          </cell>
          <cell r="AK3686" t="str">
            <v>Steve Manitzas</v>
          </cell>
        </row>
        <row r="3687">
          <cell r="C3687" t="str">
            <v>UniBank-Compl Cons &amp; RAS</v>
          </cell>
          <cell r="H3687">
            <v>5034719</v>
          </cell>
          <cell r="AK3687" t="str">
            <v>Pamela Acciardo</v>
          </cell>
        </row>
        <row r="3688">
          <cell r="C3688" t="str">
            <v>Jeff-Spectrum&amp;Elysium FX Impl</v>
          </cell>
          <cell r="H3688">
            <v>5035107</v>
          </cell>
          <cell r="AK3688" t="str">
            <v>Chelsea Mattias</v>
          </cell>
        </row>
        <row r="3689">
          <cell r="C3689" t="str">
            <v>FrMc_Master Integrator 2019</v>
          </cell>
          <cell r="H3689">
            <v>5034504</v>
          </cell>
          <cell r="AK3689" t="str">
            <v>John Napolitano</v>
          </cell>
        </row>
        <row r="3690">
          <cell r="C3690" t="str">
            <v>Jeff_CRM Progam Extension</v>
          </cell>
          <cell r="H3690">
            <v>5035083</v>
          </cell>
          <cell r="AK3690" t="str">
            <v>Ripple Bhullar</v>
          </cell>
        </row>
        <row r="3691">
          <cell r="C3691" t="str">
            <v>Preferred CA-HMDA Review</v>
          </cell>
          <cell r="H3691">
            <v>5034703</v>
          </cell>
          <cell r="AK3691" t="str">
            <v>Juan Pimentel</v>
          </cell>
        </row>
        <row r="3692">
          <cell r="C3692" t="str">
            <v>Millennium - CMSO</v>
          </cell>
          <cell r="H3692">
            <v>5035154</v>
          </cell>
          <cell r="AK3692" t="str">
            <v>Bonita Riccaboni</v>
          </cell>
        </row>
        <row r="3693">
          <cell r="C3693" t="str">
            <v>Franklin - CMSO</v>
          </cell>
          <cell r="H3693">
            <v>5035387</v>
          </cell>
          <cell r="AK3693" t="str">
            <v>Elizabeth Rozsa</v>
          </cell>
        </row>
        <row r="3694">
          <cell r="C3694" t="str">
            <v>DC Teachers - CMSO</v>
          </cell>
          <cell r="H3694">
            <v>5035276</v>
          </cell>
          <cell r="AK3694" t="str">
            <v>W. Annette Dredden</v>
          </cell>
        </row>
        <row r="3695">
          <cell r="C3695" t="str">
            <v>MS_Tech_Workflow</v>
          </cell>
          <cell r="H3695">
            <v>5034210</v>
          </cell>
          <cell r="AK3695" t="str">
            <v>Rad Ashok</v>
          </cell>
        </row>
        <row r="3696">
          <cell r="C3696" t="str">
            <v>BMO_Comm'l Ops &amp; BI Support</v>
          </cell>
          <cell r="H3696">
            <v>5035025</v>
          </cell>
          <cell r="AK3696" t="str">
            <v>Kyle Marynowski</v>
          </cell>
        </row>
        <row r="3697">
          <cell r="C3697" t="str">
            <v>BerkshireMA-Compl Monitoring</v>
          </cell>
          <cell r="H3697">
            <v>5035146</v>
          </cell>
          <cell r="AK3697" t="str">
            <v>Marianne Byrne</v>
          </cell>
        </row>
        <row r="3698">
          <cell r="C3698" t="str">
            <v>HSBC_RSK-BA/PM Support</v>
          </cell>
          <cell r="H3698">
            <v>5035031</v>
          </cell>
          <cell r="AK3698" t="str">
            <v>Rahul Govada</v>
          </cell>
        </row>
        <row r="3699">
          <cell r="C3699" t="str">
            <v>1stAmerican-BSA Ind Test</v>
          </cell>
          <cell r="H3699">
            <v>5032762</v>
          </cell>
          <cell r="AK3699" t="str">
            <v>William Sachs</v>
          </cell>
        </row>
        <row r="3700">
          <cell r="C3700" t="str">
            <v>HSBC_RBW-Lending 2</v>
          </cell>
          <cell r="H3700">
            <v>5034934</v>
          </cell>
          <cell r="AK3700" t="str">
            <v>Rahul Govada</v>
          </cell>
        </row>
        <row r="3701">
          <cell r="C3701" t="str">
            <v>Constitution - MQC</v>
          </cell>
          <cell r="H3701">
            <v>5035237</v>
          </cell>
          <cell r="AK3701" t="str">
            <v>Christian Maier</v>
          </cell>
        </row>
        <row r="3702">
          <cell r="C3702" t="str">
            <v>Jeff_CRM UI UX Extension</v>
          </cell>
          <cell r="H3702">
            <v>5035100</v>
          </cell>
          <cell r="AK3702" t="str">
            <v>Ripple Bhullar</v>
          </cell>
        </row>
        <row r="3703">
          <cell r="C3703" t="str">
            <v>Somerset Trust Company_RAS</v>
          </cell>
          <cell r="H3703">
            <v>5039550</v>
          </cell>
          <cell r="AK3703" t="str">
            <v>Diane Banks</v>
          </cell>
        </row>
        <row r="3704">
          <cell r="C3704" t="str">
            <v>MS_ISG COB</v>
          </cell>
          <cell r="H3704">
            <v>5035221</v>
          </cell>
          <cell r="AK3704" t="str">
            <v>Aoife Hogan</v>
          </cell>
        </row>
        <row r="3705">
          <cell r="C3705" t="str">
            <v>Century BTC - CMSO</v>
          </cell>
          <cell r="H3705">
            <v>5034311</v>
          </cell>
          <cell r="AK3705" t="str">
            <v>Pamela Acciardo</v>
          </cell>
        </row>
        <row r="3706">
          <cell r="C3706" t="str">
            <v>East Cambridge Savings Ban_RAS</v>
          </cell>
          <cell r="H3706">
            <v>5039482</v>
          </cell>
          <cell r="AK3706" t="str">
            <v>Diane Banks</v>
          </cell>
        </row>
        <row r="3707">
          <cell r="C3707" t="str">
            <v>Cathay Bank_RAS</v>
          </cell>
          <cell r="H3707">
            <v>5039460</v>
          </cell>
          <cell r="AK3707" t="str">
            <v>Diane Banks</v>
          </cell>
        </row>
        <row r="3708">
          <cell r="C3708" t="str">
            <v>Citizens WV-CMSO</v>
          </cell>
          <cell r="H3708">
            <v>5034326</v>
          </cell>
          <cell r="AK3708" t="str">
            <v>Jeanette Wampler</v>
          </cell>
        </row>
        <row r="3709">
          <cell r="C3709" t="str">
            <v>Bank Hapoalim B M _RAS</v>
          </cell>
          <cell r="H3709">
            <v>5039599</v>
          </cell>
          <cell r="AK3709" t="str">
            <v>Travis Peraza</v>
          </cell>
        </row>
        <row r="3710">
          <cell r="C3710" t="str">
            <v>City Ntl FL-BSA Alert Clrng1</v>
          </cell>
          <cell r="H3710">
            <v>5034995</v>
          </cell>
          <cell r="AK3710" t="str">
            <v>Ginger Dahlin</v>
          </cell>
        </row>
        <row r="3711">
          <cell r="C3711" t="str">
            <v>UB - UCL Support - SOW 62</v>
          </cell>
          <cell r="H3711">
            <v>5034896</v>
          </cell>
          <cell r="AK3711" t="str">
            <v>Justin Hayden</v>
          </cell>
        </row>
        <row r="3712">
          <cell r="C3712" t="str">
            <v>Parkersburg-CMSO</v>
          </cell>
          <cell r="H3712">
            <v>5034342</v>
          </cell>
          <cell r="AK3712" t="str">
            <v>Jeanette Wampler</v>
          </cell>
        </row>
        <row r="3713">
          <cell r="C3713" t="str">
            <v>Jeff-Risk Based Cap - Risk PM</v>
          </cell>
          <cell r="H3713">
            <v>5035126</v>
          </cell>
          <cell r="AK3713" t="str">
            <v>Chelsea Mattias</v>
          </cell>
        </row>
        <row r="3714">
          <cell r="C3714" t="str">
            <v>USAA-RMSC SCRT</v>
          </cell>
          <cell r="H3714">
            <v>5034918</v>
          </cell>
          <cell r="AK3714" t="str">
            <v>Willis Leitner</v>
          </cell>
        </row>
        <row r="3715">
          <cell r="C3715" t="str">
            <v>USAA-Post-Closing TRID Review</v>
          </cell>
          <cell r="H3715">
            <v>5034919</v>
          </cell>
          <cell r="AK3715" t="str">
            <v>Willis Leitner</v>
          </cell>
        </row>
        <row r="3716">
          <cell r="C3716" t="str">
            <v>MS_Order of Allocation Q1</v>
          </cell>
          <cell r="H3716">
            <v>5034939</v>
          </cell>
          <cell r="AK3716" t="str">
            <v>Justin Gonlag</v>
          </cell>
        </row>
        <row r="3717">
          <cell r="C3717" t="str">
            <v>USAA-Capco Re-disclosure Team</v>
          </cell>
          <cell r="H3717">
            <v>5034916</v>
          </cell>
          <cell r="AK3717" t="str">
            <v>Willis Leitner</v>
          </cell>
        </row>
        <row r="3718">
          <cell r="C3718" t="str">
            <v>Christian CCU-IT Risk Assmnt</v>
          </cell>
          <cell r="H3718">
            <v>5034915</v>
          </cell>
          <cell r="AK3718" t="str">
            <v>Robert Farmer</v>
          </cell>
        </row>
        <row r="3719">
          <cell r="C3719" t="str">
            <v>Unified-IT Risk Assessments</v>
          </cell>
          <cell r="H3719">
            <v>5034701</v>
          </cell>
          <cell r="AK3719" t="str">
            <v>Kristina Slattery</v>
          </cell>
        </row>
        <row r="3720">
          <cell r="C3720" t="str">
            <v>B of Monroe - CMSO</v>
          </cell>
          <cell r="H3720">
            <v>5034714</v>
          </cell>
          <cell r="AK3720" t="str">
            <v>Steve Manitzas</v>
          </cell>
        </row>
        <row r="3721">
          <cell r="C3721" t="str">
            <v>Watertown - CMSE</v>
          </cell>
          <cell r="H3721">
            <v>5035360</v>
          </cell>
          <cell r="AK3721" t="str">
            <v>Leigh Tribou</v>
          </cell>
        </row>
        <row r="3722">
          <cell r="C3722" t="str">
            <v>Avidia Bank-Compl Monitoring</v>
          </cell>
          <cell r="H3722">
            <v>5035411</v>
          </cell>
          <cell r="AK3722" t="str">
            <v>Leigh Tribou</v>
          </cell>
        </row>
        <row r="3723">
          <cell r="C3723" t="str">
            <v>Leader Bank - CMSO</v>
          </cell>
          <cell r="H3723">
            <v>5035361</v>
          </cell>
          <cell r="AK3723" t="str">
            <v>Marianne Byrne</v>
          </cell>
        </row>
        <row r="3724">
          <cell r="C3724" t="str">
            <v>CapitalB NA-Compl Consulting</v>
          </cell>
          <cell r="H3724">
            <v>5035185</v>
          </cell>
          <cell r="AK3724" t="str">
            <v>Steve Manitzas</v>
          </cell>
        </row>
        <row r="3725">
          <cell r="C3725" t="str">
            <v>MS_WM Advisory Tech PMO 2019</v>
          </cell>
          <cell r="H3725">
            <v>5034984</v>
          </cell>
          <cell r="AK3725" t="str">
            <v>Rohini Bhatia</v>
          </cell>
        </row>
        <row r="3726">
          <cell r="C3726" t="str">
            <v>Purefy-Consulting &amp; Adv Review</v>
          </cell>
          <cell r="H3726">
            <v>5035197</v>
          </cell>
          <cell r="AK3726" t="str">
            <v>Steve Manitzas</v>
          </cell>
        </row>
        <row r="3727">
          <cell r="C3727" t="str">
            <v>FrMc_MF ODS Release 9 AMD 1</v>
          </cell>
          <cell r="H3727">
            <v>5035077</v>
          </cell>
          <cell r="AK3727" t="str">
            <v>David Williams</v>
          </cell>
        </row>
        <row r="3728">
          <cell r="C3728" t="str">
            <v>Unified-CMSO</v>
          </cell>
          <cell r="H3728">
            <v>5034589</v>
          </cell>
          <cell r="AK3728" t="str">
            <v>Kristina Slattery</v>
          </cell>
        </row>
        <row r="3729">
          <cell r="C3729" t="str">
            <v>1st Absecon - CMSO</v>
          </cell>
          <cell r="H3729">
            <v>5035661</v>
          </cell>
          <cell r="AK3729" t="str">
            <v>Steve Manitzas</v>
          </cell>
        </row>
        <row r="3730">
          <cell r="C3730" t="str">
            <v>ShoreUnited - CMSO</v>
          </cell>
          <cell r="H3730">
            <v>5035513</v>
          </cell>
          <cell r="AK3730" t="str">
            <v>Bonita Riccaboni</v>
          </cell>
        </row>
        <row r="3731">
          <cell r="C3731" t="str">
            <v>Har Co MD - CMSO</v>
          </cell>
          <cell r="H3731">
            <v>5035134</v>
          </cell>
          <cell r="AK3731" t="str">
            <v>W. Annette Dredden</v>
          </cell>
        </row>
        <row r="3732">
          <cell r="C3732" t="str">
            <v>FinancialR - CMSE</v>
          </cell>
          <cell r="H3732">
            <v>5035313</v>
          </cell>
          <cell r="AK3732" t="str">
            <v>Bonita Riccaboni</v>
          </cell>
        </row>
        <row r="3733">
          <cell r="C3733" t="str">
            <v>Noah Bank - CMSO</v>
          </cell>
          <cell r="H3733">
            <v>5035610</v>
          </cell>
          <cell r="AK3733" t="str">
            <v>Bonita Riccaboni</v>
          </cell>
        </row>
        <row r="3734">
          <cell r="C3734" t="str">
            <v>1st Colonial - CMSO</v>
          </cell>
          <cell r="H3734">
            <v>5035136</v>
          </cell>
          <cell r="AK3734" t="str">
            <v>Paula Witt</v>
          </cell>
        </row>
        <row r="3735">
          <cell r="C3735" t="str">
            <v>MS_CTB 2019 Bangalore Team</v>
          </cell>
          <cell r="H3735">
            <v>5035005</v>
          </cell>
          <cell r="AK3735" t="str">
            <v>Rahul Govada</v>
          </cell>
        </row>
        <row r="3736">
          <cell r="C3736" t="str">
            <v>Cecil Bank - CMSO</v>
          </cell>
          <cell r="H3736">
            <v>5035278</v>
          </cell>
          <cell r="AK3736" t="str">
            <v>Bonita Riccaboni</v>
          </cell>
        </row>
        <row r="3737">
          <cell r="C3737" t="str">
            <v>First North - CMSO</v>
          </cell>
          <cell r="H3737">
            <v>5035274</v>
          </cell>
          <cell r="AK3737" t="str">
            <v>Gail Rassler</v>
          </cell>
        </row>
        <row r="3738">
          <cell r="C3738" t="str">
            <v>MS_WM COO|CASO 2019</v>
          </cell>
          <cell r="H3738">
            <v>5034902</v>
          </cell>
          <cell r="AK3738" t="str">
            <v>Leah Watson</v>
          </cell>
        </row>
        <row r="3739">
          <cell r="C3739" t="str">
            <v>Cathay Bank-Training &amp; Consult</v>
          </cell>
          <cell r="H3739">
            <v>5034759</v>
          </cell>
          <cell r="AK3739" t="str">
            <v>Rebecca Breland</v>
          </cell>
        </row>
        <row r="3740">
          <cell r="C3740" t="str">
            <v>BlueFoundry - CMSO</v>
          </cell>
          <cell r="H3740">
            <v>5035149</v>
          </cell>
          <cell r="AK3740" t="str">
            <v>Bonita Riccaboni</v>
          </cell>
        </row>
        <row r="3741">
          <cell r="C3741" t="str">
            <v>Chesapeake - CMSO</v>
          </cell>
          <cell r="H3741">
            <v>5035277</v>
          </cell>
          <cell r="AK3741" t="str">
            <v>W. Annette Dredden</v>
          </cell>
        </row>
        <row r="3742">
          <cell r="C3742" t="str">
            <v>Harvard - CMSO</v>
          </cell>
          <cell r="H3742">
            <v>5035366</v>
          </cell>
          <cell r="AK3742" t="str">
            <v>Mary Louise Radley</v>
          </cell>
        </row>
        <row r="3743">
          <cell r="C3743" t="str">
            <v>Country NY - CMSO</v>
          </cell>
          <cell r="H3743">
            <v>5035710</v>
          </cell>
          <cell r="AK3743" t="str">
            <v>Gail Rassler</v>
          </cell>
        </row>
        <row r="3744">
          <cell r="C3744" t="str">
            <v>FID Strats Senior PM Ext</v>
          </cell>
          <cell r="H3744">
            <v>5029521</v>
          </cell>
          <cell r="AK3744" t="str">
            <v>Frank Merla</v>
          </cell>
        </row>
        <row r="3745">
          <cell r="C3745" t="str">
            <v>MS_Knowledge Management NLP</v>
          </cell>
          <cell r="H3745">
            <v>5034912</v>
          </cell>
          <cell r="AK3745" t="str">
            <v>Mary Huang</v>
          </cell>
        </row>
        <row r="3746">
          <cell r="C3746" t="str">
            <v>CA_infra_Cybersec_extension1</v>
          </cell>
          <cell r="H3746">
            <v>5033548</v>
          </cell>
          <cell r="AK3746" t="str">
            <v>Thanh Le Xuan</v>
          </cell>
        </row>
        <row r="3747">
          <cell r="C3747" t="str">
            <v>COO Support PM Ext</v>
          </cell>
          <cell r="H3747">
            <v>5034515</v>
          </cell>
          <cell r="AK3747" t="str">
            <v>Rahul Govada</v>
          </cell>
        </row>
        <row r="3748">
          <cell r="C3748" t="str">
            <v>MS_WM MSSN/CSC 2019 (KB)</v>
          </cell>
          <cell r="H3748">
            <v>5034910</v>
          </cell>
          <cell r="AK3748" t="str">
            <v>Leah Watson</v>
          </cell>
        </row>
        <row r="3749">
          <cell r="C3749" t="str">
            <v>MS_S&amp;A - Advisory Trading 2019</v>
          </cell>
          <cell r="H3749">
            <v>5035074</v>
          </cell>
          <cell r="AK3749" t="str">
            <v>Rayna Gittelman</v>
          </cell>
        </row>
        <row r="3750">
          <cell r="C3750" t="str">
            <v>UBS_Project Hamilton Phase 4</v>
          </cell>
          <cell r="H3750">
            <v>5035180</v>
          </cell>
          <cell r="AK3750" t="str">
            <v>Matthew Berkowitz</v>
          </cell>
        </row>
        <row r="3751">
          <cell r="C3751" t="str">
            <v>FrMc_PE/Cash extension</v>
          </cell>
          <cell r="H3751">
            <v>5034998</v>
          </cell>
          <cell r="AK3751" t="str">
            <v>Sebastian Ekberg</v>
          </cell>
        </row>
        <row r="3752">
          <cell r="C3752" t="str">
            <v>GS_QFC 2019 Q1</v>
          </cell>
          <cell r="H3752">
            <v>5034987</v>
          </cell>
          <cell r="AK3752" t="str">
            <v>Parul Chowdhry</v>
          </cell>
        </row>
        <row r="3753">
          <cell r="C3753" t="str">
            <v>MWABank-HMDA Data Integ Rev</v>
          </cell>
          <cell r="H3753">
            <v>5034446</v>
          </cell>
          <cell r="AK3753" t="str">
            <v>Juan Pimentel</v>
          </cell>
        </row>
        <row r="3754">
          <cell r="C3754" t="str">
            <v>Credit_Ag_CyberDFS_Compl_Ext</v>
          </cell>
          <cell r="H3754">
            <v>5034014</v>
          </cell>
          <cell r="AK3754" t="str">
            <v>Thanh Le Xuan</v>
          </cell>
        </row>
        <row r="3755">
          <cell r="C3755" t="str">
            <v>RBCUS - Compliance OSFI PM ext</v>
          </cell>
          <cell r="H3755">
            <v>5034937</v>
          </cell>
          <cell r="AK3755" t="str">
            <v>Jason Malcolm</v>
          </cell>
        </row>
        <row r="3756">
          <cell r="C3756" t="str">
            <v>Jeff_Qlikview Support 2019</v>
          </cell>
          <cell r="H3756">
            <v>5035338</v>
          </cell>
          <cell r="AK3756" t="str">
            <v>John McCaffrey</v>
          </cell>
        </row>
        <row r="3757">
          <cell r="C3757" t="str">
            <v>Santander_InfoSec Program</v>
          </cell>
          <cell r="H3757">
            <v>5035037</v>
          </cell>
          <cell r="AK3757" t="str">
            <v>Ridha Mesli</v>
          </cell>
        </row>
        <row r="3758">
          <cell r="C3758" t="str">
            <v>Santander_InfoSec Req Doc</v>
          </cell>
          <cell r="H3758">
            <v>5035102</v>
          </cell>
          <cell r="AK3758" t="str">
            <v>Ridha Mesli</v>
          </cell>
        </row>
        <row r="3759">
          <cell r="C3759" t="str">
            <v>FrMc_CDW Support</v>
          </cell>
          <cell r="H3759">
            <v>5034672</v>
          </cell>
          <cell r="AK3759" t="str">
            <v>Mike Peretz</v>
          </cell>
        </row>
        <row r="3760">
          <cell r="C3760" t="str">
            <v>Citi_OCC Part 30 Data Team</v>
          </cell>
          <cell r="H3760">
            <v>5035086</v>
          </cell>
          <cell r="AK3760" t="str">
            <v>Balaji Ramamurthy</v>
          </cell>
        </row>
        <row r="3761">
          <cell r="C3761" t="str">
            <v>MS_Payment Control 2019</v>
          </cell>
          <cell r="H3761">
            <v>5035150</v>
          </cell>
          <cell r="AK3761" t="str">
            <v>Ruben Sooriya</v>
          </cell>
        </row>
        <row r="3762">
          <cell r="C3762" t="str">
            <v>MS_S&amp;A 2019</v>
          </cell>
          <cell r="H3762">
            <v>5035075</v>
          </cell>
          <cell r="AK3762" t="str">
            <v>Alexander Collyer</v>
          </cell>
        </row>
        <row r="3763">
          <cell r="C3763" t="str">
            <v>FrMc_ILM - Multi Family</v>
          </cell>
          <cell r="H3763">
            <v>5035055</v>
          </cell>
          <cell r="AK3763" t="str">
            <v>Thadi Murali</v>
          </cell>
        </row>
        <row r="3764">
          <cell r="C3764" t="str">
            <v>Delmarva-BSA Monit Review</v>
          </cell>
          <cell r="H3764">
            <v>5034848</v>
          </cell>
          <cell r="AK3764" t="str">
            <v>William Sachs</v>
          </cell>
        </row>
        <row r="3765">
          <cell r="C3765" t="str">
            <v>Cape Cod 5c-GLBA Risk Assmnt</v>
          </cell>
          <cell r="H3765">
            <v>5034913</v>
          </cell>
          <cell r="AK3765" t="str">
            <v>Leigh Tribou</v>
          </cell>
        </row>
        <row r="3766">
          <cell r="C3766" t="str">
            <v>Brad_Next-Agora Str Ment INTL</v>
          </cell>
          <cell r="H3766">
            <v>5035359</v>
          </cell>
          <cell r="AK3766" t="str">
            <v>Rodrigo Constantino</v>
          </cell>
        </row>
        <row r="3767">
          <cell r="C3767" t="str">
            <v>First National Bank of Ten_RAS</v>
          </cell>
          <cell r="H3767">
            <v>5039649</v>
          </cell>
          <cell r="AK3767" t="str">
            <v>Diane Banks</v>
          </cell>
        </row>
        <row r="3768">
          <cell r="C3768" t="str">
            <v>Guardians-Compl Review Program</v>
          </cell>
          <cell r="H3768">
            <v>5035017</v>
          </cell>
          <cell r="AK3768" t="str">
            <v>Louvera Walden</v>
          </cell>
        </row>
        <row r="3769">
          <cell r="C3769" t="str">
            <v>MS_FID Marketing</v>
          </cell>
          <cell r="H3769">
            <v>5035202</v>
          </cell>
          <cell r="AK3769" t="str">
            <v>Frank Merla</v>
          </cell>
        </row>
        <row r="3770">
          <cell r="C3770" t="str">
            <v>HSBC_GBM-CDO - Data Analyst</v>
          </cell>
          <cell r="H3770">
            <v>5035035</v>
          </cell>
          <cell r="AK3770" t="str">
            <v>Rahul Govada</v>
          </cell>
        </row>
        <row r="3771">
          <cell r="C3771" t="str">
            <v>Enterprise-Fair Lndg File Rev</v>
          </cell>
          <cell r="H3771">
            <v>5035147</v>
          </cell>
          <cell r="AK3771" t="str">
            <v>Paula Witt</v>
          </cell>
        </row>
        <row r="3772">
          <cell r="C3772" t="str">
            <v>HB_FDIC 370 Rule Implemen</v>
          </cell>
          <cell r="H3772">
            <v>5035054</v>
          </cell>
          <cell r="AK3772" t="str">
            <v>Christopher Martines</v>
          </cell>
        </row>
        <row r="3773">
          <cell r="C3773" t="str">
            <v>5th3rd_2019 Tier1 Support</v>
          </cell>
          <cell r="H3773">
            <v>5035052</v>
          </cell>
          <cell r="AK3773" t="str">
            <v>Tulsi Mehta</v>
          </cell>
        </row>
        <row r="3774">
          <cell r="C3774" t="str">
            <v>HSBC_GBM Process Mapping</v>
          </cell>
          <cell r="H3774">
            <v>5034521</v>
          </cell>
          <cell r="AK3774" t="str">
            <v>Rahul Govada</v>
          </cell>
        </row>
        <row r="3775">
          <cell r="C3775" t="str">
            <v>MutualOne-Flood Training</v>
          </cell>
          <cell r="H3775">
            <v>5035078</v>
          </cell>
          <cell r="AK3775" t="str">
            <v>Leigh Tribou</v>
          </cell>
        </row>
        <row r="3776">
          <cell r="C3776" t="str">
            <v>Hanover Community Bank_RAS</v>
          </cell>
          <cell r="H3776">
            <v>5039510</v>
          </cell>
          <cell r="AK3776" t="str">
            <v>Diane Banks</v>
          </cell>
        </row>
        <row r="3777">
          <cell r="C3777" t="str">
            <v>CTCommunity - CMSO</v>
          </cell>
          <cell r="H3777">
            <v>5035275</v>
          </cell>
          <cell r="AK3777" t="str">
            <v>John Eshoo</v>
          </cell>
        </row>
        <row r="3778">
          <cell r="C3778" t="str">
            <v>Seaside-HMDA CRA Review</v>
          </cell>
          <cell r="H3778">
            <v>5035151</v>
          </cell>
          <cell r="AK3778" t="str">
            <v>Juan Pimentel</v>
          </cell>
        </row>
        <row r="3779">
          <cell r="C3779" t="str">
            <v>GL RIA Strategy Phase 2</v>
          </cell>
          <cell r="H3779">
            <v>5035091</v>
          </cell>
          <cell r="AK3779" t="str">
            <v>Phil Kerkel</v>
          </cell>
        </row>
        <row r="3780">
          <cell r="C3780" t="str">
            <v>HancockWB-ERM Content Consul</v>
          </cell>
          <cell r="H3780">
            <v>5035284</v>
          </cell>
          <cell r="AK3780" t="str">
            <v>Tania Makuh</v>
          </cell>
        </row>
        <row r="3781">
          <cell r="C3781" t="str">
            <v>Silvergate-BSA System Review</v>
          </cell>
          <cell r="H3781">
            <v>5035152</v>
          </cell>
          <cell r="AK3781" t="str">
            <v>William Sachs</v>
          </cell>
        </row>
        <row r="3782">
          <cell r="C3782" t="str">
            <v>UB_UCL UAT - SOW 63</v>
          </cell>
          <cell r="H3782">
            <v>5035161</v>
          </cell>
          <cell r="AK3782" t="str">
            <v>Michael Walker</v>
          </cell>
        </row>
        <row r="3783">
          <cell r="C3783" t="str">
            <v>Jeff Flow Monitor - 2018 Ext3</v>
          </cell>
          <cell r="H3783">
            <v>5035316</v>
          </cell>
          <cell r="AK3783" t="str">
            <v>Jeffrey Gheraldi</v>
          </cell>
        </row>
        <row r="3784">
          <cell r="C3784" t="str">
            <v>HB_Data Analyst</v>
          </cell>
          <cell r="H3784">
            <v>5034673</v>
          </cell>
          <cell r="AK3784" t="str">
            <v>Daragh Fitzpatrick</v>
          </cell>
        </row>
        <row r="3785">
          <cell r="C3785" t="str">
            <v>Kony_Digital Bridge Ph0</v>
          </cell>
          <cell r="H3785">
            <v>5035153</v>
          </cell>
          <cell r="AK3785" t="str">
            <v>Benjamin Nowikowski</v>
          </cell>
        </row>
        <row r="3786">
          <cell r="C3786" t="str">
            <v>Jeff_Callidus Q1 2019</v>
          </cell>
          <cell r="H3786">
            <v>5035315</v>
          </cell>
          <cell r="AK3786" t="str">
            <v>Robert Norris</v>
          </cell>
        </row>
        <row r="3787">
          <cell r="C3787" t="str">
            <v>ColoradoFSB-BSAAML ProgRevw 19</v>
          </cell>
          <cell r="H3787">
            <v>5029877</v>
          </cell>
          <cell r="AK3787" t="str">
            <v>Benay Nachin</v>
          </cell>
        </row>
        <row r="3788">
          <cell r="C3788" t="str">
            <v>Unified-OD Protection Rev</v>
          </cell>
          <cell r="H3788">
            <v>5035186</v>
          </cell>
          <cell r="AK3788" t="str">
            <v>Steve Manitzas</v>
          </cell>
        </row>
        <row r="3789">
          <cell r="C3789" t="str">
            <v>HSBC_GBM-FundStr_Contractor</v>
          </cell>
          <cell r="H3789">
            <v>5035502</v>
          </cell>
          <cell r="AK3789" t="str">
            <v>Rahul Govada</v>
          </cell>
        </row>
        <row r="3790">
          <cell r="C3790" t="str">
            <v>Haven Savings Bank_RAS</v>
          </cell>
          <cell r="H3790">
            <v>5039671</v>
          </cell>
          <cell r="AK3790" t="str">
            <v>Diane Banks</v>
          </cell>
        </row>
        <row r="3791">
          <cell r="C3791" t="str">
            <v>Mutual Bank-Fair Lndg File Rev</v>
          </cell>
          <cell r="H3791">
            <v>5035199</v>
          </cell>
          <cell r="AK3791" t="str">
            <v>Leigh Tribou</v>
          </cell>
        </row>
        <row r="3792">
          <cell r="C3792" t="str">
            <v>FranklinSyn-HMDA Data Int Rev</v>
          </cell>
          <cell r="H3792">
            <v>5035204</v>
          </cell>
          <cell r="AK3792" t="str">
            <v>Juan Pimentel</v>
          </cell>
        </row>
        <row r="3793">
          <cell r="C3793" t="str">
            <v>PreferredCA-Compl Audit Review</v>
          </cell>
          <cell r="H3793">
            <v>5035198</v>
          </cell>
          <cell r="AK3793" t="str">
            <v>Mary Louise Radley</v>
          </cell>
        </row>
        <row r="3794">
          <cell r="C3794" t="str">
            <v>Centennial-HMDA Data Valid</v>
          </cell>
          <cell r="H3794">
            <v>5035311</v>
          </cell>
          <cell r="AK3794" t="str">
            <v>Juan Pimentel</v>
          </cell>
        </row>
        <row r="3795">
          <cell r="C3795" t="str">
            <v>Country NY-BSA System Val</v>
          </cell>
          <cell r="H3795">
            <v>5035155</v>
          </cell>
          <cell r="AK3795" t="str">
            <v>Denise Rinear</v>
          </cell>
        </row>
        <row r="3796">
          <cell r="C3796" t="str">
            <v>FrMc_BR IMO SF (ext)</v>
          </cell>
          <cell r="H3796">
            <v>5035106</v>
          </cell>
          <cell r="AK3796" t="str">
            <v>Thea Smith</v>
          </cell>
        </row>
        <row r="3797">
          <cell r="C3797" t="str">
            <v>FrMc_Payments Fraud</v>
          </cell>
          <cell r="H3797">
            <v>5035056</v>
          </cell>
          <cell r="AK3797" t="str">
            <v>Sonal Das</v>
          </cell>
        </row>
        <row r="3798">
          <cell r="C3798" t="str">
            <v>HSBC_RBW-CDD ICO</v>
          </cell>
          <cell r="H3798">
            <v>5035121</v>
          </cell>
          <cell r="AK3798" t="str">
            <v>Rahul Govada</v>
          </cell>
        </row>
        <row r="3799">
          <cell r="C3799" t="str">
            <v>BBT_FDIC 370 Compliance Ph2</v>
          </cell>
          <cell r="H3799">
            <v>5033736</v>
          </cell>
          <cell r="AK3799" t="str">
            <v>Kelsey Popplewell</v>
          </cell>
        </row>
        <row r="3800">
          <cell r="C3800" t="str">
            <v>FrMc_ILM - Treasury</v>
          </cell>
          <cell r="H3800">
            <v>5035036</v>
          </cell>
          <cell r="AK3800" t="str">
            <v>Karl Augenstein</v>
          </cell>
        </row>
        <row r="3801">
          <cell r="C3801" t="str">
            <v>FrMc_GBS-MF Process Controls</v>
          </cell>
          <cell r="H3801">
            <v>5035065</v>
          </cell>
          <cell r="AK3801" t="str">
            <v>Thadi Murali</v>
          </cell>
        </row>
        <row r="3802">
          <cell r="C3802" t="str">
            <v>FrMc_Workload Migration Ext</v>
          </cell>
          <cell r="H3802">
            <v>5035007</v>
          </cell>
          <cell r="AK3802" t="str">
            <v>Pranav Mehan</v>
          </cell>
        </row>
        <row r="3803">
          <cell r="C3803" t="str">
            <v>MS Product &amp; Pricing Workshop</v>
          </cell>
          <cell r="H3803">
            <v>5035221</v>
          </cell>
          <cell r="AK3803" t="str">
            <v>Aoife Hogan</v>
          </cell>
        </row>
        <row r="3804">
          <cell r="C3804" t="str">
            <v>FrMc_BR IMO (ext)</v>
          </cell>
          <cell r="H3804">
            <v>5035131</v>
          </cell>
          <cell r="AK3804" t="str">
            <v>Christopher Martines</v>
          </cell>
        </row>
        <row r="3805">
          <cell r="C3805" t="str">
            <v>DFS 500 Cybersec Audit review</v>
          </cell>
          <cell r="H3805">
            <v>5034014</v>
          </cell>
          <cell r="AK3805" t="str">
            <v>Thanh Le Xuan</v>
          </cell>
        </row>
        <row r="3806">
          <cell r="C3806" t="str">
            <v>UB_Digital RCM DDM (SOW 67)</v>
          </cell>
          <cell r="H3806">
            <v>5035258</v>
          </cell>
          <cell r="AK3806" t="str">
            <v>Adrian Ungureanu</v>
          </cell>
        </row>
        <row r="3807">
          <cell r="C3807" t="str">
            <v>HSBC_GPB-Aladdin Support 2</v>
          </cell>
          <cell r="H3807">
            <v>5035144</v>
          </cell>
          <cell r="AK3807" t="str">
            <v>Rahul Govada</v>
          </cell>
        </row>
        <row r="3808">
          <cell r="C3808" t="str">
            <v>MS_ISG COB Amd 2</v>
          </cell>
          <cell r="H3808">
            <v>5035221</v>
          </cell>
          <cell r="AK3808" t="str">
            <v>Aoife Hogan</v>
          </cell>
        </row>
        <row r="3809">
          <cell r="C3809" t="str">
            <v>Shizuoka-BSA Ind Tst Compl Rev</v>
          </cell>
          <cell r="H3809">
            <v>5035079</v>
          </cell>
          <cell r="AK3809" t="str">
            <v>Paul McCabe</v>
          </cell>
        </row>
        <row r="3810">
          <cell r="C3810" t="str">
            <v>PatriotBank-Fair Lending RA</v>
          </cell>
          <cell r="H3810">
            <v>5035468</v>
          </cell>
          <cell r="AK3810" t="str">
            <v>Mariana Dumanovsky</v>
          </cell>
        </row>
        <row r="3811">
          <cell r="C3811" t="str">
            <v>PatriotBank-Training</v>
          </cell>
          <cell r="H3811">
            <v>5035472</v>
          </cell>
          <cell r="AK3811" t="str">
            <v>Mariana Dumanovsky</v>
          </cell>
        </row>
        <row r="3812">
          <cell r="C3812" t="str">
            <v>BancoBrasil-BSA Ind Test</v>
          </cell>
          <cell r="H3812">
            <v>5034852</v>
          </cell>
          <cell r="AK3812" t="str">
            <v>Charles Mcwilliam</v>
          </cell>
        </row>
        <row r="3813">
          <cell r="C3813" t="str">
            <v>UBS DMO 2019 Project Pentagon</v>
          </cell>
          <cell r="H3813">
            <v>5035268</v>
          </cell>
          <cell r="AK3813" t="str">
            <v>Daniel Holness</v>
          </cell>
        </row>
        <row r="3814">
          <cell r="C3814" t="str">
            <v>Baltimore-HMDA Scrub</v>
          </cell>
          <cell r="H3814">
            <v>5035242</v>
          </cell>
          <cell r="AK3814" t="str">
            <v>W. Annette Dredden</v>
          </cell>
        </row>
        <row r="3815">
          <cell r="C3815" t="str">
            <v>1stNatBk-BSA Model Valid</v>
          </cell>
          <cell r="H3815">
            <v>5035516</v>
          </cell>
          <cell r="AK3815" t="str">
            <v>Denise Rinear</v>
          </cell>
        </row>
        <row r="3816">
          <cell r="C3816" t="str">
            <v>Monument PA - HMDA Review</v>
          </cell>
          <cell r="H3816">
            <v>5034866</v>
          </cell>
          <cell r="AK3816" t="str">
            <v>Gail Rassler</v>
          </cell>
        </row>
        <row r="3817">
          <cell r="C3817" t="str">
            <v>BerkshireMA-Int BSA Officer</v>
          </cell>
          <cell r="H3817">
            <v>5035279</v>
          </cell>
          <cell r="AK3817" t="str">
            <v>Benay Nachin</v>
          </cell>
        </row>
        <row r="3818">
          <cell r="C3818" t="str">
            <v>MS S&amp;A - E&amp;A Expansion</v>
          </cell>
          <cell r="H3818">
            <v>5035075</v>
          </cell>
          <cell r="AK3818" t="str">
            <v>Alexander Collyer</v>
          </cell>
        </row>
        <row r="3819">
          <cell r="C3819" t="str">
            <v>HSBC_OPS-Host CAO</v>
          </cell>
          <cell r="H3819">
            <v>5035491</v>
          </cell>
          <cell r="AK3819" t="str">
            <v>Rahul Govada</v>
          </cell>
        </row>
        <row r="3820">
          <cell r="C3820" t="str">
            <v>MS_TPRM Concentration Risk</v>
          </cell>
          <cell r="H3820">
            <v>5035314</v>
          </cell>
          <cell r="AK3820" t="str">
            <v>Dan Schutzman</v>
          </cell>
        </row>
        <row r="3821">
          <cell r="C3821" t="str">
            <v>HSBC_RSK-DataMgmt</v>
          </cell>
          <cell r="H3821">
            <v>5035296</v>
          </cell>
          <cell r="AK3821" t="str">
            <v>Rahul Govada</v>
          </cell>
        </row>
        <row r="3822">
          <cell r="C3822" t="str">
            <v>Dime Community Bank_RAS</v>
          </cell>
          <cell r="H3822">
            <v>5039479</v>
          </cell>
          <cell r="AK3822" t="str">
            <v>Diane Banks</v>
          </cell>
        </row>
        <row r="3823">
          <cell r="C3823" t="str">
            <v>ProvidentNJ-Pol Proc Review</v>
          </cell>
          <cell r="H3823">
            <v>5035219</v>
          </cell>
          <cell r="AK3823" t="str">
            <v>John Eshoo</v>
          </cell>
        </row>
        <row r="3824">
          <cell r="C3824" t="str">
            <v>Dedham Institution for Sav_RAS</v>
          </cell>
          <cell r="H3824">
            <v>5039477</v>
          </cell>
          <cell r="AK3824" t="str">
            <v>Diane Banks</v>
          </cell>
        </row>
        <row r="3825">
          <cell r="C3825" t="str">
            <v>FM_DATI PM Extension</v>
          </cell>
          <cell r="H3825">
            <v>5035260</v>
          </cell>
          <cell r="AK3825" t="str">
            <v>Sabrina Amjad</v>
          </cell>
        </row>
        <row r="3826">
          <cell r="C3826" t="str">
            <v>UB_SOW 66 MRA Support</v>
          </cell>
          <cell r="H3826">
            <v>5035358</v>
          </cell>
          <cell r="AK3826" t="str">
            <v>Betsy Cherian</v>
          </cell>
        </row>
        <row r="3827">
          <cell r="C3827" t="str">
            <v>DimeComm - 2018 HMDA Review</v>
          </cell>
          <cell r="H3827">
            <v>5035329</v>
          </cell>
          <cell r="AK3827" t="str">
            <v>Mariana Dumanovsky</v>
          </cell>
        </row>
        <row r="3828">
          <cell r="C3828" t="str">
            <v>Fundbox-Model Risk Mgmt Cons</v>
          </cell>
          <cell r="H3828">
            <v>5035369</v>
          </cell>
          <cell r="AK3828" t="str">
            <v>Denise Rinear</v>
          </cell>
        </row>
        <row r="3829">
          <cell r="C3829" t="str">
            <v>FNB Sioux - Training</v>
          </cell>
          <cell r="H3829">
            <v>5035377</v>
          </cell>
          <cell r="AK3829" t="str">
            <v>Diane Banks</v>
          </cell>
        </row>
        <row r="3830">
          <cell r="C3830" t="str">
            <v>FrMc_CSP 2019</v>
          </cell>
          <cell r="H3830">
            <v>5035251</v>
          </cell>
          <cell r="AK3830" t="str">
            <v>Thomas Wilson</v>
          </cell>
        </row>
        <row r="3831">
          <cell r="C3831" t="str">
            <v>CenturyBTC-Info Sec Officer</v>
          </cell>
          <cell r="H3831">
            <v>5035287</v>
          </cell>
          <cell r="AK3831" t="str">
            <v>Robert Farmer</v>
          </cell>
        </row>
        <row r="3832">
          <cell r="C3832" t="str">
            <v>Cadence - ERM Consulting</v>
          </cell>
          <cell r="H3832">
            <v>5035243</v>
          </cell>
          <cell r="AK3832" t="str">
            <v>Patti Harrison</v>
          </cell>
        </row>
        <row r="3833">
          <cell r="C3833" t="str">
            <v>UniBank - ERM Consulting</v>
          </cell>
          <cell r="H3833">
            <v>5035305</v>
          </cell>
          <cell r="AK3833" t="str">
            <v>Denise Rinear</v>
          </cell>
        </row>
        <row r="3834">
          <cell r="C3834" t="str">
            <v>MS Tech Workflow - Feb 19 ext</v>
          </cell>
          <cell r="H3834">
            <v>5034210</v>
          </cell>
          <cell r="AK3834" t="str">
            <v>Rad Ashok</v>
          </cell>
        </row>
        <row r="3835">
          <cell r="C3835" t="str">
            <v>Amalgamated-ERM Review</v>
          </cell>
          <cell r="H3835">
            <v>5035367</v>
          </cell>
          <cell r="AK3835" t="str">
            <v>Denise Rinear</v>
          </cell>
        </row>
        <row r="3836">
          <cell r="C3836" t="str">
            <v>CSS_CFO Strategy 2019</v>
          </cell>
          <cell r="H3836">
            <v>5032066</v>
          </cell>
          <cell r="AK3836" t="str">
            <v>John Hickman</v>
          </cell>
        </row>
        <row r="3837">
          <cell r="C3837" t="str">
            <v>ICB China NY-BSA Consulting</v>
          </cell>
          <cell r="H3837">
            <v>5035410</v>
          </cell>
          <cell r="AK3837" t="str">
            <v>Mary Louise Radley</v>
          </cell>
        </row>
        <row r="3838">
          <cell r="C3838" t="str">
            <v>FrMc_CSP IT PMO Ext</v>
          </cell>
          <cell r="H3838">
            <v>5035181</v>
          </cell>
          <cell r="AK3838" t="str">
            <v>Darrell Rials</v>
          </cell>
        </row>
        <row r="3839">
          <cell r="C3839" t="str">
            <v>HSBC_RBW-COO</v>
          </cell>
          <cell r="H3839">
            <v>5035350</v>
          </cell>
          <cell r="AK3839" t="str">
            <v>Rahul Govada</v>
          </cell>
        </row>
        <row r="3840">
          <cell r="C3840" t="str">
            <v>Middletown - CMSE</v>
          </cell>
          <cell r="H3840">
            <v>5035514</v>
          </cell>
          <cell r="AK3840" t="str">
            <v>Bonita Riccaboni</v>
          </cell>
        </row>
        <row r="3841">
          <cell r="C3841" t="str">
            <v>City Natl FL-BSA Alert Clrng</v>
          </cell>
          <cell r="H3841">
            <v>5035405</v>
          </cell>
          <cell r="AK3841" t="str">
            <v>Ginger Dahlin</v>
          </cell>
        </row>
        <row r="3842">
          <cell r="C3842" t="str">
            <v>HSBC_RBW-Lending 3</v>
          </cell>
          <cell r="H3842">
            <v>5034934</v>
          </cell>
          <cell r="AK3842" t="str">
            <v>Rahul Govada</v>
          </cell>
        </row>
        <row r="3843">
          <cell r="C3843" t="str">
            <v>RBCUS - Qlik team Extension</v>
          </cell>
          <cell r="H3843">
            <v>5034393</v>
          </cell>
          <cell r="AK3843" t="str">
            <v>Jason Malcolm</v>
          </cell>
        </row>
        <row r="3844">
          <cell r="C3844" t="str">
            <v>CSS_ePMO Leadership&amp;Spt Amd5</v>
          </cell>
          <cell r="H3844">
            <v>5029379</v>
          </cell>
          <cell r="AK3844" t="str">
            <v>John Hickman</v>
          </cell>
        </row>
        <row r="3845">
          <cell r="C3845" t="str">
            <v>5th3rd_v2020 portal strat</v>
          </cell>
          <cell r="H3845">
            <v>5035357</v>
          </cell>
          <cell r="AK3845" t="str">
            <v>Tulsi Mehta</v>
          </cell>
        </row>
        <row r="3846">
          <cell r="C3846" t="str">
            <v>UB_REI PM SOW68</v>
          </cell>
          <cell r="H3846">
            <v>5035368</v>
          </cell>
          <cell r="AK3846" t="str">
            <v>Samuel Awsumb</v>
          </cell>
        </row>
        <row r="3847">
          <cell r="C3847" t="str">
            <v>WF_Brexit Ops Remediation</v>
          </cell>
          <cell r="H3847">
            <v>5035326</v>
          </cell>
          <cell r="AK3847" t="str">
            <v>Tasha Giles</v>
          </cell>
        </row>
        <row r="3848">
          <cell r="C3848" t="str">
            <v>ReVan_PMO ph 1</v>
          </cell>
          <cell r="H3848">
            <v>5035364</v>
          </cell>
          <cell r="AK3848" t="str">
            <v>George Lilly</v>
          </cell>
        </row>
        <row r="3849">
          <cell r="C3849" t="str">
            <v>FrMc_ODS R9 Amd 2</v>
          </cell>
          <cell r="H3849">
            <v>5035077</v>
          </cell>
          <cell r="AK3849" t="str">
            <v>David Williams</v>
          </cell>
        </row>
        <row r="3850">
          <cell r="C3850" t="str">
            <v>Jeff_Madison 2019 Rebaseline</v>
          </cell>
          <cell r="H3850">
            <v>5035388</v>
          </cell>
          <cell r="AK3850" t="str">
            <v>Ripple Bhullar</v>
          </cell>
        </row>
        <row r="3851">
          <cell r="C3851" t="str">
            <v>MS_FID Recruiting App</v>
          </cell>
          <cell r="H3851">
            <v>5035344</v>
          </cell>
          <cell r="AK3851" t="str">
            <v>Kimberly Sawyer</v>
          </cell>
        </row>
        <row r="3852">
          <cell r="C3852" t="str">
            <v>Jeff_Sybase Retirement PM Ext</v>
          </cell>
          <cell r="H3852">
            <v>5035365</v>
          </cell>
          <cell r="AK3852" t="str">
            <v>Jeffrey Gheraldi</v>
          </cell>
        </row>
        <row r="3853">
          <cell r="C3853" t="str">
            <v>Jeff_Oracle HCM and LMS PM</v>
          </cell>
          <cell r="H3853">
            <v>5035382</v>
          </cell>
          <cell r="AK3853" t="str">
            <v>Jeffrey Gheraldi</v>
          </cell>
        </row>
        <row r="3854">
          <cell r="C3854" t="str">
            <v>M&amp;T - RCM</v>
          </cell>
          <cell r="H3854">
            <v>5034769</v>
          </cell>
          <cell r="AK3854" t="str">
            <v>Leah Robinson</v>
          </cell>
        </row>
        <row r="3855">
          <cell r="C3855" t="str">
            <v>BMO Harris_Data Gov Acq Sup</v>
          </cell>
          <cell r="H3855">
            <v>5033307</v>
          </cell>
          <cell r="AK3855" t="str">
            <v>Kyle Marynowski</v>
          </cell>
        </row>
        <row r="3856">
          <cell r="C3856" t="str">
            <v>DB_GTB Tech4Ops</v>
          </cell>
          <cell r="H3856">
            <v>5035545</v>
          </cell>
          <cell r="AK3856" t="str">
            <v>Sandra Paris</v>
          </cell>
        </row>
        <row r="3857">
          <cell r="C3857" t="str">
            <v>Noah Bank - BSA Risk Assess</v>
          </cell>
          <cell r="H3857">
            <v>5035386</v>
          </cell>
          <cell r="AK3857" t="str">
            <v>Nancy Gregory</v>
          </cell>
        </row>
        <row r="3858">
          <cell r="C3858" t="str">
            <v>DimeComm-Lending Reviews</v>
          </cell>
          <cell r="H3858">
            <v>5035436</v>
          </cell>
          <cell r="AK3858" t="str">
            <v>Mariana Dumanovsky</v>
          </cell>
        </row>
        <row r="3859">
          <cell r="C3859" t="str">
            <v>UBS_CM - Public Finance</v>
          </cell>
          <cell r="H3859">
            <v>5035363</v>
          </cell>
          <cell r="AK3859" t="str">
            <v>Matthew Faraone</v>
          </cell>
        </row>
        <row r="3860">
          <cell r="C3860" t="str">
            <v>CA_CACIB Payments and AML</v>
          </cell>
          <cell r="H3860">
            <v>5035431</v>
          </cell>
          <cell r="AK3860" t="str">
            <v>Thanh Le Xuan</v>
          </cell>
        </row>
        <row r="3861">
          <cell r="C3861" t="str">
            <v>Santander_Data Steward Sup</v>
          </cell>
          <cell r="H3861">
            <v>5035342</v>
          </cell>
          <cell r="AK3861" t="str">
            <v>Ridha Mesli</v>
          </cell>
        </row>
        <row r="3862">
          <cell r="C3862" t="str">
            <v>ReVan_L&amp;LS PMO</v>
          </cell>
          <cell r="H3862">
            <v>5035518</v>
          </cell>
          <cell r="AK3862" t="str">
            <v>George Lilly</v>
          </cell>
        </row>
        <row r="3863">
          <cell r="C3863" t="str">
            <v>Woodforest-FDIC 370</v>
          </cell>
          <cell r="H3863">
            <v>5035356</v>
          </cell>
          <cell r="AK3863" t="str">
            <v>Paul Brinker</v>
          </cell>
        </row>
        <row r="3864">
          <cell r="C3864" t="str">
            <v>WF_Ops PME_Imagine to CDBO UAT</v>
          </cell>
          <cell r="H3864">
            <v>5035511</v>
          </cell>
          <cell r="AK3864" t="str">
            <v>Edward Kelley</v>
          </cell>
        </row>
        <row r="3865">
          <cell r="C3865" t="str">
            <v>Jeff_Callidus Deploy</v>
          </cell>
          <cell r="H3865">
            <v>5035988</v>
          </cell>
          <cell r="AK3865" t="str">
            <v>Robert Norris</v>
          </cell>
        </row>
        <row r="3866">
          <cell r="C3866" t="str">
            <v>ReVan_BI Data lead p1</v>
          </cell>
          <cell r="H3866">
            <v>5035539</v>
          </cell>
          <cell r="AK3866" t="str">
            <v>Reid Simon</v>
          </cell>
        </row>
        <row r="3867">
          <cell r="C3867" t="str">
            <v>NatCap WA-BSA Program Support</v>
          </cell>
          <cell r="H3867">
            <v>5035587</v>
          </cell>
          <cell r="AK3867" t="str">
            <v>Steve Manitzas</v>
          </cell>
        </row>
        <row r="3868">
          <cell r="C3868" t="str">
            <v>Jeff_Ops CTB Renewal 2019-2022</v>
          </cell>
          <cell r="H3868">
            <v>5034770</v>
          </cell>
          <cell r="AK3868" t="str">
            <v>Imran Parekh</v>
          </cell>
        </row>
        <row r="3869">
          <cell r="C3869" t="str">
            <v>UNQ_Unqork Partnership</v>
          </cell>
          <cell r="H3869">
            <v>5035657</v>
          </cell>
          <cell r="AK3869" t="str">
            <v>Rad Ashok</v>
          </cell>
        </row>
        <row r="3870">
          <cell r="C3870" t="str">
            <v>Jefferies GCTAC Migration</v>
          </cell>
          <cell r="H3870">
            <v>5035607</v>
          </cell>
          <cell r="AK3870" t="str">
            <v>Pratik Das</v>
          </cell>
        </row>
        <row r="3871">
          <cell r="C3871" t="str">
            <v>BOTW_Data&amp;tech Req Ph2</v>
          </cell>
          <cell r="H3871">
            <v>5033858</v>
          </cell>
          <cell r="AK3871" t="str">
            <v>Martin Amend</v>
          </cell>
        </row>
        <row r="3872">
          <cell r="C3872" t="str">
            <v>Popular-Cust Exper Design</v>
          </cell>
          <cell r="H3872">
            <v>5035591</v>
          </cell>
          <cell r="AK3872" t="str">
            <v>Season Man</v>
          </cell>
        </row>
        <row r="3873">
          <cell r="C3873" t="str">
            <v>Howard - CRA Scrub</v>
          </cell>
          <cell r="H3873">
            <v>5035517</v>
          </cell>
          <cell r="AK3873" t="str">
            <v>Elizabeth Rozsa</v>
          </cell>
        </row>
        <row r="3874">
          <cell r="C3874" t="str">
            <v>Seaside-BSA Monitoring</v>
          </cell>
          <cell r="H3874">
            <v>5035391</v>
          </cell>
          <cell r="AK3874" t="str">
            <v>Charles Mcwilliam</v>
          </cell>
        </row>
        <row r="3875">
          <cell r="C3875" t="str">
            <v>Habib-CRA Scrub</v>
          </cell>
          <cell r="H3875">
            <v>5035528</v>
          </cell>
          <cell r="AK3875" t="str">
            <v>Paula Witt</v>
          </cell>
        </row>
        <row r="3876">
          <cell r="C3876" t="str">
            <v>InvestCloud_BA Support</v>
          </cell>
          <cell r="H3876">
            <v>5035559</v>
          </cell>
          <cell r="AK3876" t="str">
            <v>Benjamin Kornblum</v>
          </cell>
        </row>
        <row r="3877">
          <cell r="C3877" t="str">
            <v>Pru_DFS 187 Strategy</v>
          </cell>
          <cell r="H3877">
            <v>5035567</v>
          </cell>
          <cell r="AK3877" t="str">
            <v>Phil Kerkel</v>
          </cell>
        </row>
        <row r="3878">
          <cell r="C3878" t="str">
            <v>PatriotBank-BSA Risk Assmnt</v>
          </cell>
          <cell r="H3878">
            <v>5035470</v>
          </cell>
          <cell r="AK3878" t="str">
            <v>Mariana Dumanovsky</v>
          </cell>
        </row>
        <row r="3879">
          <cell r="C3879" t="str">
            <v>FrMa_(GBS)MF Process Controls</v>
          </cell>
          <cell r="H3879">
            <v>5035565</v>
          </cell>
          <cell r="AK3879" t="str">
            <v>Thadi Murali</v>
          </cell>
        </row>
        <row r="3880">
          <cell r="C3880" t="str">
            <v>PeoplesBank-BSA RA Review</v>
          </cell>
          <cell r="H3880">
            <v>5035592</v>
          </cell>
          <cell r="AK3880" t="str">
            <v>Nancy Gregory</v>
          </cell>
        </row>
        <row r="3881">
          <cell r="C3881" t="str">
            <v>UBS_DMF Comms</v>
          </cell>
          <cell r="H3881">
            <v>5035682</v>
          </cell>
          <cell r="AK3881" t="str">
            <v>Daniel Holness</v>
          </cell>
        </row>
        <row r="3882">
          <cell r="C3882" t="str">
            <v>HSBC_RBW-Lending 4</v>
          </cell>
          <cell r="H3882">
            <v>5034934</v>
          </cell>
          <cell r="AK3882" t="str">
            <v>Rahul Govada</v>
          </cell>
        </row>
        <row r="3883">
          <cell r="C3883" t="str">
            <v>HB_Data Initiatives CO1</v>
          </cell>
          <cell r="H3883">
            <v>5034653</v>
          </cell>
          <cell r="AK3883" t="str">
            <v>Pete Grebus</v>
          </cell>
        </row>
        <row r="3884">
          <cell r="C3884" t="str">
            <v>SVB_Design Thinking CRM</v>
          </cell>
          <cell r="H3884">
            <v>5035608</v>
          </cell>
          <cell r="AK3884" t="str">
            <v>Meghan Byrnes-Borderan</v>
          </cell>
        </row>
        <row r="3885">
          <cell r="C3885" t="str">
            <v>FrMc_Re-imagine-IT PMO</v>
          </cell>
          <cell r="H3885">
            <v>5035598</v>
          </cell>
          <cell r="AK3885" t="str">
            <v>John Napolitano</v>
          </cell>
        </row>
        <row r="3886">
          <cell r="C3886" t="str">
            <v>3PD Program Leadership</v>
          </cell>
          <cell r="H3886">
            <v>5041272</v>
          </cell>
          <cell r="AK3886" t="str">
            <v>Darrell Ponzio</v>
          </cell>
        </row>
        <row r="3887">
          <cell r="C3887" t="str">
            <v>Popular-Cust Mktg Procedures</v>
          </cell>
          <cell r="H3887">
            <v>5035633</v>
          </cell>
          <cell r="AK3887" t="str">
            <v>Laura Steer</v>
          </cell>
        </row>
        <row r="3888">
          <cell r="C3888" t="str">
            <v>Strategy Delivery Ext 1</v>
          </cell>
          <cell r="H3888">
            <v>5033306</v>
          </cell>
          <cell r="AK3888" t="str">
            <v>Christopher Martines</v>
          </cell>
        </row>
        <row r="3889">
          <cell r="C3889" t="str">
            <v>MS VMO Data Analyst Extension</v>
          </cell>
          <cell r="H3889">
            <v>5033974</v>
          </cell>
          <cell r="AK3889" t="str">
            <v>Dan Schutzman</v>
          </cell>
        </row>
        <row r="3890">
          <cell r="C3890" t="str">
            <v>TTRO Incremental</v>
          </cell>
          <cell r="H3890">
            <v>5034820</v>
          </cell>
          <cell r="AK3890" t="str">
            <v>Salim Modi</v>
          </cell>
        </row>
        <row r="3891">
          <cell r="C3891" t="str">
            <v>Cadence - ERM License</v>
          </cell>
          <cell r="H3891">
            <v>5035247</v>
          </cell>
          <cell r="AK3891" t="str">
            <v>Tania Makuh</v>
          </cell>
        </row>
        <row r="3892">
          <cell r="C3892" t="str">
            <v>Jeff_Compliance BA/PM</v>
          </cell>
          <cell r="H3892">
            <v>5035786</v>
          </cell>
          <cell r="AK3892" t="str">
            <v>Chelsea Mattias</v>
          </cell>
        </row>
        <row r="3893">
          <cell r="C3893" t="str">
            <v>CensusFCU-Vendor Mgmt Prog Rev</v>
          </cell>
          <cell r="H3893">
            <v>5035519</v>
          </cell>
          <cell r="AK3893" t="str">
            <v>Robert Farmer</v>
          </cell>
        </row>
        <row r="3894">
          <cell r="C3894" t="str">
            <v>PeapackGlad - CMSO</v>
          </cell>
          <cell r="H3894">
            <v>5035950</v>
          </cell>
          <cell r="AK3894" t="str">
            <v>Bonita Riccaboni</v>
          </cell>
        </row>
        <row r="3895">
          <cell r="C3895" t="str">
            <v>GS_PWM Project Portfolio</v>
          </cell>
          <cell r="H3895">
            <v>5035994</v>
          </cell>
          <cell r="AK3895" t="str">
            <v>Robert Norris</v>
          </cell>
        </row>
        <row r="3896">
          <cell r="C3896" t="str">
            <v>FrMc_SF UI/UX COE</v>
          </cell>
          <cell r="H3896">
            <v>5035706</v>
          </cell>
          <cell r="AK3896" t="str">
            <v>Chinmoy Bhatiya</v>
          </cell>
        </row>
        <row r="3897">
          <cell r="C3897" t="str">
            <v>HarfordBank-19 Loan Serv Revw</v>
          </cell>
          <cell r="H3897">
            <v>5029992</v>
          </cell>
          <cell r="AK3897" t="str">
            <v>W. Annette Dredden</v>
          </cell>
        </row>
        <row r="3898">
          <cell r="C3898" t="str">
            <v>Artisans-Compl.Audit</v>
          </cell>
          <cell r="H3898">
            <v>5035843</v>
          </cell>
          <cell r="AK3898" t="str">
            <v>Bonita Riccaboni</v>
          </cell>
        </row>
        <row r="3899">
          <cell r="C3899" t="str">
            <v>Noah Bank - Board Training</v>
          </cell>
          <cell r="H3899">
            <v>5035385</v>
          </cell>
          <cell r="AK3899" t="str">
            <v>Nancy Gregory</v>
          </cell>
        </row>
        <row r="3900">
          <cell r="C3900" t="str">
            <v>UBS_WMA Credit Cards Ext</v>
          </cell>
          <cell r="H3900">
            <v>5032615</v>
          </cell>
          <cell r="AK3900" t="str">
            <v>Matthew Faraone</v>
          </cell>
        </row>
        <row r="3901">
          <cell r="C3901" t="str">
            <v>City Natl FL-BSA Alert Clrng1</v>
          </cell>
          <cell r="H3901">
            <v>5035705</v>
          </cell>
          <cell r="AK3901" t="str">
            <v>Chintan Patel</v>
          </cell>
        </row>
        <row r="3902">
          <cell r="C3902" t="str">
            <v>PatriotBank-Compliance RA</v>
          </cell>
          <cell r="H3902">
            <v>5035390</v>
          </cell>
          <cell r="AK3902" t="str">
            <v>Mariana Dumanovsky</v>
          </cell>
        </row>
        <row r="3903">
          <cell r="C3903" t="str">
            <v>Unified-Fair Lndg Stat Analys</v>
          </cell>
          <cell r="H3903">
            <v>5035156</v>
          </cell>
          <cell r="AK3903" t="str">
            <v>Paula Witt</v>
          </cell>
        </row>
        <row r="3904">
          <cell r="C3904" t="str">
            <v>NavyFCU-ERM M7 Sandbox</v>
          </cell>
          <cell r="H3904">
            <v>5035747</v>
          </cell>
          <cell r="AK3904" t="str">
            <v>Tania Makuh</v>
          </cell>
        </row>
        <row r="3905">
          <cell r="C3905" t="str">
            <v>1stColonial-HMDA CRA Data Coll</v>
          </cell>
          <cell r="H3905">
            <v>5035694</v>
          </cell>
          <cell r="AK3905" t="str">
            <v>Juan Pimentel</v>
          </cell>
        </row>
        <row r="3906">
          <cell r="C3906" t="str">
            <v>Jeff_ CRM Salesforce BA</v>
          </cell>
          <cell r="H3906">
            <v>5035716</v>
          </cell>
          <cell r="AK3906" t="str">
            <v>Ripple Bhullar</v>
          </cell>
        </row>
        <row r="3907">
          <cell r="C3907" t="str">
            <v>Jeff_Salesforce Tech BA</v>
          </cell>
          <cell r="H3907">
            <v>5035718</v>
          </cell>
          <cell r="AK3907" t="str">
            <v>Ripple Bhullar</v>
          </cell>
        </row>
        <row r="3908">
          <cell r="C3908" t="str">
            <v>HB_FDIC 370 Rule Implemen</v>
          </cell>
          <cell r="H3908">
            <v>5035054</v>
          </cell>
          <cell r="AK3908" t="str">
            <v>Christopher Martines</v>
          </cell>
        </row>
        <row r="3909">
          <cell r="C3909" t="str">
            <v>FM_Appraisal Bifurcation PM</v>
          </cell>
          <cell r="H3909">
            <v>5035631</v>
          </cell>
          <cell r="AK3909" t="str">
            <v>Sabrina Amjad</v>
          </cell>
        </row>
        <row r="3910">
          <cell r="C3910" t="str">
            <v>UB_Cavalier Support SOW 70</v>
          </cell>
          <cell r="H3910">
            <v>5035640</v>
          </cell>
          <cell r="AK3910" t="str">
            <v>Michael Tao</v>
          </cell>
        </row>
        <row r="3911">
          <cell r="C3911" t="str">
            <v>CentBank-Fair Lnd RA &amp; Monit</v>
          </cell>
          <cell r="H3911">
            <v>5035872</v>
          </cell>
          <cell r="AK3911" t="str">
            <v>Randall Patton</v>
          </cell>
        </row>
        <row r="3912">
          <cell r="C3912" t="str">
            <v>MainStreet-BSA Indepen Test</v>
          </cell>
          <cell r="H3912">
            <v>5035415</v>
          </cell>
          <cell r="AK3912" t="str">
            <v>Charles Mcwilliam</v>
          </cell>
        </row>
        <row r="3913">
          <cell r="C3913" t="str">
            <v>UB_Bank Freely-PM TO7ex1_SOW72</v>
          </cell>
          <cell r="H3913">
            <v>5035616</v>
          </cell>
          <cell r="AK3913" t="str">
            <v>Lizzie Borchers</v>
          </cell>
        </row>
        <row r="3914">
          <cell r="C3914" t="str">
            <v>LM - Sales Strategy</v>
          </cell>
          <cell r="H3914">
            <v>5035742</v>
          </cell>
          <cell r="AK3914" t="str">
            <v>Robert Norris</v>
          </cell>
        </row>
        <row r="3915">
          <cell r="C3915" t="str">
            <v>Popular-Mtg Loan Svcg Rev</v>
          </cell>
          <cell r="H3915">
            <v>5035695</v>
          </cell>
          <cell r="AK3915" t="str">
            <v>Mariana Dumanovsky</v>
          </cell>
        </row>
        <row r="3916">
          <cell r="C3916" t="str">
            <v>Jeff_CRM Impala Extension</v>
          </cell>
          <cell r="H3916">
            <v>5035719</v>
          </cell>
          <cell r="AK3916" t="str">
            <v>Ripple Bhullar</v>
          </cell>
        </row>
        <row r="3917">
          <cell r="C3917" t="str">
            <v>Jeff IT PM Sourcing 2019</v>
          </cell>
          <cell r="H3917">
            <v>5035789</v>
          </cell>
          <cell r="AK3917" t="str">
            <v>Jeffrey Gheraldi</v>
          </cell>
        </row>
        <row r="3918">
          <cell r="C3918" t="str">
            <v>UBS WealthWay UI/UX Design</v>
          </cell>
          <cell r="H3918">
            <v>5035704</v>
          </cell>
          <cell r="AK3918" t="str">
            <v>Arin LoPrete</v>
          </cell>
        </row>
        <row r="3919">
          <cell r="C3919" t="str">
            <v>PNC_HNW_TSYS Ops Readiness</v>
          </cell>
          <cell r="H3919">
            <v>5035724</v>
          </cell>
          <cell r="AK3919" t="str">
            <v>Michael Crumpler</v>
          </cell>
        </row>
        <row r="3920">
          <cell r="C3920" t="str">
            <v>BKU_Site Redesign</v>
          </cell>
          <cell r="H3920">
            <v>5034278</v>
          </cell>
          <cell r="AK3920" t="str">
            <v>Kevin Miologos</v>
          </cell>
        </row>
        <row r="3921">
          <cell r="C3921" t="str">
            <v>DB WM Condor</v>
          </cell>
          <cell r="H3921">
            <v>5035800</v>
          </cell>
          <cell r="AK3921" t="str">
            <v>Phil Kerkel</v>
          </cell>
        </row>
        <row r="3922">
          <cell r="C3922" t="str">
            <v>Popular Bank -CRA Support</v>
          </cell>
          <cell r="H3922">
            <v>5035740</v>
          </cell>
          <cell r="AK3922" t="str">
            <v>Edward Persina</v>
          </cell>
        </row>
        <row r="3923">
          <cell r="C3923" t="str">
            <v>BMO_FDIC DG/FDIC 370 Amd 1</v>
          </cell>
          <cell r="H3923">
            <v>5034453</v>
          </cell>
          <cell r="AK3923" t="str">
            <v>Kyle Marynowski</v>
          </cell>
        </row>
        <row r="3924">
          <cell r="C3924" t="str">
            <v>Clear Mount-Fair Bnkg Cnsltg</v>
          </cell>
          <cell r="H3924">
            <v>5035745</v>
          </cell>
          <cell r="AK3924" t="str">
            <v>Paula Witt</v>
          </cell>
        </row>
        <row r="3925">
          <cell r="C3925" t="str">
            <v>Rockland-MQC</v>
          </cell>
          <cell r="H3925">
            <v>5035746</v>
          </cell>
          <cell r="AK3925" t="str">
            <v>Juan Pimentel</v>
          </cell>
        </row>
        <row r="3926">
          <cell r="C3926" t="str">
            <v>CityFirstDC-BSAAML</v>
          </cell>
          <cell r="H3926">
            <v>5035771</v>
          </cell>
          <cell r="AK3926" t="str">
            <v>W. Annette Dredden</v>
          </cell>
        </row>
        <row r="3927">
          <cell r="C3927" t="str">
            <v>CommunityDL-Internet RA</v>
          </cell>
          <cell r="H3927">
            <v>5035753</v>
          </cell>
          <cell r="AK3927" t="str">
            <v>Robert Farmer</v>
          </cell>
        </row>
        <row r="3928">
          <cell r="C3928" t="str">
            <v>Mutual Bank - HMDA StaffAug</v>
          </cell>
          <cell r="H3928">
            <v>5035818</v>
          </cell>
          <cell r="AK3928" t="str">
            <v>Juan Pimentel</v>
          </cell>
        </row>
        <row r="3929">
          <cell r="C3929" t="str">
            <v>DB AFC Data SME &amp; BAs</v>
          </cell>
          <cell r="H3929">
            <v>5035852</v>
          </cell>
          <cell r="AK3929" t="str">
            <v>Hasan Qureshi</v>
          </cell>
        </row>
        <row r="3930">
          <cell r="C3930" t="str">
            <v>Jeff_CRM Salesforce Developer</v>
          </cell>
          <cell r="H3930">
            <v>5035964</v>
          </cell>
          <cell r="AK3930" t="str">
            <v>Aoife Hogan</v>
          </cell>
        </row>
        <row r="3931">
          <cell r="C3931" t="str">
            <v>Jeff_Wealth Mgt FI Surveillanc</v>
          </cell>
          <cell r="H3931">
            <v>5035955</v>
          </cell>
          <cell r="AK3931" t="str">
            <v>Jeffrey Gheraldi</v>
          </cell>
        </row>
        <row r="3932">
          <cell r="C3932" t="str">
            <v>HomeDepot - Training</v>
          </cell>
          <cell r="H3932">
            <v>5035709</v>
          </cell>
          <cell r="AK3932" t="str">
            <v>Rebecca Breland</v>
          </cell>
        </row>
        <row r="3933">
          <cell r="C3933" t="str">
            <v>SVB_Platform Strat. Pt. 1</v>
          </cell>
          <cell r="H3933">
            <v>5035759</v>
          </cell>
          <cell r="AK3933" t="str">
            <v>John Hickman</v>
          </cell>
        </row>
        <row r="3934">
          <cell r="C3934" t="str">
            <v>FrMc SF Business Modeling</v>
          </cell>
          <cell r="H3934">
            <v>5035851</v>
          </cell>
          <cell r="AK3934" t="str">
            <v>Christopher Martines</v>
          </cell>
        </row>
        <row r="3935">
          <cell r="C3935" t="str">
            <v>BKU_Digital Trans - SMB Impl</v>
          </cell>
          <cell r="H3935">
            <v>5034278</v>
          </cell>
          <cell r="AK3935" t="str">
            <v>Luke Penca</v>
          </cell>
        </row>
        <row r="3936">
          <cell r="C3936" t="str">
            <v>DB_WM Platform Conversion</v>
          </cell>
          <cell r="H3936">
            <v>5035696</v>
          </cell>
          <cell r="AK3936" t="str">
            <v>Justin Gonlag</v>
          </cell>
        </row>
        <row r="3937">
          <cell r="C3937" t="str">
            <v>UBS US DMF Ph1 Investment</v>
          </cell>
          <cell r="AK3937" t="str">
            <v>Daniel Holness</v>
          </cell>
        </row>
        <row r="3938">
          <cell r="C3938" t="str">
            <v>CA_Cyber_Infra_PM</v>
          </cell>
          <cell r="H3938">
            <v>5033548</v>
          </cell>
          <cell r="AK3938" t="str">
            <v>Thanh Le Xuan</v>
          </cell>
        </row>
        <row r="3939">
          <cell r="C3939" t="str">
            <v>Arvest-TRID Review</v>
          </cell>
          <cell r="H3939">
            <v>5035687</v>
          </cell>
          <cell r="AK3939" t="str">
            <v>Randall Patton</v>
          </cell>
        </row>
        <row r="3940">
          <cell r="C3940" t="str">
            <v>Trade Recon Vendor Assess</v>
          </cell>
          <cell r="H3940">
            <v>5036097</v>
          </cell>
          <cell r="AK3940" t="str">
            <v>Mike Drews</v>
          </cell>
        </row>
        <row r="3941">
          <cell r="C3941" t="str">
            <v>Jeff_LIBOR Support</v>
          </cell>
          <cell r="H3941">
            <v>5035822</v>
          </cell>
          <cell r="AK3941" t="str">
            <v>Mike Drews</v>
          </cell>
        </row>
        <row r="3942">
          <cell r="C3942" t="str">
            <v>NatCap WA - BSA/AML Val</v>
          </cell>
          <cell r="H3942">
            <v>5035803</v>
          </cell>
          <cell r="AK3942" t="str">
            <v>William Sachs</v>
          </cell>
        </row>
        <row r="3943">
          <cell r="C3943" t="str">
            <v>069_RB_Deposits_PM Support</v>
          </cell>
          <cell r="H3943">
            <v>5035933</v>
          </cell>
          <cell r="AK3943" t="str">
            <v>Lizzie Borchers</v>
          </cell>
        </row>
        <row r="3944">
          <cell r="C3944" t="str">
            <v>BancoBrasil-HMDA Data Review</v>
          </cell>
          <cell r="H3944">
            <v>5035820</v>
          </cell>
          <cell r="AK3944" t="str">
            <v>Juan Pimentel</v>
          </cell>
        </row>
        <row r="3945">
          <cell r="C3945" t="str">
            <v>Centennial-TRID Review</v>
          </cell>
          <cell r="H3945">
            <v>5035868</v>
          </cell>
          <cell r="AK3945" t="str">
            <v>Randall Patton</v>
          </cell>
        </row>
        <row r="3946">
          <cell r="C3946" t="str">
            <v>Workload Migration Q2 Ext</v>
          </cell>
          <cell r="H3946">
            <v>5035007</v>
          </cell>
          <cell r="AK3946" t="str">
            <v>Pranav Mehan</v>
          </cell>
        </row>
        <row r="3947">
          <cell r="C3947" t="str">
            <v>Investors Trust Company</v>
          </cell>
          <cell r="H3947">
            <v>5035330</v>
          </cell>
          <cell r="AK3947" t="str">
            <v>Mary Louise Radley</v>
          </cell>
        </row>
        <row r="3948">
          <cell r="C3948" t="str">
            <v>MS_COO_Support Ext</v>
          </cell>
          <cell r="H3948">
            <v>5034515</v>
          </cell>
          <cell r="AK3948" t="str">
            <v>Rahul Govada</v>
          </cell>
        </row>
        <row r="3949">
          <cell r="C3949" t="str">
            <v>HSBC_GBM-CDO-19-01 CCN-001</v>
          </cell>
          <cell r="H3949">
            <v>5035841</v>
          </cell>
          <cell r="AK3949" t="str">
            <v>Rahul Govada</v>
          </cell>
        </row>
        <row r="3950">
          <cell r="C3950" t="str">
            <v>UBS US DMO Execution Apr-May</v>
          </cell>
          <cell r="H3950">
            <v>5036068</v>
          </cell>
          <cell r="AK3950" t="str">
            <v>Daniel Holness</v>
          </cell>
        </row>
        <row r="3951">
          <cell r="C3951" t="str">
            <v>UFSB - PCCD QA &amp; Prod</v>
          </cell>
          <cell r="H3951">
            <v>5034917</v>
          </cell>
          <cell r="AK3951" t="str">
            <v>Willis Leitner</v>
          </cell>
        </row>
        <row r="3952">
          <cell r="C3952" t="str">
            <v>BMO Harris_ComOps BI &amp; Support</v>
          </cell>
          <cell r="H3952">
            <v>5035025</v>
          </cell>
          <cell r="AK3952" t="str">
            <v>Kyle Marynowski</v>
          </cell>
        </row>
        <row r="3953">
          <cell r="C3953" t="str">
            <v>FrMc_ILM - MF Q2-3 Ext</v>
          </cell>
          <cell r="H3953">
            <v>5035055</v>
          </cell>
          <cell r="AK3953" t="str">
            <v>Thadi Murali</v>
          </cell>
        </row>
        <row r="3954">
          <cell r="C3954" t="str">
            <v>BR PMs Q2 Ext</v>
          </cell>
          <cell r="H3954">
            <v>5035131</v>
          </cell>
          <cell r="AK3954" t="str">
            <v>Christopher Martines</v>
          </cell>
        </row>
        <row r="3955">
          <cell r="C3955" t="str">
            <v>CA_CyberDFS_Extension</v>
          </cell>
          <cell r="H3955">
            <v>5034014</v>
          </cell>
          <cell r="AK3955" t="str">
            <v>Thanh Le Xuan</v>
          </cell>
        </row>
        <row r="3956">
          <cell r="C3956" t="str">
            <v>UB_WMG Supp Ext. #2 (SOW 64)</v>
          </cell>
          <cell r="H3956">
            <v>5035896</v>
          </cell>
          <cell r="AK3956" t="str">
            <v>Felix Urquia</v>
          </cell>
        </row>
        <row r="3957">
          <cell r="C3957" t="str">
            <v>UB_RCM.PSRA P2P/Zelle SOW 78</v>
          </cell>
          <cell r="H3957">
            <v>5035931</v>
          </cell>
          <cell r="AK3957" t="str">
            <v>Adrian Ungureanu</v>
          </cell>
        </row>
        <row r="3958">
          <cell r="C3958" t="str">
            <v>UB_RCM.PSRA ExpBank SOW 77</v>
          </cell>
          <cell r="H3958">
            <v>5035926</v>
          </cell>
          <cell r="AK3958" t="str">
            <v>Adrian Ungureanu</v>
          </cell>
        </row>
        <row r="3959">
          <cell r="C3959" t="str">
            <v>UB_RCM.PSRA PSR SOW 76</v>
          </cell>
          <cell r="H3959">
            <v>5035924</v>
          </cell>
          <cell r="AK3959" t="str">
            <v>Adrian Ungureanu</v>
          </cell>
        </row>
        <row r="3960">
          <cell r="C3960" t="str">
            <v>First Metro Bank_RAS</v>
          </cell>
          <cell r="H3960">
            <v>5039643</v>
          </cell>
          <cell r="AK3960" t="str">
            <v>Diane Banks</v>
          </cell>
        </row>
        <row r="3961">
          <cell r="C3961" t="str">
            <v>UB_RCM.PSRA DAO SOW 75</v>
          </cell>
          <cell r="H3961">
            <v>5035922</v>
          </cell>
          <cell r="AK3961" t="str">
            <v>Adrian Ungureanu</v>
          </cell>
        </row>
        <row r="3962">
          <cell r="C3962" t="str">
            <v>SFL Compl - Training</v>
          </cell>
          <cell r="H3962">
            <v>5035417</v>
          </cell>
          <cell r="AK3962" t="str">
            <v>Diane Banks</v>
          </cell>
        </row>
        <row r="3963">
          <cell r="C3963" t="str">
            <v>Citi_Yieldbook 2019 Q2</v>
          </cell>
          <cell r="H3963">
            <v>5035148</v>
          </cell>
          <cell r="AK3963" t="str">
            <v>Robert Norris</v>
          </cell>
        </row>
        <row r="3964">
          <cell r="C3964" t="str">
            <v>Santander_InfoSec Program Amd1</v>
          </cell>
          <cell r="H3964">
            <v>5035037</v>
          </cell>
          <cell r="AK3964" t="str">
            <v>Ridha Mesli</v>
          </cell>
        </row>
        <row r="3965">
          <cell r="C3965" t="str">
            <v>Payments Fraud Q2 Ext</v>
          </cell>
          <cell r="H3965">
            <v>5035056</v>
          </cell>
          <cell r="AK3965" t="str">
            <v>Sonal Das</v>
          </cell>
        </row>
        <row r="3966">
          <cell r="C3966" t="str">
            <v>Santander_InfoSec Req Amd1</v>
          </cell>
          <cell r="H3966">
            <v>5035102</v>
          </cell>
          <cell r="AK3966" t="str">
            <v>Ridha Mesli</v>
          </cell>
        </row>
        <row r="3967">
          <cell r="C3967" t="str">
            <v>VMO Data Analyst Ext.</v>
          </cell>
          <cell r="H3967">
            <v>5033656</v>
          </cell>
          <cell r="AK3967" t="str">
            <v>Dan Schutzman</v>
          </cell>
        </row>
        <row r="3968">
          <cell r="C3968" t="str">
            <v>UB_RCM.PSRA for DDM SOW81</v>
          </cell>
          <cell r="H3968">
            <v>5035930</v>
          </cell>
          <cell r="AK3968" t="str">
            <v>Adrian Ungureanu</v>
          </cell>
        </row>
        <row r="3969">
          <cell r="C3969" t="str">
            <v>RBCUS Compliance Apr Ext</v>
          </cell>
          <cell r="H3969">
            <v>5034937</v>
          </cell>
          <cell r="AK3969" t="str">
            <v>Jason Malcolm</v>
          </cell>
        </row>
        <row r="3970">
          <cell r="C3970" t="str">
            <v>Jeff_GCTAC Migration QA Role</v>
          </cell>
          <cell r="H3970">
            <v>5035963</v>
          </cell>
          <cell r="AK3970" t="str">
            <v>Jon Herna</v>
          </cell>
        </row>
        <row r="3971">
          <cell r="C3971" t="str">
            <v>GS QFC April 2019</v>
          </cell>
          <cell r="H3971">
            <v>5034987</v>
          </cell>
          <cell r="AK3971" t="str">
            <v>Parul Chowdhry</v>
          </cell>
        </row>
        <row r="3972">
          <cell r="C3972" t="str">
            <v>UB_UCL Support SOW62 &amp; TO5 ex</v>
          </cell>
          <cell r="H3972">
            <v>5035861</v>
          </cell>
          <cell r="AK3972" t="str">
            <v>Justin Hayden</v>
          </cell>
        </row>
        <row r="3973">
          <cell r="C3973" t="str">
            <v>NET Federal Credit Union</v>
          </cell>
          <cell r="H3973">
            <v>5035961</v>
          </cell>
          <cell r="AK3973" t="str">
            <v>Gail Rassler</v>
          </cell>
        </row>
        <row r="3974">
          <cell r="C3974" t="str">
            <v>BankEastAsia-Compliance Revws</v>
          </cell>
          <cell r="H3974">
            <v>5035663</v>
          </cell>
          <cell r="AK3974" t="str">
            <v>David Belfer</v>
          </cell>
        </row>
        <row r="3975">
          <cell r="C3975" t="str">
            <v>CNB_VMO Data Cleanse</v>
          </cell>
          <cell r="H3975">
            <v>5035797</v>
          </cell>
          <cell r="AK3975" t="str">
            <v>Betsy Cherian</v>
          </cell>
        </row>
        <row r="3976">
          <cell r="C3976" t="str">
            <v>City Ntl FL-BSA Alert Clrng</v>
          </cell>
          <cell r="H3976">
            <v>5036028</v>
          </cell>
          <cell r="AK3976" t="str">
            <v>Chintan Patel</v>
          </cell>
        </row>
        <row r="3977">
          <cell r="C3977" t="str">
            <v>UB_UAT Support of UCL SOW 66</v>
          </cell>
          <cell r="H3977">
            <v>5035750</v>
          </cell>
          <cell r="AK3977" t="str">
            <v>Michael Walker</v>
          </cell>
        </row>
        <row r="3978">
          <cell r="C3978" t="str">
            <v>CreditAg_Cyber DFS Compliance</v>
          </cell>
          <cell r="H3978">
            <v>5034014</v>
          </cell>
          <cell r="AK3978" t="str">
            <v>Thanh Le Xuan</v>
          </cell>
        </row>
        <row r="3979">
          <cell r="C3979" t="str">
            <v>UBS US DMF Advisory Apr-May</v>
          </cell>
          <cell r="H3979">
            <v>5036183</v>
          </cell>
          <cell r="AK3979" t="str">
            <v>Daniel Holness</v>
          </cell>
        </row>
        <row r="3980">
          <cell r="C3980" t="str">
            <v>First Bank - CMSO</v>
          </cell>
          <cell r="H3980">
            <v>5035807</v>
          </cell>
          <cell r="AK3980" t="str">
            <v>Bonita Riccaboni</v>
          </cell>
        </row>
        <row r="3981">
          <cell r="C3981" t="str">
            <v>071_RB_Fraud_PM Support</v>
          </cell>
          <cell r="H3981">
            <v>5035935</v>
          </cell>
          <cell r="AK3981" t="str">
            <v>Lizzie Borchers</v>
          </cell>
        </row>
        <row r="3982">
          <cell r="C3982" t="str">
            <v>NavyFCU-ORM App Admin Training</v>
          </cell>
          <cell r="H3982">
            <v>5036073</v>
          </cell>
          <cell r="AK3982" t="str">
            <v>Patti Harrison</v>
          </cell>
        </row>
        <row r="3983">
          <cell r="C3983" t="str">
            <v>FrMc_SPARK Future State Proces</v>
          </cell>
          <cell r="H3983">
            <v>5035866</v>
          </cell>
          <cell r="AK3983" t="str">
            <v>Linda Graham</v>
          </cell>
        </row>
        <row r="3984">
          <cell r="C3984" t="str">
            <v>AdirondackBank-ERM Exec Train</v>
          </cell>
          <cell r="H3984">
            <v>5035990</v>
          </cell>
          <cell r="AK3984" t="str">
            <v>Tania Makuh</v>
          </cell>
        </row>
        <row r="3985">
          <cell r="C3985" t="str">
            <v>DTCC ITP Replatform PMO</v>
          </cell>
          <cell r="H3985">
            <v>5035980</v>
          </cell>
          <cell r="AK3985" t="str">
            <v>Jacob Vyncke</v>
          </cell>
        </row>
        <row r="3986">
          <cell r="C3986" t="str">
            <v>Jeff_Fixed Income IT PM</v>
          </cell>
          <cell r="H3986">
            <v>5036118</v>
          </cell>
          <cell r="AK3986" t="str">
            <v>Chelsea Mattias</v>
          </cell>
        </row>
        <row r="3987">
          <cell r="C3987" t="str">
            <v>BMO Harris Bank NA_BHOB Day 2</v>
          </cell>
          <cell r="H3987">
            <v>5036049</v>
          </cell>
          <cell r="AK3987" t="str">
            <v>Bhanu Kohli</v>
          </cell>
        </row>
        <row r="3988">
          <cell r="C3988" t="str">
            <v>FM_TableTop Training</v>
          </cell>
          <cell r="H3988">
            <v>5036009</v>
          </cell>
          <cell r="AK3988" t="str">
            <v>Sabrina Amjad</v>
          </cell>
        </row>
        <row r="3989">
          <cell r="C3989" t="str">
            <v>Brad_BR PM 2019 Intl</v>
          </cell>
          <cell r="H3989">
            <v>5036035</v>
          </cell>
          <cell r="AK3989" t="str">
            <v>Eduardo Yamassaki</v>
          </cell>
        </row>
        <row r="3990">
          <cell r="C3990" t="str">
            <v>ReVan_BI Data lead p1 Ext1</v>
          </cell>
          <cell r="H3990">
            <v>5035539</v>
          </cell>
          <cell r="AK3990" t="str">
            <v>Reid Simon</v>
          </cell>
        </row>
        <row r="3991">
          <cell r="C3991" t="str">
            <v>FrMc_MF IR Extension</v>
          </cell>
          <cell r="H3991">
            <v>5034285</v>
          </cell>
          <cell r="AK3991" t="str">
            <v>David Williams</v>
          </cell>
        </row>
        <row r="3992">
          <cell r="C3992" t="str">
            <v>WF_ImaginetoCDBO_UAT</v>
          </cell>
          <cell r="H3992">
            <v>5036025</v>
          </cell>
          <cell r="AK3992" t="str">
            <v>Edward Kelley</v>
          </cell>
        </row>
        <row r="3993">
          <cell r="C3993" t="str">
            <v>EZCORP-BSA IT Oversight Trng</v>
          </cell>
          <cell r="H3993">
            <v>5036029</v>
          </cell>
          <cell r="AK3993" t="str">
            <v>Benay Nachin</v>
          </cell>
        </row>
        <row r="3994">
          <cell r="C3994" t="str">
            <v>Funding Analyst Extension</v>
          </cell>
          <cell r="H3994">
            <v>5036059</v>
          </cell>
          <cell r="AK3994" t="str">
            <v>Jon Herna</v>
          </cell>
        </row>
        <row r="3995">
          <cell r="C3995" t="str">
            <v>BBT_FDIC 370 AI/OCR Solution</v>
          </cell>
          <cell r="H3995">
            <v>5036030</v>
          </cell>
          <cell r="AK3995" t="str">
            <v>Daniela Hawkins</v>
          </cell>
        </row>
        <row r="3996">
          <cell r="C3996" t="str">
            <v>FrMc_EntprOps_Tech_Advisory</v>
          </cell>
          <cell r="H3996">
            <v>5036042</v>
          </cell>
          <cell r="AK3996" t="str">
            <v>Bharath Chikkamaranahalli Bhaskar</v>
          </cell>
        </row>
        <row r="3997">
          <cell r="C3997" t="str">
            <v>UNQ_Unqork Partnership Ext</v>
          </cell>
          <cell r="H3997">
            <v>5036041</v>
          </cell>
          <cell r="AK3997" t="str">
            <v>Rad Ashok</v>
          </cell>
        </row>
        <row r="3998">
          <cell r="C3998" t="str">
            <v>Jeff_Risk IT Envirnmnt Team 19</v>
          </cell>
          <cell r="H3998">
            <v>5035984</v>
          </cell>
          <cell r="AK3998" t="str">
            <v>John McCaffrey</v>
          </cell>
        </row>
        <row r="3999">
          <cell r="C3999" t="str">
            <v>FOA_SG&amp;A and IT Reduction</v>
          </cell>
          <cell r="H3999">
            <v>5035945</v>
          </cell>
          <cell r="AK3999" t="str">
            <v>Aditya Udas</v>
          </cell>
        </row>
        <row r="4000">
          <cell r="C4000" t="str">
            <v>MS_FID Strats PM Ext</v>
          </cell>
          <cell r="H4000">
            <v>5029521</v>
          </cell>
          <cell r="AK4000" t="str">
            <v>Frank Merla</v>
          </cell>
        </row>
        <row r="4001">
          <cell r="C4001" t="str">
            <v>UB_SOW 68 REI PM CO1</v>
          </cell>
          <cell r="H4001">
            <v>5035368</v>
          </cell>
          <cell r="AK4001" t="str">
            <v>Samuel Awsumb</v>
          </cell>
        </row>
        <row r="4002">
          <cell r="C4002" t="str">
            <v>Congressional-BSA RA &amp; Consult</v>
          </cell>
          <cell r="H4002">
            <v>5035960</v>
          </cell>
          <cell r="AK4002" t="str">
            <v>Charles Mcwilliam</v>
          </cell>
        </row>
        <row r="4003">
          <cell r="C4003" t="str">
            <v>LM - Sales Strategy Phase 2</v>
          </cell>
          <cell r="H4003">
            <v>5036060</v>
          </cell>
          <cell r="AK4003" t="str">
            <v>Jennifer Ward</v>
          </cell>
        </row>
        <row r="4004">
          <cell r="C4004" t="str">
            <v>SVB_Comm. Platform TOM Pt. 2</v>
          </cell>
          <cell r="H4004">
            <v>5036064</v>
          </cell>
          <cell r="AK4004" t="str">
            <v>Michael Tao</v>
          </cell>
        </row>
        <row r="4005">
          <cell r="C4005" t="str">
            <v>Popular-Oper Process Map</v>
          </cell>
          <cell r="H4005">
            <v>5036056</v>
          </cell>
          <cell r="AK4005" t="str">
            <v>Season Man</v>
          </cell>
        </row>
        <row r="4006">
          <cell r="C4006" t="str">
            <v>WF_OPSMGMT_eOne</v>
          </cell>
          <cell r="H4006">
            <v>5036061</v>
          </cell>
          <cell r="AK4006" t="str">
            <v>Edward Kelley</v>
          </cell>
        </row>
        <row r="4007">
          <cell r="C4007" t="str">
            <v>WF_Analysis Support</v>
          </cell>
          <cell r="H4007">
            <v>5036063</v>
          </cell>
          <cell r="AK4007" t="str">
            <v>Edward Kelley</v>
          </cell>
        </row>
        <row r="4008">
          <cell r="C4008" t="str">
            <v>WF_Ops Mgt Deriv&amp;Accounting</v>
          </cell>
          <cell r="H4008">
            <v>5036062</v>
          </cell>
          <cell r="AK4008" t="str">
            <v>Edward Kelley</v>
          </cell>
        </row>
        <row r="4009">
          <cell r="C4009" t="str">
            <v>WF_Middle Office Extension</v>
          </cell>
          <cell r="H4009">
            <v>5035028</v>
          </cell>
          <cell r="AK4009" t="str">
            <v>Edward Kelley</v>
          </cell>
        </row>
        <row r="4010">
          <cell r="C4010" t="str">
            <v>FM_ORM Support</v>
          </cell>
          <cell r="H4010">
            <v>5036070</v>
          </cell>
          <cell r="AK4010" t="str">
            <v>Derek Pender</v>
          </cell>
        </row>
        <row r="4011">
          <cell r="C4011" t="str">
            <v>Hyperion-Compliance RA &amp; Rev</v>
          </cell>
          <cell r="H4011">
            <v>5036071</v>
          </cell>
          <cell r="AK4011" t="str">
            <v>Robert Farmer</v>
          </cell>
        </row>
        <row r="4012">
          <cell r="C4012" t="str">
            <v>Strategic Delivery Ext 2</v>
          </cell>
          <cell r="H4012">
            <v>5034762</v>
          </cell>
          <cell r="AK4012" t="str">
            <v>Gregory Barry</v>
          </cell>
        </row>
        <row r="4013">
          <cell r="C4013" t="str">
            <v>NT_DQ Health Check</v>
          </cell>
          <cell r="H4013">
            <v>5036069</v>
          </cell>
          <cell r="AK4013" t="str">
            <v>Paul Tatseos</v>
          </cell>
        </row>
        <row r="4014">
          <cell r="C4014" t="str">
            <v>Callidus Post Implement</v>
          </cell>
          <cell r="H4014">
            <v>5036279</v>
          </cell>
          <cell r="AK4014" t="str">
            <v>Robert Norris</v>
          </cell>
        </row>
        <row r="4015">
          <cell r="C4015" t="str">
            <v>Har Co MD-Internet Banking RA</v>
          </cell>
          <cell r="H4015">
            <v>5036098</v>
          </cell>
          <cell r="AK4015" t="str">
            <v>Robert Farmer</v>
          </cell>
        </row>
        <row r="4016">
          <cell r="C4016" t="str">
            <v>1stUnitedBT-BSA Indep Test</v>
          </cell>
          <cell r="H4016">
            <v>5035466</v>
          </cell>
          <cell r="AK4016" t="str">
            <v>Charles Mcwilliam</v>
          </cell>
        </row>
        <row r="4017">
          <cell r="C4017" t="str">
            <v>SVB_DT CRM Phase 2</v>
          </cell>
          <cell r="H4017">
            <v>5036193</v>
          </cell>
          <cell r="AK4017" t="str">
            <v>Aoife Hogan</v>
          </cell>
        </row>
        <row r="4018">
          <cell r="C4018" t="str">
            <v>FIS-Social Media Risk Assmnt</v>
          </cell>
          <cell r="H4018">
            <v>5036136</v>
          </cell>
          <cell r="AK4018" t="str">
            <v>Amanda Pickering</v>
          </cell>
        </row>
        <row r="4019">
          <cell r="C4019" t="str">
            <v>5th3rd_Tier1 CRM Support Ext'n</v>
          </cell>
          <cell r="H4019">
            <v>5036134</v>
          </cell>
          <cell r="AK4019" t="str">
            <v>Tulsi Mehta</v>
          </cell>
        </row>
        <row r="4020">
          <cell r="C4020" t="str">
            <v>CentBankTX-Compl Audits &amp; BSA</v>
          </cell>
          <cell r="H4020">
            <v>5036175</v>
          </cell>
          <cell r="AK4020" t="str">
            <v>Dennis Smith</v>
          </cell>
        </row>
        <row r="4021">
          <cell r="C4021" t="str">
            <v>UBS Business Solutions_RAS</v>
          </cell>
          <cell r="H4021">
            <v>5039567</v>
          </cell>
          <cell r="AK4021" t="str">
            <v>Travis Peraza</v>
          </cell>
        </row>
        <row r="4022">
          <cell r="C4022" t="str">
            <v>HSBC_RSK-Compliance</v>
          </cell>
          <cell r="H4022">
            <v>5035838</v>
          </cell>
          <cell r="AK4022" t="str">
            <v>Rahul Govada</v>
          </cell>
        </row>
        <row r="4023">
          <cell r="C4023" t="str">
            <v>Marshall-Info Sec Risk Assmnt</v>
          </cell>
          <cell r="H4023">
            <v>5035160</v>
          </cell>
          <cell r="AK4023" t="str">
            <v>Robert Farmer</v>
          </cell>
        </row>
        <row r="4024">
          <cell r="C4024" t="str">
            <v>PeoplesBank-AML ModVal</v>
          </cell>
          <cell r="H4024">
            <v>5035840</v>
          </cell>
          <cell r="AK4024" t="str">
            <v>Denise Rinear</v>
          </cell>
        </row>
        <row r="4025">
          <cell r="C4025" t="str">
            <v>RBCUS Qlikview Dev</v>
          </cell>
          <cell r="H4025">
            <v>5036160</v>
          </cell>
          <cell r="AK4025" t="str">
            <v>Jason Malcolm</v>
          </cell>
        </row>
        <row r="4026">
          <cell r="C4026" t="str">
            <v>Jeff_CRM Blue Matrix Project</v>
          </cell>
          <cell r="H4026">
            <v>5036179</v>
          </cell>
          <cell r="AK4026" t="str">
            <v>Ripple Bhullar</v>
          </cell>
        </row>
        <row r="4027">
          <cell r="C4027" t="str">
            <v>UBS_Project Hamilton Phase 5</v>
          </cell>
          <cell r="H4027">
            <v>5036271</v>
          </cell>
          <cell r="AK4027" t="str">
            <v>Matthew Berkowitz</v>
          </cell>
        </row>
        <row r="4028">
          <cell r="C4028" t="str">
            <v>City Ntl FL-BSA Alert Clrng2</v>
          </cell>
          <cell r="H4028">
            <v>5036186</v>
          </cell>
          <cell r="AK4028" t="str">
            <v>Chintan Patel</v>
          </cell>
        </row>
        <row r="4029">
          <cell r="C4029" t="str">
            <v>Rockland-Mtg File Review</v>
          </cell>
          <cell r="H4029">
            <v>5035711</v>
          </cell>
          <cell r="AK4029" t="str">
            <v>Leigh Tribou</v>
          </cell>
        </row>
        <row r="4030">
          <cell r="C4030" t="str">
            <v>Marshall - IT Risk Assmnts</v>
          </cell>
          <cell r="H4030">
            <v>5035158</v>
          </cell>
          <cell r="AK4030" t="str">
            <v>Robert Farmer</v>
          </cell>
        </row>
        <row r="4031">
          <cell r="C4031" t="str">
            <v>Ironworkers-IT Risk Assmnts</v>
          </cell>
          <cell r="H4031">
            <v>5035159</v>
          </cell>
          <cell r="AK4031" t="str">
            <v>Robert Farmer</v>
          </cell>
        </row>
        <row r="4032">
          <cell r="C4032" t="str">
            <v>NatCap WA-CMSO</v>
          </cell>
          <cell r="H4032">
            <v>5036526</v>
          </cell>
          <cell r="AK4032" t="str">
            <v>Alice Judd</v>
          </cell>
        </row>
        <row r="4033">
          <cell r="C4033" t="str">
            <v>Plumas Bank-Fair Lndg File Rev</v>
          </cell>
          <cell r="H4033">
            <v>5036109</v>
          </cell>
          <cell r="AK4033" t="str">
            <v>Kay Basnight</v>
          </cell>
        </row>
        <row r="4034">
          <cell r="C4034" t="str">
            <v>FrMc_CSP Data</v>
          </cell>
          <cell r="H4034">
            <v>5036075</v>
          </cell>
          <cell r="AK4034" t="str">
            <v>Geetanjali Mittal</v>
          </cell>
        </row>
        <row r="4035">
          <cell r="C4035" t="str">
            <v>Christian CCU-IT Risk Assments</v>
          </cell>
          <cell r="H4035">
            <v>5036050</v>
          </cell>
          <cell r="AK4035" t="str">
            <v>Robert Farmer</v>
          </cell>
        </row>
        <row r="4036">
          <cell r="C4036" t="str">
            <v>FrMc_ODS R9 Amd 3</v>
          </cell>
          <cell r="H4036">
            <v>5035077</v>
          </cell>
          <cell r="AK4036" t="str">
            <v>David Williams</v>
          </cell>
        </row>
        <row r="4037">
          <cell r="C4037" t="str">
            <v>UBS_WMA Credit Cards Ext</v>
          </cell>
          <cell r="H4037">
            <v>5032615</v>
          </cell>
          <cell r="AK4037" t="str">
            <v>Matthew Faraone</v>
          </cell>
        </row>
        <row r="4038">
          <cell r="C4038" t="str">
            <v>FID Strats BA Ext Amd 5</v>
          </cell>
          <cell r="H4038">
            <v>5029521</v>
          </cell>
          <cell r="AK4038" t="str">
            <v>Frank Merla</v>
          </cell>
        </row>
        <row r="4039">
          <cell r="C4039" t="str">
            <v>GS_QFC 2019 May June Amd 2</v>
          </cell>
          <cell r="H4039">
            <v>5034987</v>
          </cell>
          <cell r="AK4039" t="str">
            <v>Parul Chowdhry</v>
          </cell>
        </row>
        <row r="4040">
          <cell r="C4040" t="str">
            <v>ReVan_PMO ph 1 Amd 1</v>
          </cell>
          <cell r="H4040">
            <v>5035364</v>
          </cell>
          <cell r="AK4040" t="str">
            <v>George Lilly</v>
          </cell>
        </row>
        <row r="4041">
          <cell r="C4041" t="str">
            <v>BMO Harris_Data Gov Biz Amd3</v>
          </cell>
          <cell r="H4041">
            <v>5033307</v>
          </cell>
          <cell r="AK4041" t="str">
            <v>Kyle Marynowski</v>
          </cell>
        </row>
        <row r="4042">
          <cell r="C4042" t="str">
            <v>EQ Control Supervision Analyst</v>
          </cell>
          <cell r="H4042">
            <v>5036198</v>
          </cell>
          <cell r="AK4042" t="str">
            <v>Jeffrey Gheraldi</v>
          </cell>
        </row>
        <row r="4043">
          <cell r="C4043" t="str">
            <v>Jeff_Sybase Retirement PM Ext2</v>
          </cell>
          <cell r="H4043">
            <v>5036065</v>
          </cell>
          <cell r="AK4043" t="str">
            <v>Jeffrey Gheraldi</v>
          </cell>
        </row>
        <row r="4044">
          <cell r="C4044" t="str">
            <v>Shoko-BSA Independent Test</v>
          </cell>
          <cell r="H4044">
            <v>5035609</v>
          </cell>
          <cell r="AK4044" t="str">
            <v>Charles Mcwilliam</v>
          </cell>
        </row>
        <row r="4045">
          <cell r="C4045" t="str">
            <v>BMO Harris_DNA</v>
          </cell>
          <cell r="H4045">
            <v>5036135</v>
          </cell>
          <cell r="AK4045" t="str">
            <v>Nick Hufford</v>
          </cell>
        </row>
        <row r="4046">
          <cell r="C4046" t="str">
            <v>MS_Compliance Reporting Ext.</v>
          </cell>
          <cell r="H4046">
            <v>5034360</v>
          </cell>
          <cell r="AK4046" t="str">
            <v>James St. Jean</v>
          </cell>
        </row>
        <row r="4047">
          <cell r="C4047" t="str">
            <v>BBT_FDIC 370 STI Assessment</v>
          </cell>
          <cell r="H4047">
            <v>5036166</v>
          </cell>
          <cell r="AK4047" t="str">
            <v>Daniela Hawkins</v>
          </cell>
        </row>
        <row r="4048">
          <cell r="C4048" t="str">
            <v>PatriotBank-Governance Remed</v>
          </cell>
          <cell r="H4048">
            <v>5036184</v>
          </cell>
          <cell r="AK4048" t="str">
            <v>Mariana Dumanovsky</v>
          </cell>
        </row>
        <row r="4049">
          <cell r="C4049" t="str">
            <v>Prudential-Info Security RA</v>
          </cell>
          <cell r="H4049">
            <v>5036171</v>
          </cell>
          <cell r="AK4049" t="str">
            <v>Robert Farmer</v>
          </cell>
        </row>
        <row r="4050">
          <cell r="C4050" t="str">
            <v>FrMc_MF MPS Sailpoint API</v>
          </cell>
          <cell r="H4050">
            <v>5036154</v>
          </cell>
          <cell r="AK4050" t="str">
            <v>David Williams</v>
          </cell>
        </row>
        <row r="4051">
          <cell r="C4051" t="str">
            <v>WA Trust-Loan Center Training</v>
          </cell>
          <cell r="H4051">
            <v>5036281</v>
          </cell>
          <cell r="AK4051" t="str">
            <v>Diane Banks</v>
          </cell>
        </row>
        <row r="4052">
          <cell r="C4052" t="str">
            <v>SFL Compl-Flood Conf Training</v>
          </cell>
          <cell r="H4052">
            <v>5036172</v>
          </cell>
          <cell r="AK4052" t="str">
            <v>Louvera Walden</v>
          </cell>
        </row>
        <row r="4053">
          <cell r="C4053" t="str">
            <v>UNQ - Front End Development BR</v>
          </cell>
          <cell r="H4053">
            <v>5036173</v>
          </cell>
          <cell r="AK4053" t="str">
            <v>Rad Ashok</v>
          </cell>
        </row>
        <row r="4054">
          <cell r="C4054" t="str">
            <v>060_DIG_OAO_PM Support</v>
          </cell>
          <cell r="H4054">
            <v>5036185</v>
          </cell>
          <cell r="AK4054" t="str">
            <v>Samuel Awsumb</v>
          </cell>
        </row>
        <row r="4055">
          <cell r="C4055" t="str">
            <v>WF_Brexit TR Ops Strategy Lead</v>
          </cell>
          <cell r="H4055">
            <v>5036218</v>
          </cell>
          <cell r="AK4055" t="str">
            <v>Tasha Giles</v>
          </cell>
        </row>
        <row r="4056">
          <cell r="C4056" t="str">
            <v>Pershing - Market Research</v>
          </cell>
          <cell r="H4056">
            <v>5036288</v>
          </cell>
          <cell r="AK4056" t="str">
            <v>Phil Kerkel</v>
          </cell>
        </row>
        <row r="4057">
          <cell r="C4057" t="str">
            <v>DB_Tech for Operations- Ext</v>
          </cell>
          <cell r="H4057">
            <v>5035545</v>
          </cell>
          <cell r="AK4057" t="str">
            <v>Sandra Paris</v>
          </cell>
        </row>
        <row r="4058">
          <cell r="C4058" t="str">
            <v>SVB_TOM Product Strategy</v>
          </cell>
          <cell r="H4058">
            <v>5036214</v>
          </cell>
          <cell r="AK4058" t="str">
            <v>Michael Tao</v>
          </cell>
        </row>
        <row r="4059">
          <cell r="C4059" t="str">
            <v>DB_AFC Governance Support</v>
          </cell>
          <cell r="H4059">
            <v>5034116</v>
          </cell>
          <cell r="AK4059" t="str">
            <v>Jason Malcolm</v>
          </cell>
        </row>
        <row r="4060">
          <cell r="C4060" t="str">
            <v>WF_Brexit TR Ops Strategy Supp</v>
          </cell>
          <cell r="H4060">
            <v>5036221</v>
          </cell>
          <cell r="AK4060" t="str">
            <v>Tasha Giles</v>
          </cell>
        </row>
        <row r="4061">
          <cell r="C4061" t="str">
            <v>Santander_Data Steward Trans</v>
          </cell>
          <cell r="H4061">
            <v>5036161</v>
          </cell>
          <cell r="AK4061" t="str">
            <v>Ridha Mesli</v>
          </cell>
        </row>
        <row r="4062">
          <cell r="C4062" t="str">
            <v>LLB_Digital Strategy</v>
          </cell>
          <cell r="H4062">
            <v>5036115</v>
          </cell>
          <cell r="AK4062" t="str">
            <v>Matthew Singleton</v>
          </cell>
        </row>
        <row r="4063">
          <cell r="C4063" t="str">
            <v>Jeff Flow Monitor - 2018 Ext4</v>
          </cell>
          <cell r="H4063">
            <v>5036168</v>
          </cell>
          <cell r="AK4063" t="str">
            <v>Jeffrey Gheraldi</v>
          </cell>
        </row>
        <row r="4064">
          <cell r="C4064" t="str">
            <v>MerchBangor-Fair Lndg RA-Train</v>
          </cell>
          <cell r="H4064">
            <v>5036330</v>
          </cell>
          <cell r="AK4064" t="str">
            <v>Paula Witt</v>
          </cell>
        </row>
        <row r="4065">
          <cell r="C4065" t="str">
            <v>M.Y.Safra-BSA Rules Tuning</v>
          </cell>
          <cell r="H4065">
            <v>5036200</v>
          </cell>
          <cell r="AK4065" t="str">
            <v>William Sachs</v>
          </cell>
        </row>
        <row r="4066">
          <cell r="C4066" t="str">
            <v>Clear Mount-BSA System Rvw 19</v>
          </cell>
          <cell r="H4066">
            <v>5029977</v>
          </cell>
          <cell r="AK4066" t="str">
            <v>William Sachs</v>
          </cell>
        </row>
        <row r="4067">
          <cell r="C4067" t="str">
            <v>UNQ Implementation Assistance</v>
          </cell>
          <cell r="H4067">
            <v>5036041</v>
          </cell>
          <cell r="AK4067" t="str">
            <v>Rad Ashok</v>
          </cell>
        </row>
        <row r="4068">
          <cell r="C4068" t="str">
            <v>WF_UMR IM Industry Phase 4</v>
          </cell>
          <cell r="H4068">
            <v>5036367</v>
          </cell>
          <cell r="AK4068" t="str">
            <v>Danielle DiCanio</v>
          </cell>
        </row>
        <row r="4069">
          <cell r="C4069" t="str">
            <v>AdirondackBank-Flood Training</v>
          </cell>
          <cell r="H4069">
            <v>5036208</v>
          </cell>
          <cell r="AK4069" t="str">
            <v>Mary Louise Radley</v>
          </cell>
        </row>
        <row r="4070">
          <cell r="C4070" t="str">
            <v>Federal Deposit Insurance_RAS</v>
          </cell>
          <cell r="H4070">
            <v>5039630</v>
          </cell>
          <cell r="AK4070" t="str">
            <v>Diane Banks</v>
          </cell>
        </row>
        <row r="4071">
          <cell r="C4071" t="str">
            <v>FrMc_APP Data Support</v>
          </cell>
          <cell r="H4071">
            <v>5036204</v>
          </cell>
          <cell r="AK4071" t="str">
            <v>Geetanjali Mittal</v>
          </cell>
        </row>
        <row r="4072">
          <cell r="C4072" t="str">
            <v>Santander_IRM Metrics</v>
          </cell>
          <cell r="H4072">
            <v>5036222</v>
          </cell>
          <cell r="AK4072" t="str">
            <v>Ridha Mesli</v>
          </cell>
        </row>
        <row r="4073">
          <cell r="C4073" t="str">
            <v>CBC_FDIC IT Cntrls Mitigation</v>
          </cell>
          <cell r="H4073">
            <v>5036258</v>
          </cell>
          <cell r="AK4073" t="str">
            <v>Kevin McCarty</v>
          </cell>
        </row>
        <row r="4074">
          <cell r="C4074" t="str">
            <v>DB CLM Quarantine US Q2 Q3 19</v>
          </cell>
          <cell r="H4074">
            <v>5036661</v>
          </cell>
          <cell r="AK4074" t="str">
            <v>Jason Malcolm</v>
          </cell>
        </row>
        <row r="4075">
          <cell r="C4075" t="str">
            <v>CSS_PMO Leadership &amp; Spt Amd6</v>
          </cell>
          <cell r="H4075">
            <v>5029379</v>
          </cell>
          <cell r="AK4075" t="str">
            <v>John Hickman</v>
          </cell>
        </row>
        <row r="4076">
          <cell r="C4076" t="str">
            <v>Brad_Brokerage PM Unif Plan IN</v>
          </cell>
          <cell r="H4076">
            <v>5036264</v>
          </cell>
          <cell r="AK4076" t="str">
            <v>Eduardo Yamassaki</v>
          </cell>
        </row>
        <row r="4077">
          <cell r="C4077" t="str">
            <v>Dscvr_DFS_Agile Strat</v>
          </cell>
          <cell r="H4077">
            <v>5036209</v>
          </cell>
          <cell r="AK4077" t="str">
            <v>Div Kaveria</v>
          </cell>
        </row>
        <row r="4078">
          <cell r="C4078" t="str">
            <v>MS_Client Ops Incremental</v>
          </cell>
          <cell r="H4078">
            <v>5034821</v>
          </cell>
          <cell r="AK4078" t="str">
            <v>Joann Economou</v>
          </cell>
        </row>
        <row r="4079">
          <cell r="C4079" t="str">
            <v>Business Relationship Manager</v>
          </cell>
          <cell r="H4079">
            <v>5036223</v>
          </cell>
          <cell r="AK4079" t="str">
            <v>Ramnish Gupta</v>
          </cell>
        </row>
        <row r="4080">
          <cell r="C4080" t="str">
            <v>GFI Current State Assessment</v>
          </cell>
          <cell r="H4080">
            <v>5036153</v>
          </cell>
          <cell r="AK4080" t="str">
            <v>Andrew Dearman</v>
          </cell>
        </row>
        <row r="4081">
          <cell r="C4081" t="str">
            <v>NorthEastCB-Identity Theft RA</v>
          </cell>
          <cell r="H4081">
            <v>5036325</v>
          </cell>
          <cell r="AK4081" t="str">
            <v>Mary Louise Radley</v>
          </cell>
        </row>
        <row r="4082">
          <cell r="C4082" t="str">
            <v>MS_S&amp;A Platform Team Exp 2019</v>
          </cell>
          <cell r="H4082">
            <v>5035075</v>
          </cell>
          <cell r="AK4082" t="str">
            <v>Alexander Collyer</v>
          </cell>
        </row>
        <row r="4083">
          <cell r="C4083" t="str">
            <v>UBS US DMF Advisory May-Dec 19</v>
          </cell>
          <cell r="H4083">
            <v>5036249</v>
          </cell>
          <cell r="AK4083" t="str">
            <v>Daniel Holness</v>
          </cell>
        </row>
        <row r="4084">
          <cell r="C4084" t="str">
            <v>UBS US DMO Exec. May-Dec 19</v>
          </cell>
          <cell r="H4084">
            <v>5036250</v>
          </cell>
          <cell r="AK4084" t="str">
            <v>Daniel Holness</v>
          </cell>
        </row>
        <row r="4085">
          <cell r="C4085" t="str">
            <v>First Bank of Greenwich_RAS</v>
          </cell>
          <cell r="H4085">
            <v>5039731</v>
          </cell>
          <cell r="AK4085" t="str">
            <v>Travis Peraza</v>
          </cell>
        </row>
        <row r="4086">
          <cell r="C4086" t="str">
            <v>Kearny-CRA Assessment</v>
          </cell>
          <cell r="H4086">
            <v>5036216</v>
          </cell>
          <cell r="AK4086" t="str">
            <v>Paula Witt</v>
          </cell>
        </row>
        <row r="4087">
          <cell r="C4087" t="str">
            <v>Amerant-HMDA Scrub &amp; Prog Rev</v>
          </cell>
          <cell r="H4087">
            <v>5036321</v>
          </cell>
          <cell r="AK4087" t="str">
            <v>Juan Pimentel</v>
          </cell>
        </row>
        <row r="4088">
          <cell r="C4088" t="str">
            <v>NET FCU-Fair Lending RA</v>
          </cell>
          <cell r="H4088">
            <v>5036334</v>
          </cell>
          <cell r="AK4088" t="str">
            <v>Paula Witt</v>
          </cell>
        </row>
        <row r="4089">
          <cell r="C4089" t="str">
            <v>UB_082_RB_BCPO Support</v>
          </cell>
          <cell r="H4089">
            <v>5036366</v>
          </cell>
          <cell r="AK4089" t="str">
            <v>Adrian Ungureanu</v>
          </cell>
        </row>
        <row r="4090">
          <cell r="C4090" t="str">
            <v>Achieva-Compliance Audits</v>
          </cell>
          <cell r="H4090">
            <v>5036363</v>
          </cell>
          <cell r="AK4090" t="str">
            <v>Louvera Walden</v>
          </cell>
        </row>
        <row r="4091">
          <cell r="C4091" t="str">
            <v>DB AFC T&amp;R KYC Team Expansion</v>
          </cell>
          <cell r="H4091">
            <v>5034116</v>
          </cell>
          <cell r="AK4091" t="str">
            <v>Jason Malcolm</v>
          </cell>
        </row>
        <row r="4092">
          <cell r="C4092" t="str">
            <v>GS Asset Mgt Change Portfolio</v>
          </cell>
          <cell r="H4092">
            <v>5036304</v>
          </cell>
          <cell r="AK4092" t="str">
            <v>Robert Norris</v>
          </cell>
        </row>
        <row r="4093">
          <cell r="C4093" t="str">
            <v>Middlesex Federal Savings _RAS</v>
          </cell>
          <cell r="H4093">
            <v>5039527</v>
          </cell>
          <cell r="AK4093" t="str">
            <v>Diane Banks</v>
          </cell>
        </row>
        <row r="4094">
          <cell r="C4094" t="str">
            <v>Brotherhood-CMSO</v>
          </cell>
          <cell r="H4094">
            <v>5036368</v>
          </cell>
          <cell r="AK4094" t="str">
            <v>Leigh Tribou</v>
          </cell>
        </row>
        <row r="4095">
          <cell r="C4095" t="str">
            <v>Seaside-BSA Consulting</v>
          </cell>
          <cell r="H4095">
            <v>5036262</v>
          </cell>
          <cell r="AK4095" t="str">
            <v>William Sachs</v>
          </cell>
        </row>
        <row r="4096">
          <cell r="C4096" t="str">
            <v>Deutsche-Fair Lending RA</v>
          </cell>
          <cell r="H4096">
            <v>5036327</v>
          </cell>
          <cell r="AK4096" t="str">
            <v>Pamela Acciardo</v>
          </cell>
        </row>
        <row r="4097">
          <cell r="C4097" t="str">
            <v>Magnolia Bank_RAS</v>
          </cell>
          <cell r="H4097">
            <v>5039680</v>
          </cell>
          <cell r="AK4097" t="str">
            <v>Travis Peraza</v>
          </cell>
        </row>
        <row r="4098">
          <cell r="C4098" t="str">
            <v>UFSB USAA- TRID Review Ext</v>
          </cell>
          <cell r="AK4098" t="str">
            <v>Willis Leitner</v>
          </cell>
        </row>
        <row r="4099">
          <cell r="C4099" t="str">
            <v>City NtlFL-BSA Alert Clearing1</v>
          </cell>
          <cell r="H4099">
            <v>5036376</v>
          </cell>
          <cell r="AK4099" t="str">
            <v>Ginger Dahlin</v>
          </cell>
        </row>
        <row r="4100">
          <cell r="C4100" t="str">
            <v>NFCU - ERM M7 Sandbox</v>
          </cell>
          <cell r="AK4100" t="str">
            <v>Patti Harrison</v>
          </cell>
        </row>
        <row r="4101">
          <cell r="C4101" t="str">
            <v>South Shore-Compliance Consult</v>
          </cell>
          <cell r="H4101">
            <v>5036205</v>
          </cell>
          <cell r="AK4101" t="str">
            <v>Leigh Tribou</v>
          </cell>
        </row>
        <row r="4102">
          <cell r="C4102" t="str">
            <v>FrMc_GBS _Assurance AMD 1</v>
          </cell>
          <cell r="H4102">
            <v>5034576</v>
          </cell>
          <cell r="AK4102" t="str">
            <v>Karl Augenstein</v>
          </cell>
        </row>
        <row r="4103">
          <cell r="C4103" t="str">
            <v>Jeff_Compliance PMO Support</v>
          </cell>
          <cell r="H4103">
            <v>5036378</v>
          </cell>
          <cell r="AK4103" t="str">
            <v>Chelsea Mattias</v>
          </cell>
        </row>
        <row r="4104">
          <cell r="C4104" t="str">
            <v>Jeff_CRM OneJef Surge Ext</v>
          </cell>
          <cell r="H4104">
            <v>5036681</v>
          </cell>
          <cell r="AK4104" t="str">
            <v>Ripple Bhullar</v>
          </cell>
        </row>
        <row r="4105">
          <cell r="C4105" t="str">
            <v>CambridgeSB-BSA Ind Test</v>
          </cell>
          <cell r="H4105">
            <v>5035688</v>
          </cell>
          <cell r="AK4105" t="str">
            <v>Charles Mcwilliam</v>
          </cell>
        </row>
        <row r="4106">
          <cell r="C4106" t="str">
            <v>MS_FID Marketing Ext</v>
          </cell>
          <cell r="H4106">
            <v>5035202</v>
          </cell>
          <cell r="AK4106" t="str">
            <v>Frank Merla</v>
          </cell>
        </row>
        <row r="4107">
          <cell r="C4107" t="str">
            <v>FrMc_PE Cash Extension</v>
          </cell>
          <cell r="H4107">
            <v>5034998</v>
          </cell>
          <cell r="AK4107" t="str">
            <v>Sebastian Ekberg</v>
          </cell>
        </row>
        <row r="4108">
          <cell r="C4108" t="str">
            <v>MS_COO Training Ext</v>
          </cell>
          <cell r="H4108">
            <v>5034515</v>
          </cell>
          <cell r="AK4108" t="str">
            <v>Rahul Govada</v>
          </cell>
        </row>
        <row r="4109">
          <cell r="C4109" t="str">
            <v>MS TPRM Concentration Risk</v>
          </cell>
          <cell r="H4109">
            <v>5035314</v>
          </cell>
          <cell r="AK4109" t="str">
            <v>Dan Schutzman</v>
          </cell>
        </row>
        <row r="4110">
          <cell r="C4110" t="str">
            <v>HSBC_GBM-CDO-Data Monitoring</v>
          </cell>
          <cell r="H4110">
            <v>5036335</v>
          </cell>
          <cell r="AK4110" t="str">
            <v>Rahul Govada</v>
          </cell>
        </row>
        <row r="4111">
          <cell r="C4111" t="str">
            <v>Kearny-Fair Lending RA</v>
          </cell>
          <cell r="H4111">
            <v>5036217</v>
          </cell>
          <cell r="AK4111" t="str">
            <v>Paula Witt</v>
          </cell>
        </row>
        <row r="4112">
          <cell r="C4112" t="str">
            <v>HSBC_RBW-IT Provenir Ext</v>
          </cell>
          <cell r="H4112">
            <v>5036339</v>
          </cell>
          <cell r="AK4112" t="str">
            <v>Rahul Govada</v>
          </cell>
        </row>
        <row r="4113">
          <cell r="C4113" t="str">
            <v>HSBC_GBM-Reg Change</v>
          </cell>
          <cell r="H4113">
            <v>5036338</v>
          </cell>
          <cell r="AK4113" t="str">
            <v>Rahul Govada</v>
          </cell>
        </row>
        <row r="4114">
          <cell r="C4114" t="str">
            <v>MS_IMOPS_Strat Transformation</v>
          </cell>
          <cell r="H4114">
            <v>5036307</v>
          </cell>
          <cell r="AK4114" t="str">
            <v>Angela McGregor</v>
          </cell>
        </row>
        <row r="4115">
          <cell r="C4115" t="str">
            <v>HSBC_FIN-Transformation 2</v>
          </cell>
          <cell r="H4115">
            <v>5036337</v>
          </cell>
          <cell r="AK4115" t="str">
            <v>Rahul Govada</v>
          </cell>
        </row>
        <row r="4116">
          <cell r="C4116" t="str">
            <v>FrMc_MF Rural Mapping</v>
          </cell>
          <cell r="H4116">
            <v>5036287</v>
          </cell>
          <cell r="AK4116" t="str">
            <v>Poorna Bhimavarapu</v>
          </cell>
        </row>
        <row r="4117">
          <cell r="C4117" t="str">
            <v>Jeff_Salesforce UI UX</v>
          </cell>
          <cell r="H4117">
            <v>5036377</v>
          </cell>
          <cell r="AK4117" t="str">
            <v>Ripple Bhullar</v>
          </cell>
        </row>
        <row r="4118">
          <cell r="C4118" t="str">
            <v>Jeff_CRM OneJef PM/BA</v>
          </cell>
          <cell r="H4118">
            <v>5036545</v>
          </cell>
          <cell r="AK4118" t="str">
            <v>Ripple Bhullar</v>
          </cell>
        </row>
        <row r="4119">
          <cell r="C4119" t="str">
            <v>CentBankAR-EDD Rev &amp; Case Inv</v>
          </cell>
          <cell r="H4119">
            <v>5036355</v>
          </cell>
          <cell r="AK4119" t="str">
            <v>Chintan Patel</v>
          </cell>
        </row>
        <row r="4120">
          <cell r="C4120" t="str">
            <v>SVB_Wealth Gateway</v>
          </cell>
          <cell r="H4120">
            <v>5036387</v>
          </cell>
          <cell r="AK4120" t="str">
            <v>Matthew Faraone</v>
          </cell>
        </row>
        <row r="4121">
          <cell r="C4121" t="str">
            <v>FIS-VBO Review for State Farm</v>
          </cell>
          <cell r="H4121">
            <v>5036405</v>
          </cell>
          <cell r="AK4121" t="str">
            <v>Paul Brinker</v>
          </cell>
        </row>
        <row r="4122">
          <cell r="C4122" t="str">
            <v>UnionSaving-MQC</v>
          </cell>
          <cell r="H4122">
            <v>5036812</v>
          </cell>
          <cell r="AK4122" t="str">
            <v>Christian Maier</v>
          </cell>
        </row>
        <row r="4123">
          <cell r="C4123" t="str">
            <v>WSFSBank-ERM Program Diag</v>
          </cell>
          <cell r="H4123">
            <v>5036384</v>
          </cell>
          <cell r="AK4123" t="str">
            <v>Denise Rinear</v>
          </cell>
        </row>
        <row r="4124">
          <cell r="C4124" t="str">
            <v>WA Trust-HMDA Data Int Reviews</v>
          </cell>
          <cell r="H4124">
            <v>5036442</v>
          </cell>
          <cell r="AK4124" t="str">
            <v>Juan Pimentel</v>
          </cell>
        </row>
        <row r="4125">
          <cell r="C4125" t="str">
            <v>Jeff_Salesforce Tech Arch</v>
          </cell>
          <cell r="H4125">
            <v>5036477</v>
          </cell>
          <cell r="AK4125" t="str">
            <v>Ripple Bhullar</v>
          </cell>
        </row>
        <row r="4126">
          <cell r="C4126" t="str">
            <v>SVB_Lending PM Support</v>
          </cell>
          <cell r="H4126">
            <v>5036415</v>
          </cell>
          <cell r="AK4126" t="str">
            <v>Michael Tao</v>
          </cell>
        </row>
        <row r="4127">
          <cell r="C4127" t="str">
            <v>Modern Platforms</v>
          </cell>
          <cell r="H4127">
            <v>5035075</v>
          </cell>
          <cell r="AK4127" t="str">
            <v>Alexander Collyer</v>
          </cell>
        </row>
        <row r="4128">
          <cell r="C4128" t="str">
            <v>SVB_Journey Design Architect</v>
          </cell>
          <cell r="H4128">
            <v>5036722</v>
          </cell>
          <cell r="AK4128" t="str">
            <v>Matthew Faraone</v>
          </cell>
        </row>
        <row r="4129">
          <cell r="C4129" t="str">
            <v>PNC_ONYX Ops Readiness - Ph 2</v>
          </cell>
          <cell r="H4129">
            <v>5035724</v>
          </cell>
          <cell r="AK4129" t="str">
            <v>Michael Crumpler</v>
          </cell>
        </row>
        <row r="4130">
          <cell r="C4130" t="str">
            <v>SVB_Gateway Implementation</v>
          </cell>
          <cell r="H4130">
            <v>5036446</v>
          </cell>
          <cell r="AK4130" t="str">
            <v>Michael Tao</v>
          </cell>
        </row>
        <row r="4131">
          <cell r="C4131" t="str">
            <v>BBT_FDIC 370 Compliance Ext</v>
          </cell>
          <cell r="H4131">
            <v>5033736</v>
          </cell>
          <cell r="AK4131" t="str">
            <v>Kelsey Popplewell</v>
          </cell>
        </row>
        <row r="4132">
          <cell r="C4132" t="str">
            <v>FrMc_BDAP APP Buildout 2</v>
          </cell>
          <cell r="H4132">
            <v>5036400</v>
          </cell>
          <cell r="AK4132" t="str">
            <v>Ramnish Gupta</v>
          </cell>
        </row>
        <row r="4133">
          <cell r="C4133" t="str">
            <v>FrMc_BDAP APP Buildout 1</v>
          </cell>
          <cell r="H4133">
            <v>5036404</v>
          </cell>
          <cell r="AK4133" t="str">
            <v>Ramnish Gupta</v>
          </cell>
        </row>
        <row r="4134">
          <cell r="C4134" t="str">
            <v>Arden_System Evaluation</v>
          </cell>
          <cell r="H4134">
            <v>5036421</v>
          </cell>
          <cell r="AK4134" t="str">
            <v>Matt Markham</v>
          </cell>
        </row>
        <row r="4135">
          <cell r="C4135" t="str">
            <v>UB_WMG Supp SOW 83 (Ext. #3)</v>
          </cell>
          <cell r="H4135">
            <v>5036549</v>
          </cell>
          <cell r="AK4135" t="str">
            <v>Charles Marooney</v>
          </cell>
        </row>
        <row r="4136">
          <cell r="C4136" t="str">
            <v>WF MO TR Ops HKMA Reporting</v>
          </cell>
          <cell r="H4136">
            <v>5036701</v>
          </cell>
          <cell r="AK4136" t="str">
            <v>Tasha Giles</v>
          </cell>
        </row>
        <row r="4137">
          <cell r="C4137" t="str">
            <v>Martha's VY-BSA Consulting</v>
          </cell>
          <cell r="H4137">
            <v>5036434</v>
          </cell>
          <cell r="AK4137" t="str">
            <v>William Sachs</v>
          </cell>
        </row>
        <row r="4138">
          <cell r="C4138" t="str">
            <v>Jeff_GCTAC BA Extension</v>
          </cell>
          <cell r="H4138">
            <v>5036543</v>
          </cell>
          <cell r="AK4138" t="str">
            <v>Imran Parekh</v>
          </cell>
        </row>
        <row r="4139">
          <cell r="C4139" t="str">
            <v>Unqork _Partnership June Ext</v>
          </cell>
          <cell r="H4139">
            <v>5036453</v>
          </cell>
          <cell r="AK4139" t="str">
            <v>Rad Ashok</v>
          </cell>
        </row>
        <row r="4140">
          <cell r="C4140" t="str">
            <v>JF_Wealth Mgt Surveillance Ext</v>
          </cell>
          <cell r="H4140">
            <v>5036467</v>
          </cell>
          <cell r="AK4140" t="str">
            <v>Jeffrey Gheraldi</v>
          </cell>
        </row>
        <row r="4141">
          <cell r="C4141" t="str">
            <v>ReVan_Accntg Process Imp</v>
          </cell>
          <cell r="H4141">
            <v>5036456</v>
          </cell>
          <cell r="AK4141" t="str">
            <v>John Power</v>
          </cell>
        </row>
        <row r="4142">
          <cell r="C4142" t="str">
            <v>MS_ORD Nextgen RCSA</v>
          </cell>
          <cell r="H4142">
            <v>5036455</v>
          </cell>
          <cell r="AK4142" t="str">
            <v>Dan Schutzman</v>
          </cell>
        </row>
        <row r="4143">
          <cell r="C4143" t="str">
            <v>Spectrum &amp; Elysium PM</v>
          </cell>
          <cell r="H4143">
            <v>5036535</v>
          </cell>
          <cell r="AK4143" t="str">
            <v>Chelsea Mattias</v>
          </cell>
        </row>
        <row r="4144">
          <cell r="C4144" t="str">
            <v>Jeff_CAO Office PM</v>
          </cell>
          <cell r="H4144">
            <v>5036469</v>
          </cell>
          <cell r="AK4144" t="str">
            <v>Chelsea Mattias</v>
          </cell>
        </row>
        <row r="4145">
          <cell r="C4145" t="str">
            <v>Jeff_Murex Reporting BA</v>
          </cell>
          <cell r="H4145">
            <v>5036471</v>
          </cell>
          <cell r="AK4145" t="str">
            <v>Chelsea Mattias</v>
          </cell>
        </row>
        <row r="4146">
          <cell r="C4146" t="str">
            <v>UBS US Pentagon Jul-Dec 2019</v>
          </cell>
          <cell r="H4146">
            <v>5036761</v>
          </cell>
          <cell r="AK4146" t="str">
            <v>Angela McGregor</v>
          </cell>
        </row>
        <row r="4147">
          <cell r="C4147" t="str">
            <v>MS_COO Support PM Ext</v>
          </cell>
          <cell r="H4147">
            <v>5034515</v>
          </cell>
          <cell r="AK4147" t="str">
            <v>Rahul Govada</v>
          </cell>
        </row>
        <row r="4148">
          <cell r="C4148" t="str">
            <v>Santander Standards - P3</v>
          </cell>
          <cell r="H4148">
            <v>5036485</v>
          </cell>
          <cell r="AK4148" t="str">
            <v>Ridha Mesli</v>
          </cell>
        </row>
        <row r="4149">
          <cell r="C4149" t="str">
            <v>PreferredCA-Mtg Oper Audit</v>
          </cell>
          <cell r="H4149">
            <v>5036088</v>
          </cell>
          <cell r="AK4149" t="str">
            <v>Mary Louise Radley</v>
          </cell>
        </row>
        <row r="4150">
          <cell r="C4150" t="str">
            <v>CentBankAR-Post Close TRID QC</v>
          </cell>
          <cell r="H4150">
            <v>5036659</v>
          </cell>
          <cell r="AK4150" t="str">
            <v>Susan Stevenson</v>
          </cell>
        </row>
        <row r="4151">
          <cell r="C4151" t="str">
            <v>Fredd Mac Data Support</v>
          </cell>
          <cell r="H4151">
            <v>5036190</v>
          </cell>
          <cell r="AK4151" t="str">
            <v>Michael Mathew</v>
          </cell>
        </row>
        <row r="4152">
          <cell r="C4152" t="str">
            <v>UB_088_RB_FinCEN/Kodiak/SB PM</v>
          </cell>
          <cell r="H4152">
            <v>5036635</v>
          </cell>
          <cell r="AK4152" t="str">
            <v>Samuel Awsumb</v>
          </cell>
        </row>
        <row r="4153">
          <cell r="C4153" t="str">
            <v>City Ntl FL-BSA Alert Clearing</v>
          </cell>
          <cell r="H4153">
            <v>5036587</v>
          </cell>
          <cell r="AK4153" t="str">
            <v>Ginger Dahlin</v>
          </cell>
        </row>
        <row r="4154">
          <cell r="C4154" t="str">
            <v>UBS US DMO CCAR Jul-Dec 2019</v>
          </cell>
          <cell r="H4154">
            <v>5036891</v>
          </cell>
          <cell r="AK4154" t="str">
            <v>Angela McGregor</v>
          </cell>
        </row>
        <row r="4155">
          <cell r="C4155" t="str">
            <v>First North-Cons Loan Training</v>
          </cell>
          <cell r="H4155">
            <v>5036522</v>
          </cell>
          <cell r="AK4155" t="str">
            <v>Gail Rassler</v>
          </cell>
        </row>
        <row r="4156">
          <cell r="C4156" t="str">
            <v>Spark Ext</v>
          </cell>
          <cell r="H4156">
            <v>5035866</v>
          </cell>
          <cell r="AK4156" t="str">
            <v>Linda Graham</v>
          </cell>
        </row>
        <row r="4157">
          <cell r="C4157" t="str">
            <v>UBS US DMP Jul-Dec 2019</v>
          </cell>
          <cell r="H4157">
            <v>5036756</v>
          </cell>
          <cell r="AK4157" t="str">
            <v>Angela McGregor</v>
          </cell>
        </row>
        <row r="4158">
          <cell r="C4158" t="str">
            <v>CreditAgr_CyberDFS_Extension2</v>
          </cell>
          <cell r="H4158">
            <v>5034014</v>
          </cell>
          <cell r="AK4158" t="str">
            <v>Thanh Le Xuan</v>
          </cell>
        </row>
        <row r="4159">
          <cell r="C4159" t="str">
            <v>Boston Firefighters Credit_RAS</v>
          </cell>
          <cell r="H4159">
            <v>5039455</v>
          </cell>
          <cell r="AK4159" t="str">
            <v>Travis Peraza</v>
          </cell>
        </row>
        <row r="4160">
          <cell r="C4160" t="str">
            <v>Boston FFCU-Compl Consulting</v>
          </cell>
          <cell r="H4160">
            <v>5036584</v>
          </cell>
          <cell r="AK4160" t="str">
            <v>Leigh Tribou</v>
          </cell>
        </row>
        <row r="4161">
          <cell r="C4161" t="str">
            <v>United Business Bank_RAS</v>
          </cell>
          <cell r="H4161">
            <v>5039739</v>
          </cell>
          <cell r="AK4161" t="str">
            <v>Diane Banks</v>
          </cell>
        </row>
        <row r="4162">
          <cell r="C4162" t="str">
            <v>UBS US DMO 2052a Jul-Dec 2019</v>
          </cell>
          <cell r="H4162">
            <v>5036892</v>
          </cell>
          <cell r="AK4162" t="str">
            <v>Angela McGregor</v>
          </cell>
        </row>
        <row r="4163">
          <cell r="C4163" t="str">
            <v>Woodforest National Bank_RAS</v>
          </cell>
          <cell r="H4163">
            <v>5039573</v>
          </cell>
          <cell r="AK4163" t="str">
            <v>Rebecca Breland</v>
          </cell>
        </row>
        <row r="4164">
          <cell r="C4164" t="str">
            <v>BancoBrasil-BSA Risk Assmnt</v>
          </cell>
          <cell r="H4164">
            <v>5036110</v>
          </cell>
          <cell r="AK4164" t="str">
            <v>Charles Mcwilliam</v>
          </cell>
        </row>
        <row r="4165">
          <cell r="C4165" t="str">
            <v>MS_TPRM Concentration Risk Ext</v>
          </cell>
          <cell r="H4165">
            <v>5035314</v>
          </cell>
          <cell r="AK4165" t="str">
            <v>Dan Schutzman</v>
          </cell>
        </row>
        <row r="4166">
          <cell r="C4166" t="str">
            <v>FrMc_Data PMO</v>
          </cell>
          <cell r="H4166">
            <v>5036396</v>
          </cell>
          <cell r="AK4166" t="str">
            <v>Erik Johnson</v>
          </cell>
        </row>
        <row r="4167">
          <cell r="C4167" t="str">
            <v>Woodforest-RCM Monitoring</v>
          </cell>
          <cell r="H4167">
            <v>5036786</v>
          </cell>
          <cell r="AK4167" t="str">
            <v>Leah Robinson</v>
          </cell>
        </row>
        <row r="4168">
          <cell r="C4168" t="str">
            <v>FM_Value Verify Support</v>
          </cell>
          <cell r="H4168">
            <v>5035631</v>
          </cell>
          <cell r="AK4168" t="str">
            <v>Sabrina Amjad</v>
          </cell>
        </row>
        <row r="4169">
          <cell r="C4169" t="str">
            <v>Process Mapping Ext 2019</v>
          </cell>
          <cell r="H4169">
            <v>5034522</v>
          </cell>
          <cell r="AK4169" t="str">
            <v>Linda Graham</v>
          </cell>
        </row>
        <row r="4170">
          <cell r="C4170" t="str">
            <v>CSP R3 (AMD 4)</v>
          </cell>
          <cell r="H4170">
            <v>5035251</v>
          </cell>
          <cell r="AK4170" t="str">
            <v>Thomas Wilson</v>
          </cell>
        </row>
        <row r="4171">
          <cell r="C4171" t="str">
            <v>CambridgeSB-BSA System Optim</v>
          </cell>
          <cell r="H4171">
            <v>5035791</v>
          </cell>
          <cell r="AK4171" t="str">
            <v>Charles Mcwilliam</v>
          </cell>
        </row>
        <row r="4172">
          <cell r="C4172" t="str">
            <v>CA_infra_Cybersec_extension2</v>
          </cell>
          <cell r="H4172">
            <v>5033548</v>
          </cell>
          <cell r="AK4172" t="str">
            <v>Thanh Le Xuan</v>
          </cell>
        </row>
        <row r="4173">
          <cell r="C4173" t="str">
            <v>FrMc_SF Data Strategy Support</v>
          </cell>
          <cell r="H4173">
            <v>5036333</v>
          </cell>
          <cell r="AK4173" t="str">
            <v>Michael Mathew</v>
          </cell>
        </row>
        <row r="4174">
          <cell r="C4174" t="str">
            <v>Founders-Compliance Support</v>
          </cell>
          <cell r="H4174">
            <v>5036677</v>
          </cell>
          <cell r="AK4174" t="str">
            <v>Alice Judd</v>
          </cell>
        </row>
        <row r="4175">
          <cell r="C4175" t="str">
            <v>UB_089_UCL_PM Support</v>
          </cell>
          <cell r="H4175">
            <v>5036547</v>
          </cell>
          <cell r="AK4175" t="str">
            <v>Samuel Awsumb</v>
          </cell>
        </row>
        <row r="4176">
          <cell r="C4176" t="str">
            <v>WA Trust-Disclosure Review</v>
          </cell>
          <cell r="H4176">
            <v>5036660</v>
          </cell>
          <cell r="AK4176" t="str">
            <v>Paul Brinker</v>
          </cell>
        </row>
        <row r="4177">
          <cell r="C4177" t="str">
            <v>Citizens WV-BSA Indepen Test</v>
          </cell>
          <cell r="H4177">
            <v>5035469</v>
          </cell>
          <cell r="AK4177" t="str">
            <v>Charles Mcwilliam</v>
          </cell>
        </row>
        <row r="4178">
          <cell r="C4178" t="str">
            <v>Summit-Compliance RA</v>
          </cell>
          <cell r="H4178">
            <v>5036365</v>
          </cell>
          <cell r="AK4178" t="str">
            <v>Kristina Slattery</v>
          </cell>
        </row>
        <row r="4179">
          <cell r="C4179" t="str">
            <v>Curo-Compliance Audits</v>
          </cell>
          <cell r="H4179">
            <v>5036585</v>
          </cell>
          <cell r="AK4179" t="str">
            <v>Joseph Schmidt</v>
          </cell>
        </row>
        <row r="4180">
          <cell r="C4180" t="str">
            <v>HSBC_GBM-CDO-19-01 CCN-003</v>
          </cell>
          <cell r="H4180">
            <v>5035841</v>
          </cell>
          <cell r="AK4180" t="str">
            <v>Rahul Govada</v>
          </cell>
        </row>
        <row r="4181">
          <cell r="C4181" t="str">
            <v>Citi_Yieldbook 2019 H2</v>
          </cell>
          <cell r="H4181">
            <v>5035148</v>
          </cell>
          <cell r="AK4181" t="str">
            <v>Robert Norris</v>
          </cell>
        </row>
        <row r="4182">
          <cell r="C4182" t="str">
            <v>Santander_Infosec support - P3</v>
          </cell>
          <cell r="H4182">
            <v>5036586</v>
          </cell>
          <cell r="AK4182" t="str">
            <v>Ridha Mesli</v>
          </cell>
        </row>
        <row r="4183">
          <cell r="C4183" t="str">
            <v>PBO Incremental</v>
          </cell>
          <cell r="H4183">
            <v>5034914</v>
          </cell>
          <cell r="AK4183" t="str">
            <v>Kaz Pattni</v>
          </cell>
        </row>
        <row r="4184">
          <cell r="C4184" t="str">
            <v>PreferredCA-Reg Compl Audit</v>
          </cell>
          <cell r="H4184">
            <v>5036089</v>
          </cell>
          <cell r="AK4184" t="str">
            <v>Mary Louise Radley</v>
          </cell>
        </row>
        <row r="4185">
          <cell r="C4185" t="str">
            <v>UniBANK - Compl Consulting</v>
          </cell>
          <cell r="H4185">
            <v>5036091</v>
          </cell>
          <cell r="AK4185" t="str">
            <v>Pamela Acciardo</v>
          </cell>
        </row>
        <row r="4186">
          <cell r="C4186" t="str">
            <v>First Co Bancorp_RAS</v>
          </cell>
          <cell r="H4186">
            <v>5039486</v>
          </cell>
          <cell r="AK4186" t="str">
            <v>Diane Banks</v>
          </cell>
        </row>
        <row r="4187">
          <cell r="C4187" t="str">
            <v>CSP R3 (AMD 2)</v>
          </cell>
          <cell r="H4187">
            <v>5035251</v>
          </cell>
          <cell r="AK4187" t="str">
            <v>Thomas Wilson</v>
          </cell>
        </row>
        <row r="4188">
          <cell r="C4188" t="str">
            <v>068_RB_REI PM CO2</v>
          </cell>
          <cell r="H4188">
            <v>5035368</v>
          </cell>
          <cell r="AK4188" t="str">
            <v>Samuel Awsumb</v>
          </cell>
        </row>
        <row r="4189">
          <cell r="C4189" t="str">
            <v>UBS_WMA ICAP PM</v>
          </cell>
          <cell r="H4189">
            <v>5034776</v>
          </cell>
          <cell r="AK4189" t="str">
            <v>Michael Zambon</v>
          </cell>
        </row>
        <row r="4190">
          <cell r="C4190" t="str">
            <v>Payments Fraud Q3 Ext</v>
          </cell>
          <cell r="H4190">
            <v>5035056</v>
          </cell>
          <cell r="AK4190" t="str">
            <v>Sonal Das</v>
          </cell>
        </row>
        <row r="4191">
          <cell r="C4191" t="str">
            <v>GS_QFC 2019</v>
          </cell>
          <cell r="H4191">
            <v>5034987</v>
          </cell>
          <cell r="AK4191" t="str">
            <v>Parul Chowdhry</v>
          </cell>
        </row>
        <row r="4192">
          <cell r="C4192" t="str">
            <v>Workload Migration Ext</v>
          </cell>
          <cell r="H4192">
            <v>5035007</v>
          </cell>
          <cell r="AK4192" t="str">
            <v>Pranav Mehan</v>
          </cell>
        </row>
        <row r="4193">
          <cell r="C4193" t="str">
            <v>CentBankTX-Fair Lndg File Rev</v>
          </cell>
          <cell r="H4193">
            <v>5036785</v>
          </cell>
          <cell r="AK4193" t="str">
            <v>Paula Witt</v>
          </cell>
        </row>
        <row r="4194">
          <cell r="C4194" t="str">
            <v>HebronSB-Compliance Consulting</v>
          </cell>
          <cell r="H4194">
            <v>5036678</v>
          </cell>
          <cell r="AK4194" t="str">
            <v>Alice Judd</v>
          </cell>
        </row>
        <row r="4195">
          <cell r="C4195" t="str">
            <v>Jeff_Cyber Resiliency -Ops/Fin</v>
          </cell>
          <cell r="H4195">
            <v>5036638</v>
          </cell>
          <cell r="AK4195" t="str">
            <v>Jon Herna</v>
          </cell>
        </row>
        <row r="4196">
          <cell r="C4196" t="str">
            <v>DB US AFC TM Pgrm Support</v>
          </cell>
          <cell r="H4196">
            <v>5036616</v>
          </cell>
          <cell r="AK4196" t="str">
            <v>Jason Malcolm</v>
          </cell>
        </row>
        <row r="4197">
          <cell r="C4197" t="str">
            <v>BMO Harris_Data Pilot</v>
          </cell>
          <cell r="H4197">
            <v>5036708</v>
          </cell>
          <cell r="AK4197" t="str">
            <v>Nick Hufford</v>
          </cell>
        </row>
        <row r="4198">
          <cell r="C4198" t="str">
            <v>InvestClud_CRM BA Support</v>
          </cell>
          <cell r="H4198">
            <v>5036445</v>
          </cell>
          <cell r="AK4198" t="str">
            <v>Benjamin Kornblum</v>
          </cell>
        </row>
        <row r="4199">
          <cell r="C4199" t="str">
            <v>Wealth Ops Governance</v>
          </cell>
          <cell r="H4199">
            <v>5034912</v>
          </cell>
          <cell r="AK4199" t="str">
            <v>Mary Huang</v>
          </cell>
        </row>
        <row r="4200">
          <cell r="C4200" t="str">
            <v>UB_087_RCMAgilePrjcts Sup ext1</v>
          </cell>
          <cell r="H4200">
            <v>5036636</v>
          </cell>
          <cell r="AK4200" t="str">
            <v>Adrian Ungureanu</v>
          </cell>
        </row>
        <row r="4201">
          <cell r="C4201" t="str">
            <v>FA_Corporate Strategy Phase 1</v>
          </cell>
          <cell r="H4201">
            <v>5036608</v>
          </cell>
          <cell r="AK4201" t="str">
            <v>Mike Peretz</v>
          </cell>
        </row>
        <row r="4202">
          <cell r="C4202" t="str">
            <v>SVB_Credit Product Support</v>
          </cell>
          <cell r="H4202">
            <v>5036655</v>
          </cell>
          <cell r="AK4202" t="str">
            <v>Michael Tao</v>
          </cell>
        </row>
        <row r="4203">
          <cell r="C4203" t="str">
            <v>SVB_TOM Product Strat Ph2</v>
          </cell>
          <cell r="H4203">
            <v>5036646</v>
          </cell>
          <cell r="AK4203" t="str">
            <v>Michael Tao</v>
          </cell>
        </row>
        <row r="4204">
          <cell r="C4204" t="str">
            <v>BMO Harris_Data &amp; AI Transform</v>
          </cell>
          <cell r="H4204">
            <v>5036637</v>
          </cell>
          <cell r="AK4204" t="str">
            <v>Nick Hufford</v>
          </cell>
        </row>
        <row r="4205">
          <cell r="C4205" t="str">
            <v>FrMc_BDAPP Buildout 3</v>
          </cell>
          <cell r="H4205">
            <v>5036505</v>
          </cell>
          <cell r="AK4205" t="str">
            <v>Ramnish Gupta</v>
          </cell>
        </row>
        <row r="4206">
          <cell r="C4206" t="str">
            <v>FrMc_MF ExUAM Dev</v>
          </cell>
          <cell r="H4206">
            <v>5036154</v>
          </cell>
          <cell r="AK4206" t="str">
            <v>David Williams</v>
          </cell>
        </row>
        <row r="4207">
          <cell r="C4207" t="str">
            <v>Ally_Invest.Deposit Fraud</v>
          </cell>
          <cell r="H4207">
            <v>5036656</v>
          </cell>
          <cell r="AK4207" t="str">
            <v>George Simotas</v>
          </cell>
        </row>
        <row r="4208">
          <cell r="C4208" t="str">
            <v>UB_090_Ops_MRA Risk Support</v>
          </cell>
          <cell r="H4208">
            <v>5036669</v>
          </cell>
          <cell r="AK4208" t="str">
            <v>Samuel Awsumb</v>
          </cell>
        </row>
        <row r="4209">
          <cell r="C4209" t="str">
            <v>SVB_GW Execution Addtl Support</v>
          </cell>
          <cell r="H4209">
            <v>5036737</v>
          </cell>
          <cell r="AK4209" t="str">
            <v>Michael Tao</v>
          </cell>
        </row>
        <row r="4210">
          <cell r="C4210" t="str">
            <v>CA_CACIB AML and DFS504</v>
          </cell>
          <cell r="H4210">
            <v>5036695</v>
          </cell>
          <cell r="AK4210" t="str">
            <v>Thanh Le Xuan</v>
          </cell>
        </row>
        <row r="4211">
          <cell r="C4211" t="str">
            <v>Jeff_Offshore CAT Testing</v>
          </cell>
          <cell r="H4211">
            <v>5036725</v>
          </cell>
          <cell r="AK4211" t="str">
            <v>John McCaffrey</v>
          </cell>
        </row>
        <row r="4212">
          <cell r="C4212" t="str">
            <v>Pru_DFS 187 Advisory Services</v>
          </cell>
          <cell r="H4212">
            <v>5036772</v>
          </cell>
          <cell r="AK4212" t="str">
            <v>Phil Kerkel</v>
          </cell>
        </row>
        <row r="4213">
          <cell r="C4213" t="str">
            <v>States Title_PEO Onboarding</v>
          </cell>
          <cell r="H4213">
            <v>5036654</v>
          </cell>
          <cell r="AK4213" t="str">
            <v>John Hickman</v>
          </cell>
        </row>
        <row r="4214">
          <cell r="C4214" t="str">
            <v>Eagle HM-BSA Independent Test</v>
          </cell>
          <cell r="H4214">
            <v>5036375</v>
          </cell>
          <cell r="AK4214" t="str">
            <v>Charles Mcwilliam</v>
          </cell>
        </row>
        <row r="4215">
          <cell r="C4215" t="str">
            <v>HSBC_GBM-BrazilTOM Ext</v>
          </cell>
          <cell r="H4215">
            <v>5036689</v>
          </cell>
          <cell r="AK4215" t="str">
            <v>Rahul Govada</v>
          </cell>
        </row>
        <row r="4216">
          <cell r="C4216" t="str">
            <v>WF_MO TR Ops NFRR SFTR</v>
          </cell>
          <cell r="H4216">
            <v>5036707</v>
          </cell>
          <cell r="AK4216" t="str">
            <v>Tasha Giles</v>
          </cell>
        </row>
        <row r="4217">
          <cell r="C4217" t="str">
            <v>CentBankAR-Lending Comp Monit</v>
          </cell>
          <cell r="H4217">
            <v>5036736</v>
          </cell>
          <cell r="AK4217" t="str">
            <v>Randall Patton</v>
          </cell>
        </row>
        <row r="4218">
          <cell r="C4218" t="str">
            <v>FA_HR + IT Due Diligence</v>
          </cell>
          <cell r="H4218">
            <v>5036767</v>
          </cell>
          <cell r="AK4218" t="str">
            <v>Jon Herna</v>
          </cell>
        </row>
        <row r="4219">
          <cell r="C4219" t="str">
            <v>FrMc_Modern Delivery Devlpment</v>
          </cell>
          <cell r="H4219">
            <v>5036729</v>
          </cell>
          <cell r="AK4219" t="str">
            <v>David Williams</v>
          </cell>
        </row>
        <row r="4220">
          <cell r="C4220" t="str">
            <v>Jeff_Wealth Mgt Surv Ext2</v>
          </cell>
          <cell r="H4220">
            <v>5036762</v>
          </cell>
          <cell r="AK4220" t="str">
            <v>Jeffrey Gheraldi</v>
          </cell>
        </row>
        <row r="4221">
          <cell r="C4221" t="str">
            <v>HSBC_CMB-LIBOR BA/PM</v>
          </cell>
          <cell r="H4221">
            <v>5036699</v>
          </cell>
          <cell r="AK4221" t="str">
            <v>Rahul Govada</v>
          </cell>
        </row>
        <row r="4222">
          <cell r="C4222" t="str">
            <v>Jeff_Funding Analyst Exten II</v>
          </cell>
          <cell r="H4222">
            <v>5036712</v>
          </cell>
          <cell r="AK4222" t="str">
            <v>Jon Herna</v>
          </cell>
        </row>
        <row r="4223">
          <cell r="C4223" t="str">
            <v>InvestCloud_BA Support (1)</v>
          </cell>
          <cell r="H4223">
            <v>5036778</v>
          </cell>
          <cell r="AK4223" t="str">
            <v>Marcin Jasinski</v>
          </cell>
        </row>
        <row r="4224">
          <cell r="C4224" t="str">
            <v>FrMc_BR PM SF (ext)</v>
          </cell>
          <cell r="H4224">
            <v>5035106</v>
          </cell>
          <cell r="AK4224" t="str">
            <v>Thea Smith</v>
          </cell>
        </row>
        <row r="4225">
          <cell r="C4225" t="str">
            <v>UB_073_RB_Branch Capture PM</v>
          </cell>
          <cell r="H4225">
            <v>5036824</v>
          </cell>
          <cell r="AK4225" t="str">
            <v>Samuel Awsumb</v>
          </cell>
        </row>
        <row r="4226">
          <cell r="C4226" t="str">
            <v>DTCC PM Extension</v>
          </cell>
          <cell r="H4226">
            <v>5035980</v>
          </cell>
          <cell r="AK4226" t="str">
            <v>Jacob Vyncke</v>
          </cell>
        </row>
        <row r="4227">
          <cell r="C4227" t="str">
            <v>BofA_Regulatory Surveillance</v>
          </cell>
          <cell r="H4227">
            <v>5036848</v>
          </cell>
          <cell r="AK4227" t="str">
            <v>Scott Whitehead</v>
          </cell>
        </row>
        <row r="4228">
          <cell r="C4228" t="str">
            <v>Unqork Partnership July Ext</v>
          </cell>
          <cell r="H4228">
            <v>5036041</v>
          </cell>
          <cell r="AK4228" t="str">
            <v>Rad Ashok</v>
          </cell>
        </row>
        <row r="4229">
          <cell r="C4229" t="str">
            <v>UNQ August Extension</v>
          </cell>
          <cell r="H4229">
            <v>5036041</v>
          </cell>
          <cell r="AK4229" t="str">
            <v>Rad Ashok</v>
          </cell>
        </row>
        <row r="4230">
          <cell r="C4230" t="str">
            <v>SVB_InvestCloud Bridge_ Ph 2</v>
          </cell>
          <cell r="H4230">
            <v>5035050</v>
          </cell>
          <cell r="AK4230" t="str">
            <v>Benjamin Kornblum</v>
          </cell>
        </row>
        <row r="4231">
          <cell r="C4231" t="str">
            <v>MS_AI Ops Training Videos Ph 2</v>
          </cell>
          <cell r="H4231">
            <v>5036750</v>
          </cell>
          <cell r="AK4231" t="str">
            <v>Arin LoPrete</v>
          </cell>
        </row>
        <row r="4232">
          <cell r="C4232" t="str">
            <v>HSBC_GBM-LIBOR GB BA/PM</v>
          </cell>
          <cell r="H4232">
            <v>5036777</v>
          </cell>
          <cell r="AK4232" t="str">
            <v>Rahul Govada</v>
          </cell>
        </row>
        <row r="4233">
          <cell r="C4233" t="str">
            <v>FrMc_SF Data Pgrm Magnt</v>
          </cell>
          <cell r="H4233">
            <v>5036820</v>
          </cell>
          <cell r="AK4233" t="str">
            <v>Michael Mathew</v>
          </cell>
        </row>
        <row r="4234">
          <cell r="C4234" t="str">
            <v>HSBC_RBW-CDD ICO 2</v>
          </cell>
          <cell r="H4234">
            <v>5036716</v>
          </cell>
          <cell r="AK4234" t="str">
            <v>Rahul Govada</v>
          </cell>
        </row>
        <row r="4235">
          <cell r="C4235" t="str">
            <v>TowneBank-GRC Compl Consult</v>
          </cell>
          <cell r="H4235">
            <v>5036823</v>
          </cell>
          <cell r="AK4235" t="str">
            <v>Tania Makuh</v>
          </cell>
        </row>
        <row r="4236">
          <cell r="C4236" t="str">
            <v>Jeff_CRM DSS Extension</v>
          </cell>
          <cell r="H4236">
            <v>5036897</v>
          </cell>
          <cell r="AK4236" t="str">
            <v>Ripple Bhullar</v>
          </cell>
        </row>
        <row r="4237">
          <cell r="C4237" t="str">
            <v>1stColonial-SACH Risk Assmnt</v>
          </cell>
          <cell r="H4237">
            <v>5036749</v>
          </cell>
          <cell r="AK4237" t="str">
            <v>Robert Farmer</v>
          </cell>
        </row>
        <row r="4238">
          <cell r="C4238" t="str">
            <v>FM_VV Test &amp; Automation</v>
          </cell>
          <cell r="H4238">
            <v>5036783</v>
          </cell>
          <cell r="AK4238" t="str">
            <v>Sabrina Amjad</v>
          </cell>
        </row>
        <row r="4239">
          <cell r="C4239" t="str">
            <v>CA_Infra Cybersec project gov</v>
          </cell>
          <cell r="H4239">
            <v>5033548</v>
          </cell>
          <cell r="AK4239" t="str">
            <v>Thanh Le Xuan</v>
          </cell>
        </row>
        <row r="4240">
          <cell r="C4240" t="str">
            <v>Adirondack Bank_RAS</v>
          </cell>
          <cell r="H4240">
            <v>5039437</v>
          </cell>
          <cell r="AK4240" t="str">
            <v>Diane Banks</v>
          </cell>
        </row>
        <row r="4241">
          <cell r="C4241" t="str">
            <v>Cape Cod 5c-Call Center Audit</v>
          </cell>
          <cell r="H4241">
            <v>5035471</v>
          </cell>
          <cell r="AK4241" t="str">
            <v>Mary Louise Radley</v>
          </cell>
        </row>
        <row r="4242">
          <cell r="C4242" t="str">
            <v>City Ntl FL-BSA Alert Clrng</v>
          </cell>
          <cell r="H4242">
            <v>5036856</v>
          </cell>
          <cell r="AK4242" t="str">
            <v>Jonathan Hunt</v>
          </cell>
        </row>
        <row r="4243">
          <cell r="C4243" t="str">
            <v>Jeff_UMR Tech Prog Support</v>
          </cell>
          <cell r="H4243">
            <v>5037114</v>
          </cell>
          <cell r="AK4243" t="str">
            <v>Chelsea Mattias</v>
          </cell>
        </row>
        <row r="4244">
          <cell r="C4244" t="str">
            <v>Southeastern Bank_RAS</v>
          </cell>
          <cell r="H4244">
            <v>5039551</v>
          </cell>
          <cell r="AK4244" t="str">
            <v>Rebecca Breland</v>
          </cell>
        </row>
        <row r="4245">
          <cell r="C4245" t="str">
            <v>CityFirstDC-CMSO</v>
          </cell>
          <cell r="H4245">
            <v>5036843</v>
          </cell>
          <cell r="AK4245" t="str">
            <v>W. Annette Dredden</v>
          </cell>
        </row>
        <row r="4246">
          <cell r="C4246" t="str">
            <v>Ameris - ERM Consulting</v>
          </cell>
          <cell r="H4246">
            <v>5036819</v>
          </cell>
          <cell r="AK4246" t="str">
            <v>Denise Rinear</v>
          </cell>
        </row>
        <row r="4247">
          <cell r="C4247" t="str">
            <v>Marshall-TRID Reviews &amp; QC</v>
          </cell>
          <cell r="H4247">
            <v>5036994</v>
          </cell>
          <cell r="AK4247" t="str">
            <v>Anna Proleika</v>
          </cell>
        </row>
        <row r="4248">
          <cell r="C4248" t="str">
            <v>TaiwanBB-BSA Officer Support</v>
          </cell>
          <cell r="H4248">
            <v>5036995</v>
          </cell>
          <cell r="AK4248" t="str">
            <v>William Sachs</v>
          </cell>
        </row>
        <row r="4249">
          <cell r="C4249" t="str">
            <v>HarfordBank-Compliance Reviews</v>
          </cell>
          <cell r="H4249">
            <v>5036775</v>
          </cell>
          <cell r="AK4249" t="str">
            <v>W. Annette Dredden</v>
          </cell>
        </row>
        <row r="4250">
          <cell r="C4250" t="str">
            <v>Santander_IRM Program 2</v>
          </cell>
          <cell r="H4250">
            <v>5036700</v>
          </cell>
          <cell r="AK4250" t="str">
            <v>Ridha Mesli</v>
          </cell>
        </row>
        <row r="4251">
          <cell r="C4251" t="str">
            <v>AdirondackBank-Custom Training</v>
          </cell>
          <cell r="H4251">
            <v>5036799</v>
          </cell>
          <cell r="AK4251" t="str">
            <v>Mariana Dumanovsky</v>
          </cell>
        </row>
        <row r="4252">
          <cell r="C4252" t="str">
            <v>Data Support Ext</v>
          </cell>
          <cell r="H4252">
            <v>5036075</v>
          </cell>
          <cell r="AK4252" t="str">
            <v>Geetanjali Mittal</v>
          </cell>
        </row>
        <row r="4253">
          <cell r="C4253" t="str">
            <v>BMO Harris_ComOps BI &amp; Sup Ph4</v>
          </cell>
          <cell r="H4253">
            <v>5035025</v>
          </cell>
          <cell r="AK4253" t="str">
            <v>Kyle Marynowski</v>
          </cell>
        </row>
        <row r="4254">
          <cell r="C4254" t="str">
            <v>MSWM_Risk Enhanced Supervision</v>
          </cell>
          <cell r="H4254">
            <v>5035003</v>
          </cell>
          <cell r="AK4254" t="str">
            <v>Phil Kerkel</v>
          </cell>
        </row>
        <row r="4255">
          <cell r="C4255" t="str">
            <v>CSP R3 (AMD 3)</v>
          </cell>
          <cell r="H4255">
            <v>5035251</v>
          </cell>
          <cell r="AK4255" t="str">
            <v>Thomas Wilson</v>
          </cell>
        </row>
        <row r="4256">
          <cell r="C4256" t="str">
            <v>CSS Portfolio Management Amd 3</v>
          </cell>
          <cell r="H4256">
            <v>5033316</v>
          </cell>
          <cell r="AK4256" t="str">
            <v>John Hickman</v>
          </cell>
        </row>
        <row r="4257">
          <cell r="C4257" t="str">
            <v>BBT_Truist Unify 370</v>
          </cell>
          <cell r="H4257">
            <v>5033736</v>
          </cell>
          <cell r="AK4257" t="str">
            <v>Kelsey Popplewell</v>
          </cell>
        </row>
        <row r="4258">
          <cell r="C4258" t="str">
            <v>BMO Harris_DNA Ph2</v>
          </cell>
          <cell r="H4258">
            <v>5036708</v>
          </cell>
          <cell r="AK4258" t="str">
            <v>Nick Hufford</v>
          </cell>
        </row>
        <row r="4259">
          <cell r="C4259" t="str">
            <v>MS_Client Reporting</v>
          </cell>
          <cell r="H4259">
            <v>5036826</v>
          </cell>
          <cell r="AK4259" t="str">
            <v>Leah Watson</v>
          </cell>
        </row>
        <row r="4260">
          <cell r="C4260" t="str">
            <v>Jeff_Sybase Cloud PM Ext</v>
          </cell>
          <cell r="H4260">
            <v>5036813</v>
          </cell>
          <cell r="AK4260" t="str">
            <v>Jeffrey Gheraldi</v>
          </cell>
        </row>
        <row r="4261">
          <cell r="C4261" t="str">
            <v>MS_COO BM Transformation</v>
          </cell>
          <cell r="H4261">
            <v>5036834</v>
          </cell>
          <cell r="AK4261" t="str">
            <v>Aditya Taneja</v>
          </cell>
        </row>
        <row r="4262">
          <cell r="C4262" t="str">
            <v>ChibaBank-BSA Independent Val</v>
          </cell>
          <cell r="H4262">
            <v>5036832</v>
          </cell>
          <cell r="AK4262" t="str">
            <v>Mary Louise Radley</v>
          </cell>
        </row>
        <row r="4263">
          <cell r="C4263" t="str">
            <v>CTB TTRO MFO NA 1</v>
          </cell>
          <cell r="H4263">
            <v>5034820</v>
          </cell>
          <cell r="AK4263" t="str">
            <v>Salim Modi</v>
          </cell>
        </row>
        <row r="4264">
          <cell r="C4264" t="str">
            <v>Ally_IT Prioritization</v>
          </cell>
          <cell r="H4264">
            <v>5036857</v>
          </cell>
          <cell r="AK4264" t="str">
            <v>John Hickman</v>
          </cell>
        </row>
        <row r="4265">
          <cell r="C4265" t="str">
            <v>UBS PMR Design</v>
          </cell>
          <cell r="H4265">
            <v>5036874</v>
          </cell>
          <cell r="AK4265" t="str">
            <v>Arin LoPrete</v>
          </cell>
        </row>
        <row r="4266">
          <cell r="C4266" t="str">
            <v>SouthAtlantic-BSA Risk Assmnt</v>
          </cell>
          <cell r="H4266">
            <v>5036759</v>
          </cell>
          <cell r="AK4266" t="str">
            <v>Nancy Gregory</v>
          </cell>
        </row>
        <row r="4267">
          <cell r="C4267" t="str">
            <v>Jeff_EQ Control Sup Anlyst Ext</v>
          </cell>
          <cell r="H4267">
            <v>5036853</v>
          </cell>
          <cell r="AK4267" t="str">
            <v>Jeffrey Gheraldi</v>
          </cell>
        </row>
        <row r="4268">
          <cell r="C4268" t="str">
            <v>Jeff_CAT Data Analyst</v>
          </cell>
          <cell r="H4268">
            <v>5036814</v>
          </cell>
          <cell r="AK4268" t="str">
            <v>Mike Drews</v>
          </cell>
        </row>
        <row r="4269">
          <cell r="C4269" t="str">
            <v>SVB_Lending PM Support Ph2</v>
          </cell>
          <cell r="H4269">
            <v>5036415</v>
          </cell>
          <cell r="AK4269" t="str">
            <v>Michael Tao</v>
          </cell>
        </row>
        <row r="4270">
          <cell r="C4270" t="str">
            <v>SVB_IT Strategy</v>
          </cell>
          <cell r="H4270">
            <v>5036796</v>
          </cell>
          <cell r="AK4270" t="str">
            <v>Erik Johnson</v>
          </cell>
        </row>
        <row r="4271">
          <cell r="C4271" t="str">
            <v>SVB_Commercial CC Underwriting</v>
          </cell>
          <cell r="H4271">
            <v>5036873</v>
          </cell>
          <cell r="AK4271" t="str">
            <v>George Simotas</v>
          </cell>
        </row>
        <row r="4272">
          <cell r="C4272" t="str">
            <v>SVB_BAU Product Support</v>
          </cell>
          <cell r="H4272">
            <v>5036871</v>
          </cell>
          <cell r="AK4272" t="str">
            <v>Michael Tao</v>
          </cell>
        </row>
        <row r="4273">
          <cell r="C4273" t="str">
            <v>DB_Tech for Operations</v>
          </cell>
          <cell r="H4273">
            <v>5035545</v>
          </cell>
          <cell r="AK4273" t="str">
            <v>Sandra Paris</v>
          </cell>
        </row>
        <row r="4274">
          <cell r="C4274" t="str">
            <v>Modern Delivery Amd 1</v>
          </cell>
          <cell r="H4274">
            <v>5036729</v>
          </cell>
          <cell r="AK4274" t="str">
            <v>David Williams</v>
          </cell>
        </row>
        <row r="4275">
          <cell r="C4275" t="str">
            <v>Cape Cod 5c-HMDA Review</v>
          </cell>
          <cell r="H4275">
            <v>5036822</v>
          </cell>
          <cell r="AK4275" t="str">
            <v>Leigh Tribou</v>
          </cell>
        </row>
        <row r="4276">
          <cell r="C4276" t="str">
            <v>DB_AFC Data BAs team extension</v>
          </cell>
          <cell r="H4276">
            <v>5035852</v>
          </cell>
          <cell r="AK4276" t="str">
            <v>Hasan Qureshi</v>
          </cell>
        </row>
        <row r="4277">
          <cell r="C4277" t="str">
            <v>BOTW_Data&amp;tech Req Ph3</v>
          </cell>
          <cell r="H4277">
            <v>5033858</v>
          </cell>
          <cell r="AK4277" t="str">
            <v>Martin Amend</v>
          </cell>
        </row>
        <row r="4278">
          <cell r="C4278" t="str">
            <v>FOA_Shared Services SLAsPartII</v>
          </cell>
          <cell r="H4278">
            <v>5036915</v>
          </cell>
          <cell r="AK4278" t="str">
            <v>Jon Herna</v>
          </cell>
        </row>
        <row r="4279">
          <cell r="C4279" t="str">
            <v>Ally Bank_FDIC 370</v>
          </cell>
          <cell r="H4279">
            <v>5036882</v>
          </cell>
          <cell r="AK4279" t="str">
            <v>Henry Loosmore</v>
          </cell>
        </row>
        <row r="4280">
          <cell r="C4280" t="str">
            <v>HSBC_CMB-GTRF Trade 2</v>
          </cell>
          <cell r="H4280">
            <v>5036898</v>
          </cell>
          <cell r="AK4280" t="str">
            <v>Rahul Govada</v>
          </cell>
        </row>
        <row r="4281">
          <cell r="C4281" t="str">
            <v>SVB_Gateway Research Expansion</v>
          </cell>
          <cell r="H4281">
            <v>5036982</v>
          </cell>
          <cell r="AK4281" t="str">
            <v>Michael Tao</v>
          </cell>
        </row>
        <row r="4282">
          <cell r="C4282" t="str">
            <v>HSBC_GBM-CDO Risk/Fin 2019</v>
          </cell>
          <cell r="H4282">
            <v>5036907</v>
          </cell>
          <cell r="AK4282" t="str">
            <v>Rahul Govada</v>
          </cell>
        </row>
        <row r="4283">
          <cell r="C4283" t="str">
            <v>Jeff_FI 2020 - ION Support</v>
          </cell>
          <cell r="H4283">
            <v>5036913</v>
          </cell>
          <cell r="AK4283" t="str">
            <v>Chelsea Mattias</v>
          </cell>
        </row>
        <row r="4284">
          <cell r="C4284" t="str">
            <v>PeapackGlad-BoD Cybersec Train</v>
          </cell>
          <cell r="H4284">
            <v>5036910</v>
          </cell>
          <cell r="AK4284" t="str">
            <v>Scott Ramsey</v>
          </cell>
        </row>
        <row r="4285">
          <cell r="C4285" t="str">
            <v>1stColonial-Int Banking RA</v>
          </cell>
          <cell r="H4285">
            <v>5036906</v>
          </cell>
          <cell r="AK4285" t="str">
            <v>Robert Farmer</v>
          </cell>
        </row>
        <row r="4286">
          <cell r="C4286" t="str">
            <v>UBS Business-Webinar Training</v>
          </cell>
          <cell r="H4286">
            <v>5037018</v>
          </cell>
          <cell r="AK4286" t="str">
            <v>Diane Banks</v>
          </cell>
        </row>
        <row r="4287">
          <cell r="C4287" t="str">
            <v>CB_EDD Rev &amp; Case Inv Extn</v>
          </cell>
          <cell r="H4287">
            <v>5036355</v>
          </cell>
          <cell r="AK4287" t="str">
            <v>Ginger Dahlin</v>
          </cell>
        </row>
        <row r="4288">
          <cell r="C4288" t="str">
            <v>ReVan_Accntg Process Imp Amd1</v>
          </cell>
          <cell r="H4288">
            <v>5036456</v>
          </cell>
          <cell r="AK4288" t="str">
            <v>John Power</v>
          </cell>
        </row>
        <row r="4289">
          <cell r="C4289" t="str">
            <v>SVB_Performance Academy</v>
          </cell>
          <cell r="H4289">
            <v>5036944</v>
          </cell>
          <cell r="AK4289" t="str">
            <v>Casey Schaffer</v>
          </cell>
        </row>
        <row r="4290">
          <cell r="C4290" t="str">
            <v>SVB_Payments BAU Support</v>
          </cell>
          <cell r="H4290">
            <v>5037009</v>
          </cell>
          <cell r="AK4290" t="str">
            <v>Scott Jurgensen</v>
          </cell>
        </row>
        <row r="4291">
          <cell r="C4291" t="str">
            <v>WATB_Credit Card Conversion</v>
          </cell>
          <cell r="H4291">
            <v>5036948</v>
          </cell>
          <cell r="AK4291" t="str">
            <v>Vince Forte</v>
          </cell>
        </row>
        <row r="4292">
          <cell r="C4292" t="str">
            <v>Santander_Sec Architect Risk</v>
          </cell>
          <cell r="H4292">
            <v>5036931</v>
          </cell>
          <cell r="AK4292" t="str">
            <v>Ridha Mesli</v>
          </cell>
        </row>
        <row r="4293">
          <cell r="C4293" t="str">
            <v>Jeff_Compliance BA</v>
          </cell>
          <cell r="H4293">
            <v>5036967</v>
          </cell>
          <cell r="AK4293" t="str">
            <v>Conor Dowling</v>
          </cell>
        </row>
        <row r="4294">
          <cell r="C4294" t="str">
            <v>UBS Project Hamilton Phase 6</v>
          </cell>
          <cell r="H4294">
            <v>5036854</v>
          </cell>
          <cell r="AK4294" t="str">
            <v>Matthew Berkowitz</v>
          </cell>
        </row>
        <row r="4295">
          <cell r="C4295" t="str">
            <v>Scotbnk_FinancialCloseAssment</v>
          </cell>
          <cell r="H4295">
            <v>5036889</v>
          </cell>
          <cell r="AK4295" t="str">
            <v>Peter Brown</v>
          </cell>
        </row>
        <row r="4296">
          <cell r="C4296" t="str">
            <v>UNQ_Front-End Dev</v>
          </cell>
          <cell r="H4296">
            <v>5036173</v>
          </cell>
          <cell r="AK4296" t="str">
            <v>Rad Ashok</v>
          </cell>
        </row>
        <row r="4297">
          <cell r="C4297" t="str">
            <v>AtlanticHome-MQC</v>
          </cell>
          <cell r="H4297">
            <v>5037110</v>
          </cell>
          <cell r="AK4297" t="str">
            <v>Christian Maier</v>
          </cell>
        </row>
        <row r="4298">
          <cell r="C4298" t="str">
            <v>Martha's VY-BSA Rules Tuning</v>
          </cell>
          <cell r="H4298">
            <v>5036833</v>
          </cell>
          <cell r="AK4298" t="str">
            <v>William Sachs</v>
          </cell>
        </row>
        <row r="4299">
          <cell r="C4299" t="str">
            <v>Congressional Bank_RAS</v>
          </cell>
          <cell r="H4299">
            <v>5039473</v>
          </cell>
          <cell r="AK4299" t="str">
            <v>Travis Peraza</v>
          </cell>
        </row>
        <row r="4300">
          <cell r="C4300" t="str">
            <v>NFCU- ERM M7 Sandbox Extension</v>
          </cell>
          <cell r="H4300">
            <v>5035747</v>
          </cell>
          <cell r="AK4300" t="str">
            <v>Tania Makuh</v>
          </cell>
        </row>
        <row r="4301">
          <cell r="C4301" t="str">
            <v>Jeff_FX IT PMO</v>
          </cell>
          <cell r="H4301">
            <v>5037231</v>
          </cell>
          <cell r="AK4301" t="str">
            <v>Chelsea Mattias</v>
          </cell>
        </row>
        <row r="4302">
          <cell r="C4302" t="str">
            <v>First Bank_AK_RAS</v>
          </cell>
          <cell r="H4302">
            <v>5039490</v>
          </cell>
          <cell r="AK4302" t="str">
            <v>Rebecca Breland</v>
          </cell>
        </row>
        <row r="4303">
          <cell r="C4303" t="str">
            <v>Mountain Am-Consulting</v>
          </cell>
          <cell r="H4303">
            <v>5037092</v>
          </cell>
          <cell r="AK4303" t="str">
            <v>Tania Makuh</v>
          </cell>
        </row>
        <row r="4304">
          <cell r="C4304" t="str">
            <v>Direct FCU-Compliance Assmnts</v>
          </cell>
          <cell r="H4304">
            <v>5036922</v>
          </cell>
          <cell r="AK4304" t="str">
            <v>Leigh Tribou</v>
          </cell>
        </row>
        <row r="4305">
          <cell r="C4305" t="str">
            <v>Borrowers-FL RiskAssessment 19</v>
          </cell>
          <cell r="H4305">
            <v>5029799</v>
          </cell>
          <cell r="AK4305" t="str">
            <v>Paula Witt</v>
          </cell>
        </row>
        <row r="4306">
          <cell r="C4306" t="str">
            <v>Mountain Am-Reg Data Feed</v>
          </cell>
          <cell r="H4306">
            <v>5038264</v>
          </cell>
          <cell r="AK4306" t="str">
            <v>Leah Robinson</v>
          </cell>
        </row>
        <row r="4307">
          <cell r="C4307" t="str">
            <v>FrMc_Spark Ext (AMD 2)</v>
          </cell>
          <cell r="H4307">
            <v>5035866</v>
          </cell>
          <cell r="AK4307" t="str">
            <v>Linda Graham</v>
          </cell>
        </row>
        <row r="4308">
          <cell r="C4308" t="str">
            <v>1stCentral-BSA Data Integ Rev</v>
          </cell>
          <cell r="H4308">
            <v>5036686</v>
          </cell>
          <cell r="AK4308" t="str">
            <v>William Sachs</v>
          </cell>
        </row>
        <row r="4309">
          <cell r="C4309" t="str">
            <v>Massena-BSA IT-19</v>
          </cell>
          <cell r="H4309">
            <v>5029730</v>
          </cell>
          <cell r="AK4309" t="str">
            <v>Charles Mcwilliam</v>
          </cell>
        </row>
        <row r="4310">
          <cell r="C4310" t="str">
            <v>WF_WPS Extension</v>
          </cell>
          <cell r="H4310">
            <v>5035028</v>
          </cell>
          <cell r="AK4310" t="str">
            <v>Edward Kelley</v>
          </cell>
        </row>
        <row r="4311">
          <cell r="C4311" t="str">
            <v>BCBank-CMSO</v>
          </cell>
          <cell r="H4311">
            <v>5036943</v>
          </cell>
          <cell r="AK4311" t="str">
            <v>Steve Manitzas</v>
          </cell>
        </row>
        <row r="4312">
          <cell r="C4312" t="str">
            <v>UNQ_Ayco Support</v>
          </cell>
          <cell r="H4312">
            <v>5036453</v>
          </cell>
          <cell r="AK4312" t="str">
            <v>Rad Ashok</v>
          </cell>
        </row>
        <row r="4313">
          <cell r="C4313" t="str">
            <v>Mountain Am-License Fee</v>
          </cell>
          <cell r="H4313">
            <v>5038262</v>
          </cell>
          <cell r="AK4313" t="str">
            <v>Tania Makuh</v>
          </cell>
        </row>
        <row r="4314">
          <cell r="C4314" t="str">
            <v>P&amp;GMehoopany-Info Security RA</v>
          </cell>
          <cell r="H4314">
            <v>5035203</v>
          </cell>
          <cell r="AK4314" t="str">
            <v>Robert Farmer</v>
          </cell>
        </row>
        <row r="4315">
          <cell r="C4315" t="str">
            <v>BRAD_Brokerage_Migration_INT</v>
          </cell>
          <cell r="AK4315" t="str">
            <v>Andre Becker</v>
          </cell>
        </row>
        <row r="4316">
          <cell r="C4316" t="str">
            <v>DTCC_ITP Workstream PMs</v>
          </cell>
          <cell r="H4316">
            <v>5035980</v>
          </cell>
          <cell r="AK4316" t="str">
            <v>Jacob Vyncke</v>
          </cell>
        </row>
        <row r="4317">
          <cell r="C4317" t="str">
            <v>MS_FID_FX/EM_Sales_Support</v>
          </cell>
          <cell r="H4317">
            <v>5029521</v>
          </cell>
          <cell r="AK4317" t="str">
            <v>Frank Merla</v>
          </cell>
        </row>
        <row r="4318">
          <cell r="C4318" t="str">
            <v>Wealth Mgmt - Scrum Master</v>
          </cell>
          <cell r="H4318">
            <v>5034984</v>
          </cell>
          <cell r="AK4318" t="str">
            <v>Rohini Bhatia</v>
          </cell>
        </row>
        <row r="4319">
          <cell r="C4319" t="str">
            <v>SVB_GW PMO</v>
          </cell>
          <cell r="H4319">
            <v>5037038</v>
          </cell>
          <cell r="AK4319" t="str">
            <v>Michael Tao</v>
          </cell>
        </row>
        <row r="4320">
          <cell r="C4320" t="str">
            <v>JPMC_DT Leadership Workshop</v>
          </cell>
          <cell r="H4320">
            <v>5037057</v>
          </cell>
          <cell r="AK4320" t="str">
            <v>Matthew Singleton</v>
          </cell>
        </row>
        <row r="4321">
          <cell r="C4321" t="str">
            <v>AmNatTX-Compliance Consulting</v>
          </cell>
          <cell r="H4321">
            <v>5037017</v>
          </cell>
          <cell r="AK4321" t="str">
            <v>Pamela Acciardo</v>
          </cell>
        </row>
        <row r="4322">
          <cell r="C4322" t="str">
            <v>Jeff_CRM Blue Matrix Ext</v>
          </cell>
          <cell r="H4322">
            <v>5036991</v>
          </cell>
          <cell r="AK4322" t="str">
            <v>Ripple Bhullar</v>
          </cell>
        </row>
        <row r="4323">
          <cell r="C4323" t="str">
            <v>BROK_PM Migration&amp;APIC IN</v>
          </cell>
          <cell r="H4323">
            <v>5037030</v>
          </cell>
          <cell r="AK4323" t="str">
            <v>Eduardo Yamassaki</v>
          </cell>
        </row>
        <row r="4324">
          <cell r="C4324" t="str">
            <v>SVB_Recruitment Strategy</v>
          </cell>
          <cell r="H4324">
            <v>5036980</v>
          </cell>
          <cell r="AK4324" t="str">
            <v>Michael Tao</v>
          </cell>
        </row>
        <row r="4325">
          <cell r="C4325" t="str">
            <v>BROK_PM Migration&amp;APIC BR</v>
          </cell>
          <cell r="H4325">
            <v>5037030</v>
          </cell>
          <cell r="AK4325" t="str">
            <v>Eduardo Yamassaki</v>
          </cell>
        </row>
        <row r="4326">
          <cell r="C4326" t="str">
            <v>EmpireState-FairLndg RA Update</v>
          </cell>
          <cell r="H4326">
            <v>5037012</v>
          </cell>
          <cell r="AK4326" t="str">
            <v>Mariana Dumanovsky</v>
          </cell>
        </row>
        <row r="4327">
          <cell r="C4327" t="str">
            <v>CSS_CFO Support</v>
          </cell>
          <cell r="H4327">
            <v>5036971</v>
          </cell>
          <cell r="AK4327" t="str">
            <v>John Hickman</v>
          </cell>
        </row>
        <row r="4328">
          <cell r="C4328" t="str">
            <v>Bancorp-BSA Case Backlog</v>
          </cell>
          <cell r="H4328">
            <v>5036996</v>
          </cell>
          <cell r="AK4328" t="str">
            <v>Kristi Hegert</v>
          </cell>
        </row>
        <row r="4329">
          <cell r="C4329" t="str">
            <v>CentBankAR-CRA Review</v>
          </cell>
          <cell r="H4329">
            <v>5037049</v>
          </cell>
          <cell r="AK4329" t="str">
            <v>Randall Patton</v>
          </cell>
        </row>
        <row r="4330">
          <cell r="C4330" t="str">
            <v>UB_084_CBT_Mobilization Ph1</v>
          </cell>
          <cell r="H4330">
            <v>5036997</v>
          </cell>
          <cell r="AK4330" t="str">
            <v>Samuel Awsumb</v>
          </cell>
        </row>
        <row r="4331">
          <cell r="C4331" t="str">
            <v>DB AFC Data BAs team expansion</v>
          </cell>
          <cell r="H4331">
            <v>5037037</v>
          </cell>
          <cell r="AK4331" t="str">
            <v>Hasan Qureshi</v>
          </cell>
        </row>
        <row r="4332">
          <cell r="C4332" t="str">
            <v>USAA-SCRA File Review</v>
          </cell>
          <cell r="H4332">
            <v>5037056</v>
          </cell>
          <cell r="AK4332" t="str">
            <v>Samuel Desta</v>
          </cell>
        </row>
        <row r="4333">
          <cell r="C4333" t="str">
            <v>Bryn Mawr-Compliance Monit Rev</v>
          </cell>
          <cell r="H4333">
            <v>5037101</v>
          </cell>
          <cell r="AK4333" t="str">
            <v>Bonita Riccaboni</v>
          </cell>
        </row>
        <row r="4334">
          <cell r="C4334" t="str">
            <v>RMSC - Financial Crime</v>
          </cell>
          <cell r="H4334">
            <v>5036856</v>
          </cell>
          <cell r="AK4334" t="str">
            <v>Jonathan Hunt</v>
          </cell>
        </row>
        <row r="4335">
          <cell r="C4335" t="str">
            <v>Pentagon-TRID Review</v>
          </cell>
          <cell r="H4335">
            <v>5037075</v>
          </cell>
          <cell r="AK4335" t="str">
            <v>Willis Leitner</v>
          </cell>
        </row>
        <row r="4336">
          <cell r="C4336" t="str">
            <v>MS_Client Services Group BM</v>
          </cell>
          <cell r="H4336">
            <v>5037027</v>
          </cell>
          <cell r="AK4336" t="str">
            <v>Leah Watson</v>
          </cell>
        </row>
        <row r="4337">
          <cell r="C4337" t="str">
            <v>Jeff_Eq Tech Design and Dev</v>
          </cell>
          <cell r="H4337">
            <v>5037069</v>
          </cell>
          <cell r="AK4337" t="str">
            <v>Jeffrey Gheraldi</v>
          </cell>
        </row>
        <row r="4338">
          <cell r="C4338" t="str">
            <v>Marine B&amp;T-Compl Program Rev</v>
          </cell>
          <cell r="H4338">
            <v>5035220</v>
          </cell>
          <cell r="AK4338" t="str">
            <v>Louvera Walden</v>
          </cell>
        </row>
        <row r="4339">
          <cell r="C4339" t="str">
            <v>FOA_CCPA Data Strategy</v>
          </cell>
          <cell r="H4339">
            <v>5037291</v>
          </cell>
          <cell r="AK4339" t="str">
            <v>Aditya Udas</v>
          </cell>
        </row>
        <row r="4340">
          <cell r="C4340" t="str">
            <v>DB Condor Phase II</v>
          </cell>
          <cell r="H4340">
            <v>5035800</v>
          </cell>
          <cell r="AK4340" t="str">
            <v>Phil Kerkel</v>
          </cell>
        </row>
        <row r="4341">
          <cell r="C4341" t="str">
            <v>SVB_EPMO-Data Mod Del</v>
          </cell>
          <cell r="H4341">
            <v>5037085</v>
          </cell>
          <cell r="AK4341" t="str">
            <v>Erik Johnson</v>
          </cell>
        </row>
        <row r="4342">
          <cell r="C4342" t="str">
            <v>FOA - Fin Due Diligence</v>
          </cell>
          <cell r="H4342">
            <v>5037076</v>
          </cell>
          <cell r="AK4342" t="str">
            <v>Jon Herna</v>
          </cell>
        </row>
        <row r="4343">
          <cell r="C4343" t="str">
            <v>BkTaiwan-BSA Rules Tuning</v>
          </cell>
          <cell r="H4343">
            <v>5036983</v>
          </cell>
          <cell r="AK4343" t="str">
            <v>William Sachs</v>
          </cell>
        </row>
        <row r="4344">
          <cell r="C4344" t="str">
            <v>CSS_SecOps Support</v>
          </cell>
          <cell r="H4344">
            <v>5036973</v>
          </cell>
          <cell r="AK4344" t="str">
            <v>John Hickman</v>
          </cell>
        </row>
        <row r="4345">
          <cell r="C4345" t="str">
            <v>WA Trust-Empower Discl Rev</v>
          </cell>
          <cell r="H4345">
            <v>5037111</v>
          </cell>
          <cell r="AK4345" t="str">
            <v>Brian Phillips</v>
          </cell>
        </row>
        <row r="4346">
          <cell r="C4346" t="str">
            <v>1st Central-HMDA CRA Training</v>
          </cell>
          <cell r="H4346">
            <v>5037125</v>
          </cell>
          <cell r="AK4346" t="str">
            <v>Mariana Dumanovsky</v>
          </cell>
        </row>
        <row r="4347">
          <cell r="C4347" t="str">
            <v>HSBC_GBM-BrazilTOM Ext 2</v>
          </cell>
          <cell r="H4347">
            <v>5036689</v>
          </cell>
          <cell r="AK4347" t="str">
            <v>Rahul Govada</v>
          </cell>
        </row>
        <row r="4348">
          <cell r="C4348" t="str">
            <v>Fannie UMR Assessment</v>
          </cell>
          <cell r="H4348">
            <v>5037064</v>
          </cell>
          <cell r="AK4348" t="str">
            <v>Justin Gonlag</v>
          </cell>
        </row>
        <row r="4349">
          <cell r="C4349" t="str">
            <v>CentBankAR-CCPA Assessment</v>
          </cell>
          <cell r="H4349">
            <v>5037142</v>
          </cell>
          <cell r="AK4349" t="str">
            <v>Scott Ramsey</v>
          </cell>
        </row>
        <row r="4350">
          <cell r="C4350" t="str">
            <v>CitizensBTC-BSA Indep Test</v>
          </cell>
          <cell r="H4350">
            <v>5036206</v>
          </cell>
          <cell r="AK4350" t="str">
            <v>Charles Mcwilliam</v>
          </cell>
        </row>
        <row r="4351">
          <cell r="C4351" t="str">
            <v>Community Banking Company _RAS</v>
          </cell>
          <cell r="H4351">
            <v>5039472</v>
          </cell>
          <cell r="AK4351" t="str">
            <v>Rebecca Breland</v>
          </cell>
        </row>
        <row r="4352">
          <cell r="C4352" t="str">
            <v>BerkshireMA-Encompass Impl</v>
          </cell>
          <cell r="H4352">
            <v>5037109</v>
          </cell>
          <cell r="AK4352" t="str">
            <v>Mariana Dumanovsky</v>
          </cell>
        </row>
        <row r="4353">
          <cell r="C4353" t="str">
            <v>All Western Mortgage Inc _RAS</v>
          </cell>
          <cell r="H4353">
            <v>5039578</v>
          </cell>
          <cell r="AK4353" t="str">
            <v>Travis Peraza</v>
          </cell>
        </row>
        <row r="4354">
          <cell r="C4354" t="str">
            <v>IsraelDBNY-TRID Review</v>
          </cell>
          <cell r="H4354">
            <v>5037093</v>
          </cell>
          <cell r="AK4354" t="str">
            <v>Mariana Dumanovsky</v>
          </cell>
        </row>
        <row r="4355">
          <cell r="C4355" t="str">
            <v>Jeff_Agile&amp;DevOps Transfrmtion</v>
          </cell>
          <cell r="H4355">
            <v>5036985</v>
          </cell>
          <cell r="AK4355" t="str">
            <v>Nicholas Perkins</v>
          </cell>
        </row>
        <row r="4356">
          <cell r="C4356" t="str">
            <v>Jeff_SF Tech Arch Ext</v>
          </cell>
          <cell r="H4356">
            <v>5037845</v>
          </cell>
          <cell r="AK4356" t="str">
            <v>Ripple Bhullar</v>
          </cell>
        </row>
        <row r="4357">
          <cell r="C4357" t="str">
            <v>FrMc_E2E Data</v>
          </cell>
          <cell r="H4357">
            <v>5036924</v>
          </cell>
          <cell r="AK4357" t="str">
            <v>Ramnish Gupta</v>
          </cell>
        </row>
        <row r="4358">
          <cell r="C4358" t="str">
            <v>UBS_US WM Collibra Migration</v>
          </cell>
          <cell r="H4358">
            <v>5037471</v>
          </cell>
          <cell r="AK4358" t="str">
            <v>Bernard Koranteng</v>
          </cell>
        </row>
        <row r="4359">
          <cell r="C4359" t="str">
            <v>GL_Reg 187 Training Support</v>
          </cell>
          <cell r="H4359">
            <v>5037152</v>
          </cell>
          <cell r="AK4359" t="str">
            <v>Matthew Faraone</v>
          </cell>
        </row>
        <row r="4360">
          <cell r="C4360" t="str">
            <v>Danbury-Proc Rev &amp; Exam Prep</v>
          </cell>
          <cell r="H4360">
            <v>5037126</v>
          </cell>
          <cell r="AK4360" t="str">
            <v>Mariana Dumanovsky</v>
          </cell>
        </row>
        <row r="4361">
          <cell r="C4361" t="str">
            <v>APIture_Direct Bank experience</v>
          </cell>
          <cell r="H4361">
            <v>5037214</v>
          </cell>
          <cell r="AK4361" t="str">
            <v>Brian Bordeaux</v>
          </cell>
        </row>
        <row r="4362">
          <cell r="C4362" t="str">
            <v>UniBank-Info Security Officer</v>
          </cell>
          <cell r="H4362">
            <v>5037155</v>
          </cell>
          <cell r="AK4362" t="str">
            <v>Scott Ramsey</v>
          </cell>
        </row>
        <row r="4363">
          <cell r="C4363" t="str">
            <v>Southern Hills Community B_RAS</v>
          </cell>
          <cell r="H4363">
            <v>5039724</v>
          </cell>
          <cell r="AK4363" t="str">
            <v>Rebecca Breland</v>
          </cell>
        </row>
        <row r="4364">
          <cell r="C4364" t="str">
            <v>SVB_Data Governance</v>
          </cell>
          <cell r="H4364">
            <v>5037150</v>
          </cell>
          <cell r="AK4364" t="str">
            <v>Betsy Cherian</v>
          </cell>
        </row>
        <row r="4365">
          <cell r="C4365" t="str">
            <v>Jeff_Murex Risk PM</v>
          </cell>
          <cell r="H4365">
            <v>5037137</v>
          </cell>
          <cell r="AK4365" t="str">
            <v>Chelsea Mattias</v>
          </cell>
        </row>
        <row r="4366">
          <cell r="C4366" t="str">
            <v>TrustCoBank-Online Fraud Assmt</v>
          </cell>
          <cell r="H4366">
            <v>5037213</v>
          </cell>
          <cell r="AK4366" t="str">
            <v>Mary Louise Radley</v>
          </cell>
        </row>
        <row r="4367">
          <cell r="C4367" t="str">
            <v>UB_079_RB PM Support</v>
          </cell>
          <cell r="H4367">
            <v>5037172</v>
          </cell>
          <cell r="AK4367" t="str">
            <v>Samuel Awsumb</v>
          </cell>
        </row>
        <row r="4368">
          <cell r="C4368" t="str">
            <v>WF_Brexit TR Ops Ext Q4</v>
          </cell>
          <cell r="H4368">
            <v>5037175</v>
          </cell>
          <cell r="AK4368" t="str">
            <v>Tasha Giles</v>
          </cell>
        </row>
        <row r="4369">
          <cell r="C4369" t="str">
            <v>SVB_Gateway Extension</v>
          </cell>
          <cell r="H4369">
            <v>5036446</v>
          </cell>
          <cell r="AK4369" t="str">
            <v>Michael Tao</v>
          </cell>
        </row>
        <row r="4370">
          <cell r="C4370" t="str">
            <v>UB_083_WMG Supp CO#1</v>
          </cell>
          <cell r="H4370">
            <v>5036549</v>
          </cell>
          <cell r="AK4370" t="str">
            <v>Charles Marooney</v>
          </cell>
        </row>
        <row r="4371">
          <cell r="C4371" t="str">
            <v>UFSB CD Review</v>
          </cell>
          <cell r="H4371">
            <v>5034917</v>
          </cell>
          <cell r="AK4371" t="str">
            <v>Willis Leitner</v>
          </cell>
        </row>
        <row r="4372">
          <cell r="C4372" t="str">
            <v>OneAmerican-Fair Lending RA</v>
          </cell>
          <cell r="H4372">
            <v>5036970</v>
          </cell>
          <cell r="AK4372" t="str">
            <v>Paula Witt</v>
          </cell>
        </row>
        <row r="4373">
          <cell r="C4373" t="str">
            <v>Santander_Infosec support - P4</v>
          </cell>
          <cell r="H4373">
            <v>5037240</v>
          </cell>
          <cell r="AK4373" t="str">
            <v>Ridha Mesli</v>
          </cell>
        </row>
        <row r="4374">
          <cell r="C4374" t="str">
            <v>MS_Wealth Ops Invstmnt Supprt</v>
          </cell>
          <cell r="H4374">
            <v>5036826</v>
          </cell>
          <cell r="AK4374" t="str">
            <v>Leah Watson</v>
          </cell>
        </row>
        <row r="4375">
          <cell r="C4375" t="str">
            <v>Jeff_CRM Blue Matrix Extension</v>
          </cell>
          <cell r="H4375">
            <v>5037282</v>
          </cell>
          <cell r="AK4375" t="str">
            <v>Ripple Bhullar</v>
          </cell>
        </row>
        <row r="4376">
          <cell r="C4376" t="str">
            <v>1st Central-Deposit Compl Rev</v>
          </cell>
          <cell r="H4376">
            <v>5036391</v>
          </cell>
          <cell r="AK4376" t="str">
            <v>John Eshoo</v>
          </cell>
        </row>
        <row r="4377">
          <cell r="C4377" t="str">
            <v>Homestead Savings Bank_RAS</v>
          </cell>
          <cell r="H4377">
            <v>5039514</v>
          </cell>
          <cell r="AK4377" t="str">
            <v>Travis Peraza</v>
          </cell>
        </row>
        <row r="4378">
          <cell r="C4378" t="str">
            <v>PLS FS-GLBA DFS 500 Audits</v>
          </cell>
          <cell r="H4378">
            <v>5037234</v>
          </cell>
          <cell r="AK4378" t="str">
            <v>Mary Louise Radley</v>
          </cell>
        </row>
        <row r="4379">
          <cell r="C4379" t="str">
            <v>CreditAg_Cyber DFS Compliance</v>
          </cell>
          <cell r="H4379">
            <v>5034014</v>
          </cell>
          <cell r="AK4379" t="str">
            <v>Thanh Le Xuan</v>
          </cell>
        </row>
        <row r="4380">
          <cell r="C4380" t="str">
            <v>BluffView-MQC</v>
          </cell>
          <cell r="H4380">
            <v>5037329</v>
          </cell>
          <cell r="AK4380" t="str">
            <v>Juan Pimentel</v>
          </cell>
        </row>
        <row r="4381">
          <cell r="C4381" t="str">
            <v>UB_092_RB_Kodiak SR PM ph1</v>
          </cell>
          <cell r="H4381">
            <v>5037288</v>
          </cell>
          <cell r="AK4381" t="str">
            <v>Samuel Awsumb</v>
          </cell>
        </row>
        <row r="4382">
          <cell r="C4382" t="str">
            <v>Napier Park Mktg. Analytics</v>
          </cell>
          <cell r="H4382">
            <v>5037201</v>
          </cell>
          <cell r="AK4382" t="str">
            <v>Tajinder Singh</v>
          </cell>
        </row>
        <row r="4383">
          <cell r="C4383" t="str">
            <v>Drummond-ERM Program Support</v>
          </cell>
          <cell r="H4383">
            <v>5037170</v>
          </cell>
          <cell r="AK4383" t="str">
            <v>Denise Rinear</v>
          </cell>
        </row>
        <row r="4384">
          <cell r="C4384" t="str">
            <v>FrMc_Workload Migrtion (AMD 3)</v>
          </cell>
          <cell r="H4384">
            <v>5035007</v>
          </cell>
          <cell r="AK4384" t="str">
            <v>Pranav Mehan</v>
          </cell>
        </row>
        <row r="4385">
          <cell r="C4385" t="str">
            <v>FrMc_ILM - MF Q4 Ext</v>
          </cell>
          <cell r="H4385">
            <v>5035055</v>
          </cell>
          <cell r="AK4385" t="str">
            <v>Thadi Murali</v>
          </cell>
        </row>
        <row r="4386">
          <cell r="C4386" t="str">
            <v>FrMc_Payments Fraud Q4 Ext</v>
          </cell>
          <cell r="H4386">
            <v>5035056</v>
          </cell>
          <cell r="AK4386" t="str">
            <v>Sonal Das</v>
          </cell>
        </row>
        <row r="4387">
          <cell r="C4387" t="str">
            <v>APIture_Direct Bank Ph2</v>
          </cell>
          <cell r="H4387">
            <v>5037581</v>
          </cell>
          <cell r="AK4387" t="str">
            <v>Brian Bordeaux</v>
          </cell>
        </row>
        <row r="4388">
          <cell r="C4388" t="str">
            <v>South Shore-Flood Review</v>
          </cell>
          <cell r="H4388">
            <v>5037209</v>
          </cell>
          <cell r="AK4388" t="str">
            <v>Leigh Tribou</v>
          </cell>
        </row>
        <row r="4389">
          <cell r="C4389" t="str">
            <v>FrMc_GBS (Gov &amp; Bus Services)</v>
          </cell>
          <cell r="H4389">
            <v>5037205</v>
          </cell>
          <cell r="AK4389" t="str">
            <v>Michael Mathew</v>
          </cell>
        </row>
        <row r="4390">
          <cell r="C4390" t="str">
            <v>UB_091_RB_Kodiak PM</v>
          </cell>
          <cell r="H4390">
            <v>5037180</v>
          </cell>
          <cell r="AK4390" t="str">
            <v>Samuel Awsumb</v>
          </cell>
        </row>
        <row r="4391">
          <cell r="C4391" t="str">
            <v>HSBC-FIN-Transformation 3</v>
          </cell>
          <cell r="H4391">
            <v>5037273</v>
          </cell>
          <cell r="AK4391" t="str">
            <v>Rahul Govada</v>
          </cell>
        </row>
        <row r="4392">
          <cell r="C4392" t="str">
            <v>First Bank-CRA Training</v>
          </cell>
          <cell r="H4392">
            <v>5037247</v>
          </cell>
          <cell r="AK4392" t="str">
            <v>Diane Banks</v>
          </cell>
        </row>
        <row r="4393">
          <cell r="C4393" t="str">
            <v>IMN_RAS</v>
          </cell>
          <cell r="H4393">
            <v>5039516</v>
          </cell>
          <cell r="AK4393" t="str">
            <v>Travis Peraza</v>
          </cell>
        </row>
        <row r="4394">
          <cell r="C4394" t="str">
            <v>NET FCU-Info Security RA</v>
          </cell>
          <cell r="H4394">
            <v>5036981</v>
          </cell>
          <cell r="AK4394" t="str">
            <v>Robert Farmer</v>
          </cell>
        </row>
        <row r="4395">
          <cell r="C4395" t="str">
            <v>Cape Cod 5c-HMDA Review</v>
          </cell>
          <cell r="H4395">
            <v>5036921</v>
          </cell>
          <cell r="AK4395" t="str">
            <v>Juan Pimentel</v>
          </cell>
        </row>
        <row r="4396">
          <cell r="C4396" t="str">
            <v>Popular-2018 HMDA Data Scrub</v>
          </cell>
          <cell r="H4396">
            <v>5037238</v>
          </cell>
          <cell r="AK4396" t="str">
            <v>Juan Pimentel</v>
          </cell>
        </row>
        <row r="4397">
          <cell r="C4397" t="str">
            <v>PeapackGlad-BSA Model Valid</v>
          </cell>
          <cell r="H4397">
            <v>5037216</v>
          </cell>
          <cell r="AK4397" t="str">
            <v>Denise Rinear</v>
          </cell>
        </row>
        <row r="4398">
          <cell r="C4398" t="str">
            <v>FNBSouth-TRID Rev &amp; Policy Dev</v>
          </cell>
          <cell r="H4398">
            <v>5037241</v>
          </cell>
          <cell r="AK4398" t="str">
            <v>Juan Pimentel</v>
          </cell>
        </row>
        <row r="4399">
          <cell r="C4399" t="str">
            <v>MS_Bus.Mgmt.Org.Change/Comm</v>
          </cell>
          <cell r="H4399">
            <v>5036834</v>
          </cell>
          <cell r="AK4399" t="str">
            <v>Aditya Taneja</v>
          </cell>
        </row>
        <row r="4400">
          <cell r="C4400" t="str">
            <v>CooperativeBCC-CMS Enhancer</v>
          </cell>
          <cell r="H4400">
            <v>5037233</v>
          </cell>
          <cell r="AK4400" t="str">
            <v>Leigh Tribou</v>
          </cell>
        </row>
        <row r="4401">
          <cell r="C4401" t="str">
            <v>HSBC-GBM-FRB Control BA 2019</v>
          </cell>
          <cell r="H4401">
            <v>5037276</v>
          </cell>
          <cell r="AK4401" t="str">
            <v>Peter Brown</v>
          </cell>
        </row>
        <row r="4402">
          <cell r="C4402" t="str">
            <v>BerkshireMA-Loan Svcg Consult</v>
          </cell>
          <cell r="H4402">
            <v>5037287</v>
          </cell>
          <cell r="AK4402" t="str">
            <v>Mariana Dumanovsky</v>
          </cell>
        </row>
        <row r="4403">
          <cell r="C4403" t="str">
            <v>MF Investor Reporting II Amd 2</v>
          </cell>
          <cell r="H4403">
            <v>5034285</v>
          </cell>
          <cell r="AK4403" t="str">
            <v>David Williams</v>
          </cell>
        </row>
        <row r="4404">
          <cell r="C4404" t="str">
            <v>Veritex-CECL Validations</v>
          </cell>
          <cell r="H4404">
            <v>5036765</v>
          </cell>
          <cell r="AK4404" t="str">
            <v>Tania Makuh</v>
          </cell>
        </row>
        <row r="4405">
          <cell r="C4405" t="str">
            <v>5th3rd_UMR</v>
          </cell>
          <cell r="H4405">
            <v>5037344</v>
          </cell>
          <cell r="AK4405" t="str">
            <v>Korey Reynolds</v>
          </cell>
        </row>
        <row r="4406">
          <cell r="C4406" t="str">
            <v>SVB_BIM/Business Proj Mgr</v>
          </cell>
          <cell r="H4406">
            <v>5037306</v>
          </cell>
          <cell r="AK4406" t="str">
            <v>Laura Korbel</v>
          </cell>
        </row>
        <row r="4407">
          <cell r="C4407" t="str">
            <v>MS_FID Strats Program</v>
          </cell>
          <cell r="H4407">
            <v>5037292</v>
          </cell>
          <cell r="AK4407" t="str">
            <v>Mitali Drews</v>
          </cell>
        </row>
        <row r="4408">
          <cell r="C4408" t="str">
            <v>Jeff_DW Sec Finance RPA POC</v>
          </cell>
          <cell r="H4408">
            <v>5037330</v>
          </cell>
          <cell r="AK4408" t="str">
            <v>Jon Herna</v>
          </cell>
        </row>
        <row r="4409">
          <cell r="C4409" t="str">
            <v>MS_IMOPS_BM</v>
          </cell>
          <cell r="H4409">
            <v>5036307</v>
          </cell>
          <cell r="AK4409" t="str">
            <v>Angela McGregor</v>
          </cell>
        </row>
        <row r="4410">
          <cell r="C4410" t="str">
            <v>CSS_Capital Project Managers</v>
          </cell>
          <cell r="H4410">
            <v>5037186</v>
          </cell>
          <cell r="AK4410" t="str">
            <v>John Hickman</v>
          </cell>
        </row>
        <row r="4411">
          <cell r="C4411" t="str">
            <v>JPMC DT Leader Training</v>
          </cell>
          <cell r="H4411">
            <v>5037420</v>
          </cell>
          <cell r="AK4411" t="str">
            <v>Swati Balakrishnan</v>
          </cell>
        </row>
        <row r="4412">
          <cell r="C4412" t="str">
            <v>FIS_Worldpay Integration</v>
          </cell>
          <cell r="H4412">
            <v>5037211</v>
          </cell>
          <cell r="AK4412" t="str">
            <v>Matthew Faraone</v>
          </cell>
        </row>
        <row r="4413">
          <cell r="C4413" t="str">
            <v>HSBC-CMB-Digital Comms</v>
          </cell>
          <cell r="H4413">
            <v>5037274</v>
          </cell>
          <cell r="AK4413" t="str">
            <v>Peter Brown</v>
          </cell>
        </row>
        <row r="4414">
          <cell r="C4414" t="str">
            <v>Jeff_DW Sec Finance RPA POC</v>
          </cell>
          <cell r="H4414">
            <v>5037330</v>
          </cell>
          <cell r="AK4414" t="str">
            <v>Jon Herna</v>
          </cell>
        </row>
        <row r="4415">
          <cell r="C4415" t="str">
            <v>Jeff_DW Sec Finance RPA POC</v>
          </cell>
          <cell r="H4415">
            <v>5037330</v>
          </cell>
          <cell r="AK4415" t="str">
            <v>Jon Herna</v>
          </cell>
        </row>
        <row r="4416">
          <cell r="C4416" t="str">
            <v>BMO_Digital Deposit</v>
          </cell>
          <cell r="H4416">
            <v>5037189</v>
          </cell>
          <cell r="AK4416" t="str">
            <v>Luke Caputo</v>
          </cell>
        </row>
        <row r="4417">
          <cell r="C4417" t="str">
            <v>INHP-Model Review</v>
          </cell>
          <cell r="H4417">
            <v>5037297</v>
          </cell>
          <cell r="AK4417" t="str">
            <v>Denise Rinear</v>
          </cell>
        </row>
        <row r="4418">
          <cell r="C4418" t="str">
            <v>Delaware FEA-Compliance 19</v>
          </cell>
          <cell r="H4418">
            <v>5037366</v>
          </cell>
          <cell r="AK4418" t="str">
            <v>Alice Judd</v>
          </cell>
        </row>
        <row r="4419">
          <cell r="C4419" t="str">
            <v>SVB_GW UI/UX Sr. Researchers</v>
          </cell>
          <cell r="H4419">
            <v>5037312</v>
          </cell>
          <cell r="AK4419" t="str">
            <v>Michael Tao</v>
          </cell>
        </row>
        <row r="4420">
          <cell r="C4420" t="str">
            <v>Census FCU-Annual BSA Training</v>
          </cell>
          <cell r="H4420">
            <v>5037077</v>
          </cell>
          <cell r="AK4420" t="str">
            <v>W. Annette Dredden</v>
          </cell>
        </row>
        <row r="4421">
          <cell r="C4421" t="str">
            <v>HanoverCB-HMDA Validation</v>
          </cell>
          <cell r="H4421">
            <v>5037296</v>
          </cell>
          <cell r="AK4421" t="str">
            <v>Juan Pimentel</v>
          </cell>
        </row>
        <row r="4422">
          <cell r="C4422" t="str">
            <v>BSA AML Alert Clearing</v>
          </cell>
          <cell r="H4422">
            <v>5036856</v>
          </cell>
          <cell r="AK4422" t="str">
            <v>Jonathan Hunt</v>
          </cell>
        </row>
        <row r="4423">
          <cell r="C4423" t="str">
            <v>MS_Private Bank Ops Risk TOM</v>
          </cell>
          <cell r="H4423">
            <v>5037285</v>
          </cell>
          <cell r="AK4423" t="str">
            <v>Rahul Govada</v>
          </cell>
        </row>
        <row r="4424">
          <cell r="C4424" t="str">
            <v>Members 1st-BSA Indep Test</v>
          </cell>
          <cell r="H4424">
            <v>5037156</v>
          </cell>
          <cell r="AK4424" t="str">
            <v>Charles Mcwilliam</v>
          </cell>
        </row>
        <row r="4425">
          <cell r="C4425" t="str">
            <v>WF_eOne_FX and Multi-Currency</v>
          </cell>
          <cell r="H4425">
            <v>5037332</v>
          </cell>
          <cell r="AK4425" t="str">
            <v>Edward Kelley</v>
          </cell>
        </row>
        <row r="4426">
          <cell r="C4426" t="str">
            <v>HSBC_CMB-Digital Sprint</v>
          </cell>
          <cell r="H4426">
            <v>5037300</v>
          </cell>
          <cell r="AK4426" t="str">
            <v>Rahul Govada</v>
          </cell>
        </row>
        <row r="4427">
          <cell r="C4427" t="str">
            <v>GS_CAT BA Support</v>
          </cell>
          <cell r="H4427">
            <v>5037356</v>
          </cell>
          <cell r="AK4427" t="str">
            <v>Parul Chowdhry</v>
          </cell>
        </row>
        <row r="4428">
          <cell r="C4428" t="str">
            <v>UB_080_DIG_OAO_Cont PM Sup</v>
          </cell>
          <cell r="H4428">
            <v>5037215</v>
          </cell>
          <cell r="AK4428" t="str">
            <v>Samuel Awsumb</v>
          </cell>
        </row>
        <row r="4429">
          <cell r="C4429" t="str">
            <v>SVB_TOM ProductStratPh2 - EXT</v>
          </cell>
          <cell r="H4429">
            <v>5036646</v>
          </cell>
          <cell r="AK4429" t="str">
            <v>Michael Tao</v>
          </cell>
        </row>
        <row r="4430">
          <cell r="C4430" t="str">
            <v>EGM_Dev Support</v>
          </cell>
          <cell r="H4430">
            <v>5037338</v>
          </cell>
          <cell r="AK4430" t="str">
            <v>Bryan Olson</v>
          </cell>
        </row>
        <row r="4431">
          <cell r="C4431" t="str">
            <v>TIAA_Inst'l Sales PoC</v>
          </cell>
          <cell r="H4431">
            <v>5039363</v>
          </cell>
          <cell r="AK4431" t="str">
            <v>Karla Polo-Garcia</v>
          </cell>
        </row>
        <row r="4432">
          <cell r="C4432" t="str">
            <v>Stoneham-Compliance Consulting</v>
          </cell>
          <cell r="H4432">
            <v>5037328</v>
          </cell>
          <cell r="AK4432" t="str">
            <v>Leigh Tribou</v>
          </cell>
        </row>
        <row r="4433">
          <cell r="C4433" t="str">
            <v>Shoko-BSA Process Review</v>
          </cell>
          <cell r="H4433">
            <v>5037232</v>
          </cell>
          <cell r="AK4433" t="str">
            <v>William Sachs</v>
          </cell>
        </row>
        <row r="4434">
          <cell r="C4434" t="str">
            <v>AmNatTX-ERM Program Support</v>
          </cell>
          <cell r="H4434">
            <v>5037960</v>
          </cell>
          <cell r="AK4434" t="str">
            <v>Tania Makuh</v>
          </cell>
        </row>
        <row r="4435">
          <cell r="C4435" t="str">
            <v>BancoBrasil-Credit Card RA</v>
          </cell>
          <cell r="H4435">
            <v>5037298</v>
          </cell>
          <cell r="AK4435" t="str">
            <v>Mary Louise Radley</v>
          </cell>
        </row>
        <row r="4436">
          <cell r="C4436" t="str">
            <v>FIS-Social Media Risk Assmnt</v>
          </cell>
          <cell r="H4436">
            <v>5037512</v>
          </cell>
          <cell r="AK4436" t="str">
            <v>Amanda Pickering</v>
          </cell>
        </row>
        <row r="4437">
          <cell r="C4437" t="str">
            <v>1stElectronic-Credit Admin Con</v>
          </cell>
          <cell r="H4437">
            <v>5037362</v>
          </cell>
          <cell r="AK4437" t="str">
            <v>Denise Rinear</v>
          </cell>
        </row>
        <row r="4438">
          <cell r="C4438" t="str">
            <v>FIS_CIO Executive</v>
          </cell>
          <cell r="H4438">
            <v>5037481</v>
          </cell>
          <cell r="AK4438" t="str">
            <v>Haleel Sarwar</v>
          </cell>
        </row>
        <row r="4439">
          <cell r="C4439" t="str">
            <v>WF_ImaginetoCDBO_Day2</v>
          </cell>
          <cell r="H4439">
            <v>5036025</v>
          </cell>
          <cell r="AK4439" t="str">
            <v>Edward Kelley</v>
          </cell>
        </row>
        <row r="4440">
          <cell r="C4440" t="str">
            <v>BBT_Truist Unify 370 ExtHL</v>
          </cell>
          <cell r="H4440">
            <v>5033736</v>
          </cell>
          <cell r="AK4440" t="str">
            <v>Kelsey Popplewell</v>
          </cell>
        </row>
        <row r="4441">
          <cell r="C4441" t="str">
            <v>5th3rd_Tier1 Support Ext'n 2</v>
          </cell>
          <cell r="H4441">
            <v>5037343</v>
          </cell>
          <cell r="AK4441" t="str">
            <v>Tulsi Mehta</v>
          </cell>
        </row>
        <row r="4442">
          <cell r="C4442" t="str">
            <v>CentBankAR-RESPA TILA Testing</v>
          </cell>
          <cell r="H4442">
            <v>5037370</v>
          </cell>
          <cell r="AK4442" t="str">
            <v>Randall Patton</v>
          </cell>
        </row>
        <row r="4443">
          <cell r="C4443" t="str">
            <v>Jeff_JDOE Reg IM QA Resource</v>
          </cell>
          <cell r="H4443">
            <v>5037373</v>
          </cell>
          <cell r="AK4443" t="str">
            <v>John McCaffrey</v>
          </cell>
        </row>
        <row r="4444">
          <cell r="C4444" t="str">
            <v>Jeff_Funding Anlyst Extn III</v>
          </cell>
          <cell r="H4444">
            <v>5037225</v>
          </cell>
          <cell r="AK4444" t="str">
            <v>Jon Herna</v>
          </cell>
        </row>
        <row r="4445">
          <cell r="C4445" t="str">
            <v>LKLD DIg. Strategy Exec Ph 1</v>
          </cell>
          <cell r="H4445">
            <v>5037398</v>
          </cell>
          <cell r="AK4445" t="str">
            <v>Aditya Udas</v>
          </cell>
        </row>
        <row r="4446">
          <cell r="C4446" t="str">
            <v>South Shore-Interim Compl Off</v>
          </cell>
          <cell r="H4446">
            <v>5037381</v>
          </cell>
          <cell r="AK4446" t="str">
            <v>Pamela Acciardo</v>
          </cell>
        </row>
        <row r="4447">
          <cell r="C4447" t="str">
            <v>MS_Design Thinking Workshop</v>
          </cell>
          <cell r="H4447">
            <v>5037039</v>
          </cell>
          <cell r="AK4447" t="str">
            <v>Ashley Blake</v>
          </cell>
        </row>
        <row r="4448">
          <cell r="C4448" t="str">
            <v>BSA AML Alert Clearing</v>
          </cell>
          <cell r="H4448">
            <v>5036996</v>
          </cell>
          <cell r="AK4448" t="str">
            <v>Kristi Hegert</v>
          </cell>
        </row>
        <row r="4449">
          <cell r="C4449" t="str">
            <v>AdirondackBank-BSA Testing</v>
          </cell>
          <cell r="H4449">
            <v>5037466</v>
          </cell>
          <cell r="AK4449" t="str">
            <v>William Sachs</v>
          </cell>
        </row>
        <row r="4450">
          <cell r="C4450" t="str">
            <v>Roosevelt-Cyber RiskAssess 19</v>
          </cell>
          <cell r="H4450">
            <v>5030025</v>
          </cell>
          <cell r="AK4450" t="str">
            <v>Robert Farmer</v>
          </cell>
        </row>
        <row r="4451">
          <cell r="C4451" t="str">
            <v>Amerant-HMDA Scrub</v>
          </cell>
          <cell r="H4451">
            <v>5037380</v>
          </cell>
          <cell r="AK4451" t="str">
            <v>Juan Pimentel</v>
          </cell>
        </row>
        <row r="4452">
          <cell r="C4452" t="str">
            <v>Goldman Sachs Consulting 2020</v>
          </cell>
          <cell r="H4452">
            <v>5038263</v>
          </cell>
          <cell r="AK4452" t="str">
            <v>Christian Maier</v>
          </cell>
        </row>
        <row r="4453">
          <cell r="C4453" t="str">
            <v>Goldman Sachs TRID</v>
          </cell>
          <cell r="H4453">
            <v>5038265</v>
          </cell>
          <cell r="AK4453" t="str">
            <v>Christian Maier</v>
          </cell>
        </row>
        <row r="4454">
          <cell r="C4454" t="str">
            <v>CT Community-Dep Ops Valid Rev</v>
          </cell>
          <cell r="H4454">
            <v>5037497</v>
          </cell>
          <cell r="AK4454" t="str">
            <v>John Eshoo</v>
          </cell>
        </row>
        <row r="4455">
          <cell r="C4455" t="str">
            <v>Unqork Delivery Extension</v>
          </cell>
          <cell r="H4455">
            <v>5036041</v>
          </cell>
          <cell r="AK4455" t="str">
            <v>Rad Ashok</v>
          </cell>
        </row>
        <row r="4456">
          <cell r="C4456" t="str">
            <v>SVB_GDB_UK</v>
          </cell>
          <cell r="H4456">
            <v>5037450</v>
          </cell>
          <cell r="AK4456" t="str">
            <v>Laura Korbel</v>
          </cell>
        </row>
        <row r="4457">
          <cell r="C4457" t="str">
            <v>Security SFCU-FCRA Process Rev</v>
          </cell>
          <cell r="H4457">
            <v>5037395</v>
          </cell>
          <cell r="AK4457" t="str">
            <v>Randall Patton</v>
          </cell>
        </row>
        <row r="4458">
          <cell r="C4458" t="str">
            <v>SVB_Recruitment Strategy Ext</v>
          </cell>
          <cell r="H4458">
            <v>5037459</v>
          </cell>
          <cell r="AK4458" t="str">
            <v>Laura Korbel</v>
          </cell>
        </row>
        <row r="4459">
          <cell r="C4459" t="str">
            <v>Bryn Mawr-2019 CRA Review</v>
          </cell>
          <cell r="H4459">
            <v>5037337</v>
          </cell>
          <cell r="AK4459" t="str">
            <v>Juan Pimentel</v>
          </cell>
        </row>
        <row r="4460">
          <cell r="C4460" t="str">
            <v>GS_QFC 2019 Ext Nov Dec</v>
          </cell>
          <cell r="H4460">
            <v>5034987</v>
          </cell>
          <cell r="AK4460" t="str">
            <v>Parul Chowdhry</v>
          </cell>
        </row>
        <row r="4461">
          <cell r="C4461" t="str">
            <v>BKU_Dev Team Capacity</v>
          </cell>
          <cell r="H4461">
            <v>5037421</v>
          </cell>
          <cell r="AK4461" t="str">
            <v>Kevin Miologos</v>
          </cell>
        </row>
        <row r="4462">
          <cell r="C4462" t="str">
            <v>Hyperion-Compliance Reviews</v>
          </cell>
          <cell r="H4462">
            <v>5037400</v>
          </cell>
          <cell r="AK4462" t="str">
            <v>Kristina Slattery</v>
          </cell>
        </row>
        <row r="4463">
          <cell r="C4463" t="str">
            <v>U S Century Bank_RAS</v>
          </cell>
          <cell r="H4463">
            <v>5039566</v>
          </cell>
          <cell r="AK4463" t="str">
            <v>Diane Banks</v>
          </cell>
        </row>
        <row r="4464">
          <cell r="C4464" t="str">
            <v>SabalTrust-Compliance Audits</v>
          </cell>
          <cell r="H4464">
            <v>5037091</v>
          </cell>
          <cell r="AK4464" t="str">
            <v>Mary Louise Radley</v>
          </cell>
        </row>
        <row r="4465">
          <cell r="C4465" t="str">
            <v>CountryNY-2019 ACH Rules Audit</v>
          </cell>
          <cell r="H4465">
            <v>5037355</v>
          </cell>
          <cell r="AK4465" t="str">
            <v>Mary Louise Radley</v>
          </cell>
        </row>
        <row r="4466">
          <cell r="C4466" t="str">
            <v>Svenska-BSA Independent Test</v>
          </cell>
          <cell r="H4466">
            <v>5037339</v>
          </cell>
          <cell r="AK4466" t="str">
            <v>William Sachs</v>
          </cell>
        </row>
        <row r="4467">
          <cell r="C4467" t="str">
            <v>Svenska-Brkr Dlr AML Audit</v>
          </cell>
          <cell r="H4467">
            <v>5037342</v>
          </cell>
          <cell r="AK4467" t="str">
            <v>William Sachs</v>
          </cell>
        </row>
        <row r="4468">
          <cell r="C4468" t="str">
            <v>EmpireState-CRA Consulting</v>
          </cell>
          <cell r="H4468">
            <v>5037448</v>
          </cell>
          <cell r="AK4468" t="str">
            <v>Paula Witt</v>
          </cell>
        </row>
        <row r="4469">
          <cell r="C4469" t="str">
            <v>BMO Harris_Data Pilot Ext</v>
          </cell>
          <cell r="H4469">
            <v>5036708</v>
          </cell>
          <cell r="AK4469" t="str">
            <v>Nick Hufford</v>
          </cell>
        </row>
        <row r="4470">
          <cell r="C4470" t="str">
            <v>Seaside-Prime Rev &amp; Consulting</v>
          </cell>
          <cell r="H4470">
            <v>5037301</v>
          </cell>
          <cell r="AK4470" t="str">
            <v>William Sachs</v>
          </cell>
        </row>
        <row r="4471">
          <cell r="C4471" t="str">
            <v>Citi_Liquidity Collateral PM</v>
          </cell>
          <cell r="H4471">
            <v>5037401</v>
          </cell>
          <cell r="AK4471" t="str">
            <v>Robert Norris</v>
          </cell>
        </row>
        <row r="4472">
          <cell r="C4472" t="str">
            <v>Malaga Bank-BSA Svcs &amp; PRIME</v>
          </cell>
          <cell r="H4472">
            <v>5037383</v>
          </cell>
          <cell r="AK4472" t="str">
            <v>Helen Person</v>
          </cell>
        </row>
        <row r="4473">
          <cell r="C4473" t="str">
            <v>UBS Project Reg BI</v>
          </cell>
          <cell r="H4473">
            <v>5037393</v>
          </cell>
          <cell r="AK4473" t="str">
            <v>Matthew Berkowitz</v>
          </cell>
        </row>
        <row r="4474">
          <cell r="C4474" t="str">
            <v>RBCUS Qlikview Dev 2020</v>
          </cell>
          <cell r="H4474">
            <v>5037382</v>
          </cell>
          <cell r="AK4474" t="str">
            <v>Kirby Pulver</v>
          </cell>
        </row>
        <row r="4475">
          <cell r="C4475" t="str">
            <v>BlueFoundry-FL Stat Analysis</v>
          </cell>
          <cell r="H4475">
            <v>5037449</v>
          </cell>
          <cell r="AK4475" t="str">
            <v>Paula Witt</v>
          </cell>
        </row>
        <row r="4476">
          <cell r="C4476" t="str">
            <v>UB_084_CBT_Mobiliz. Ph1 CO1</v>
          </cell>
          <cell r="H4476">
            <v>5036997</v>
          </cell>
          <cell r="AK4476" t="str">
            <v>Samuel Awsumb</v>
          </cell>
        </row>
        <row r="4477">
          <cell r="C4477" t="str">
            <v>CB_UMR &amp; Collateral Mgmt.</v>
          </cell>
          <cell r="H4477">
            <v>5037442</v>
          </cell>
          <cell r="AK4477" t="str">
            <v>Andrew Dearman</v>
          </cell>
        </row>
        <row r="4478">
          <cell r="C4478" t="str">
            <v>PMSC 2020</v>
          </cell>
          <cell r="H4478">
            <v>5041211</v>
          </cell>
          <cell r="AK4478" t="str">
            <v>Robert Nocera</v>
          </cell>
        </row>
        <row r="4479">
          <cell r="C4479" t="str">
            <v>JPMC_DT Trainer Program</v>
          </cell>
          <cell r="H4479">
            <v>5037594</v>
          </cell>
          <cell r="AK4479" t="str">
            <v>Swati Balakrishnan</v>
          </cell>
        </row>
        <row r="4480">
          <cell r="C4480" t="str">
            <v>HSBC-RSK-Mkt Risk Data 2019</v>
          </cell>
          <cell r="H4480">
            <v>5037406</v>
          </cell>
          <cell r="AK4480" t="str">
            <v>Rahul Govada</v>
          </cell>
        </row>
        <row r="4481">
          <cell r="C4481" t="str">
            <v>FM_Value Verify Extension</v>
          </cell>
          <cell r="H4481">
            <v>5035631</v>
          </cell>
          <cell r="AK4481" t="str">
            <v>Sabrina Amjad</v>
          </cell>
        </row>
        <row r="4482">
          <cell r="C4482" t="str">
            <v>BMO Harris_Credit Care pod 2</v>
          </cell>
          <cell r="H4482">
            <v>5037397</v>
          </cell>
          <cell r="AK4482" t="str">
            <v>Nick Hufford</v>
          </cell>
        </row>
        <row r="4483">
          <cell r="C4483" t="str">
            <v>UBS_Canada FD Platform Assemnt</v>
          </cell>
          <cell r="H4483">
            <v>5037456</v>
          </cell>
          <cell r="AK4483" t="str">
            <v>Yola Yu</v>
          </cell>
        </row>
        <row r="4484">
          <cell r="C4484" t="str">
            <v>ReVan_Accntg Process Imp</v>
          </cell>
          <cell r="H4484">
            <v>5036456</v>
          </cell>
          <cell r="AK4484" t="str">
            <v>John Power</v>
          </cell>
        </row>
        <row r="4485">
          <cell r="C4485" t="str">
            <v>MS Change Mgmt. &amp; Transition</v>
          </cell>
          <cell r="H4485">
            <v>5036834</v>
          </cell>
          <cell r="AK4485" t="str">
            <v>Aditya Taneja</v>
          </cell>
        </row>
        <row r="4486">
          <cell r="C4486" t="str">
            <v>LoanSnap-Compliance Consulting</v>
          </cell>
          <cell r="H4486">
            <v>5037457</v>
          </cell>
          <cell r="AK4486" t="str">
            <v>Brian Phillips</v>
          </cell>
        </row>
        <row r="4487">
          <cell r="C4487" t="str">
            <v>SVB InvestCloud P3</v>
          </cell>
          <cell r="H4487">
            <v>5035050</v>
          </cell>
          <cell r="AK4487" t="str">
            <v>Benjamin Kornblum</v>
          </cell>
        </row>
        <row r="4488">
          <cell r="C4488" t="str">
            <v>Crdit Agricole_Data CenterMove</v>
          </cell>
          <cell r="H4488">
            <v>5037595</v>
          </cell>
          <cell r="AK4488" t="str">
            <v>Thanh Le Xuan</v>
          </cell>
        </row>
        <row r="4489">
          <cell r="C4489" t="str">
            <v>FrdMc_MPS Sailpoint API Amd 2</v>
          </cell>
          <cell r="H4489">
            <v>5036154</v>
          </cell>
          <cell r="AK4489" t="str">
            <v>David Williams</v>
          </cell>
        </row>
        <row r="4490">
          <cell r="C4490" t="str">
            <v>UB_086_RCMAgilePrjcts Sup ext2</v>
          </cell>
          <cell r="H4490">
            <v>5037409</v>
          </cell>
          <cell r="AK4490" t="str">
            <v>Cheri Warner</v>
          </cell>
        </row>
        <row r="4491">
          <cell r="C4491" t="str">
            <v>SFL Compl-Compliance Training</v>
          </cell>
          <cell r="H4491">
            <v>5037511</v>
          </cell>
          <cell r="AK4491" t="str">
            <v>Diane Banks</v>
          </cell>
        </row>
        <row r="4492">
          <cell r="C4492" t="str">
            <v>HSBC-GBM-LIBOR RSK Anlst</v>
          </cell>
          <cell r="H4492">
            <v>5037419</v>
          </cell>
          <cell r="AK4492" t="str">
            <v>Peter Brown</v>
          </cell>
        </row>
        <row r="4493">
          <cell r="C4493" t="str">
            <v>CornerstoneNJ-MQC</v>
          </cell>
          <cell r="H4493">
            <v>5037491</v>
          </cell>
          <cell r="AK4493" t="str">
            <v>Christian Maier</v>
          </cell>
        </row>
        <row r="4494">
          <cell r="C4494" t="str">
            <v>UB_SOW96_ConsumerWiresRCSASup</v>
          </cell>
          <cell r="H4494">
            <v>5037458</v>
          </cell>
          <cell r="AK4494" t="str">
            <v>Cheri Warner</v>
          </cell>
        </row>
        <row r="4495">
          <cell r="C4495" t="str">
            <v>FOA_CISO Analysis</v>
          </cell>
          <cell r="H4495">
            <v>5037454</v>
          </cell>
          <cell r="AK4495" t="str">
            <v>Mike Peretz</v>
          </cell>
        </row>
        <row r="4496">
          <cell r="C4496" t="str">
            <v>WF_Mortgage Fulfillment Strat</v>
          </cell>
          <cell r="H4496">
            <v>5037501</v>
          </cell>
          <cell r="AK4496" t="str">
            <v>John Geertsema</v>
          </cell>
        </row>
        <row r="4497">
          <cell r="C4497" t="str">
            <v>CentBankAR-HMDA Review</v>
          </cell>
          <cell r="H4497">
            <v>5037474</v>
          </cell>
          <cell r="AK4497" t="str">
            <v>Juan Pimentel</v>
          </cell>
        </row>
        <row r="4498">
          <cell r="C4498" t="str">
            <v>WA Trust-HLC Compliance Cons</v>
          </cell>
          <cell r="H4498">
            <v>5037656</v>
          </cell>
          <cell r="AK4498" t="str">
            <v>Brian Phillips</v>
          </cell>
        </row>
        <row r="4499">
          <cell r="C4499" t="str">
            <v>Jeff_EmployeeHierarchyAnalyst</v>
          </cell>
          <cell r="H4499">
            <v>5037783</v>
          </cell>
          <cell r="AK4499" t="str">
            <v>Jeffrey Gheraldi</v>
          </cell>
        </row>
        <row r="4500">
          <cell r="C4500" t="str">
            <v>MS_Tax Client Report&amp;Accounts</v>
          </cell>
          <cell r="H4500">
            <v>5036826</v>
          </cell>
          <cell r="AK4500" t="str">
            <v>Leah Watson</v>
          </cell>
        </row>
        <row r="4501">
          <cell r="C4501" t="str">
            <v>TaiwanCoop-BSA Process Valid</v>
          </cell>
          <cell r="H4501">
            <v>5037490</v>
          </cell>
          <cell r="AK4501" t="str">
            <v>William Sachs</v>
          </cell>
        </row>
        <row r="4502">
          <cell r="C4502" t="str">
            <v>Jeff_UMR Program Mgr</v>
          </cell>
          <cell r="H4502">
            <v>5037284</v>
          </cell>
          <cell r="AK4502" t="str">
            <v>Chelsea Mattias</v>
          </cell>
        </row>
        <row r="4503">
          <cell r="C4503" t="str">
            <v>HSBC-GBM-LIBOR GM BSM</v>
          </cell>
          <cell r="H4503">
            <v>5037509</v>
          </cell>
          <cell r="AK4503" t="str">
            <v>Peter Brown</v>
          </cell>
        </row>
        <row r="4504">
          <cell r="C4504" t="str">
            <v>JPMC_Creativity Innvtn Wrkshp</v>
          </cell>
          <cell r="H4504">
            <v>5037592</v>
          </cell>
          <cell r="AK4504" t="str">
            <v>Casey Schaffer</v>
          </cell>
        </row>
        <row r="4505">
          <cell r="C4505" t="str">
            <v>SVB_Recruitment Strategy Exp</v>
          </cell>
          <cell r="H4505">
            <v>5037459</v>
          </cell>
          <cell r="AK4505" t="str">
            <v>Laura Korbel</v>
          </cell>
        </row>
        <row r="4506">
          <cell r="C4506" t="str">
            <v>Jeff_UMR Support</v>
          </cell>
          <cell r="H4506">
            <v>5037493</v>
          </cell>
          <cell r="AK4506" t="str">
            <v>Cody Lange</v>
          </cell>
        </row>
        <row r="4507">
          <cell r="C4507" t="str">
            <v>Jeff_EQ Cont Sup Analyst Ext2</v>
          </cell>
          <cell r="H4507">
            <v>5037499</v>
          </cell>
          <cell r="AK4507" t="str">
            <v>Jeffrey Gheraldi</v>
          </cell>
        </row>
        <row r="4508">
          <cell r="C4508" t="str">
            <v>SVB_IT Delivery Support</v>
          </cell>
          <cell r="H4508">
            <v>5037562</v>
          </cell>
          <cell r="AK4508" t="str">
            <v>Erik Johnson</v>
          </cell>
        </row>
        <row r="4509">
          <cell r="C4509" t="str">
            <v>Santander_Comm Card Dis</v>
          </cell>
          <cell r="H4509">
            <v>5037555</v>
          </cell>
          <cell r="AK4509" t="str">
            <v>Michael Crumpler</v>
          </cell>
        </row>
        <row r="4510">
          <cell r="C4510" t="str">
            <v>Jeff FI Markets Surv Analyst</v>
          </cell>
          <cell r="H4510">
            <v>5037846</v>
          </cell>
          <cell r="AK4510" t="str">
            <v>Jeffrey Gheraldi</v>
          </cell>
        </row>
        <row r="4511">
          <cell r="C4511" t="str">
            <v>DB_IB Operations Living Wills</v>
          </cell>
          <cell r="H4511">
            <v>5037588</v>
          </cell>
          <cell r="AK4511" t="str">
            <v>Sandra Paris</v>
          </cell>
        </row>
        <row r="4512">
          <cell r="C4512" t="str">
            <v>RMSC Alert Clearing</v>
          </cell>
          <cell r="H4512">
            <v>5036856</v>
          </cell>
          <cell r="AK4512" t="str">
            <v>Jonathan Hunt</v>
          </cell>
        </row>
        <row r="4513">
          <cell r="C4513" t="str">
            <v>DTCC PM TradeSuite</v>
          </cell>
          <cell r="H4513">
            <v>5035980</v>
          </cell>
          <cell r="AK4513" t="str">
            <v>Jacob Vyncke</v>
          </cell>
        </row>
        <row r="4514">
          <cell r="C4514" t="str">
            <v>SVB_Card Processor Ph2</v>
          </cell>
          <cell r="H4514">
            <v>5037580</v>
          </cell>
          <cell r="AK4514" t="str">
            <v>Karl Augenstein</v>
          </cell>
        </row>
        <row r="4515">
          <cell r="C4515" t="str">
            <v>Loans Automation Support</v>
          </cell>
          <cell r="H4515">
            <v>5037576</v>
          </cell>
          <cell r="AK4515" t="str">
            <v>Abhijeet Dhamankar</v>
          </cell>
        </row>
        <row r="4516">
          <cell r="C4516" t="str">
            <v>Jeff_CRM OneJef Surge 2020</v>
          </cell>
          <cell r="H4516">
            <v>5038394</v>
          </cell>
          <cell r="AK4516" t="str">
            <v>Ripple Bhullar</v>
          </cell>
        </row>
        <row r="4517">
          <cell r="C4517" t="str">
            <v>MS_FID Strats Program</v>
          </cell>
          <cell r="H4517">
            <v>5037292</v>
          </cell>
          <cell r="AK4517" t="str">
            <v>Mitali Drews</v>
          </cell>
        </row>
        <row r="4518">
          <cell r="C4518" t="str">
            <v>Jeff_CRM Salesforce UI UX 2020</v>
          </cell>
          <cell r="H4518">
            <v>5036377</v>
          </cell>
          <cell r="AK4518" t="str">
            <v>Ripple Bhullar</v>
          </cell>
        </row>
        <row r="4519">
          <cell r="C4519" t="str">
            <v>Fidelity Bank_RAS</v>
          </cell>
          <cell r="H4519">
            <v>5039631</v>
          </cell>
          <cell r="AK4519" t="str">
            <v>Rebecca Breland</v>
          </cell>
        </row>
        <row r="4520">
          <cell r="C4520" t="str">
            <v>Plumas Bank_RAS</v>
          </cell>
          <cell r="H4520">
            <v>5039704</v>
          </cell>
          <cell r="AK4520" t="str">
            <v>Diane Banks</v>
          </cell>
        </row>
        <row r="4521">
          <cell r="C4521" t="str">
            <v>Jeff_CRM SF Program Mgmt 2020</v>
          </cell>
          <cell r="H4521">
            <v>5037844</v>
          </cell>
          <cell r="AK4521" t="str">
            <v>Ripple Bhullar</v>
          </cell>
        </row>
        <row r="4522">
          <cell r="C4522" t="str">
            <v>CentBankAR-HMDA</v>
          </cell>
          <cell r="H4522">
            <v>5037747</v>
          </cell>
          <cell r="AK4522" t="str">
            <v>Juan Pimentel</v>
          </cell>
        </row>
        <row r="4523">
          <cell r="C4523" t="str">
            <v>Adirondack-AML Rsk Mgmt</v>
          </cell>
          <cell r="H4523">
            <v>5037659</v>
          </cell>
          <cell r="AK4523" t="str">
            <v>Charles Mcwilliam</v>
          </cell>
        </row>
        <row r="4524">
          <cell r="C4524" t="str">
            <v>HSBC_CMB-LIBOR Ext</v>
          </cell>
          <cell r="H4524">
            <v>5037259</v>
          </cell>
          <cell r="AK4524" t="str">
            <v>Rahul Govada</v>
          </cell>
        </row>
        <row r="4525">
          <cell r="C4525" t="str">
            <v>Jeff_CRM BI Tech BA 2020</v>
          </cell>
          <cell r="H4525">
            <v>5037734</v>
          </cell>
          <cell r="AK4525" t="str">
            <v>Aoife Hogan</v>
          </cell>
        </row>
        <row r="4526">
          <cell r="C4526" t="str">
            <v>Talbot State Bank_RAS</v>
          </cell>
          <cell r="H4526">
            <v>5039729</v>
          </cell>
          <cell r="AK4526" t="str">
            <v>Diane Banks</v>
          </cell>
        </row>
        <row r="4527">
          <cell r="C4527" t="str">
            <v>TaiwanCoop-Part 504 Compl Rev</v>
          </cell>
          <cell r="H4527">
            <v>5037489</v>
          </cell>
          <cell r="AK4527" t="str">
            <v>William Sachs</v>
          </cell>
        </row>
        <row r="4528">
          <cell r="C4528" t="str">
            <v>Bryn Mawr-Trust &amp; Cap Mkts RA</v>
          </cell>
          <cell r="H4528">
            <v>5037652</v>
          </cell>
          <cell r="AK4528" t="str">
            <v>David Stalnaker</v>
          </cell>
        </row>
        <row r="4529">
          <cell r="C4529" t="str">
            <v>Altamaha Bank &amp; Trust Comp_RAS</v>
          </cell>
          <cell r="H4529">
            <v>5039580</v>
          </cell>
          <cell r="AK4529" t="str">
            <v>Rebecca Breland</v>
          </cell>
        </row>
        <row r="4530">
          <cell r="C4530" t="str">
            <v>Gorham Savings Bank_RAS</v>
          </cell>
          <cell r="H4530">
            <v>5039507</v>
          </cell>
          <cell r="AK4530" t="str">
            <v>Diane Banks</v>
          </cell>
        </row>
        <row r="4531">
          <cell r="C4531" t="str">
            <v>BostonPrivate-HMDA Review</v>
          </cell>
          <cell r="H4531">
            <v>5037553</v>
          </cell>
          <cell r="AK4531" t="str">
            <v>Juan Pimentel</v>
          </cell>
        </row>
        <row r="4532">
          <cell r="C4532" t="str">
            <v>Legal &amp; Compliance BA</v>
          </cell>
          <cell r="H4532">
            <v>5037827</v>
          </cell>
          <cell r="AK4532" t="str">
            <v>Matthew Rodgers</v>
          </cell>
        </row>
        <row r="4533">
          <cell r="C4533" t="str">
            <v>CentBankAR-BSA Managed Svcs</v>
          </cell>
          <cell r="H4533">
            <v>5037577</v>
          </cell>
          <cell r="AK4533" t="str">
            <v>Kristi Hegert</v>
          </cell>
        </row>
        <row r="4534">
          <cell r="C4534" t="str">
            <v>CSP R3 AMD 7</v>
          </cell>
          <cell r="H4534">
            <v>5035251</v>
          </cell>
          <cell r="AK4534" t="str">
            <v>Thomas Wilson</v>
          </cell>
        </row>
        <row r="4535">
          <cell r="C4535" t="str">
            <v>FrMC_Payments Fraud Amd 4</v>
          </cell>
          <cell r="H4535">
            <v>5035056</v>
          </cell>
          <cell r="AK4535" t="str">
            <v>Sonal Das</v>
          </cell>
        </row>
        <row r="4536">
          <cell r="C4536" t="str">
            <v>FrMc_SF E2E Data AMD 1</v>
          </cell>
          <cell r="H4536">
            <v>5036924</v>
          </cell>
          <cell r="AK4536" t="str">
            <v>Ramnish Gupta</v>
          </cell>
        </row>
        <row r="4537">
          <cell r="C4537" t="str">
            <v>SVB BIM - Trade Sales</v>
          </cell>
          <cell r="H4537">
            <v>5037631</v>
          </cell>
          <cell r="AK4537" t="str">
            <v>Michael Tao</v>
          </cell>
        </row>
        <row r="4538">
          <cell r="C4538" t="str">
            <v>WSFSBank-Cloud Cyber Prog Asmt</v>
          </cell>
          <cell r="H4538">
            <v>5037417</v>
          </cell>
          <cell r="AK4538" t="str">
            <v>Scott Ramsey</v>
          </cell>
        </row>
        <row r="4539">
          <cell r="C4539" t="str">
            <v>CFTC Remediation 2</v>
          </cell>
          <cell r="H4539">
            <v>5034820</v>
          </cell>
          <cell r="AK4539" t="str">
            <v>Salim Modi</v>
          </cell>
        </row>
        <row r="4540">
          <cell r="C4540" t="str">
            <v>HSB-CMB-CC Re-Plat Dec 2019</v>
          </cell>
          <cell r="H4540">
            <v>5037661</v>
          </cell>
          <cell r="AK4540" t="str">
            <v>Kevin Sajdak</v>
          </cell>
        </row>
        <row r="4541">
          <cell r="C4541" t="str">
            <v>CFTC Remediation 3</v>
          </cell>
          <cell r="H4541">
            <v>5034820</v>
          </cell>
          <cell r="AK4541" t="str">
            <v>Salim Modi</v>
          </cell>
        </row>
        <row r="4542">
          <cell r="C4542" t="str">
            <v>Jeff_Salesforce Dev Ext</v>
          </cell>
          <cell r="H4542">
            <v>5035964</v>
          </cell>
          <cell r="AK4542" t="str">
            <v>Aoife Hogan</v>
          </cell>
        </row>
        <row r="4543">
          <cell r="C4543" t="str">
            <v>SVB_Product Portfolio Strategy</v>
          </cell>
          <cell r="H4543">
            <v>5037632</v>
          </cell>
          <cell r="AK4543" t="str">
            <v>John Hickman</v>
          </cell>
        </row>
        <row r="4544">
          <cell r="C4544" t="str">
            <v>093_RB_FDIC370 Support PH1</v>
          </cell>
          <cell r="H4544">
            <v>5037658</v>
          </cell>
          <cell r="AK4544" t="str">
            <v>George Simotas</v>
          </cell>
        </row>
        <row r="4545">
          <cell r="C4545" t="str">
            <v>Jeff_CRM OneJef PM BA</v>
          </cell>
          <cell r="H4545">
            <v>5038105</v>
          </cell>
          <cell r="AK4545" t="str">
            <v>Ripple Bhullar</v>
          </cell>
        </row>
        <row r="4546">
          <cell r="C4546" t="str">
            <v>2020 CSP H1_Freddie Mac</v>
          </cell>
          <cell r="H4546">
            <v>5037633</v>
          </cell>
          <cell r="AK4546" t="str">
            <v>Thomas Wilson</v>
          </cell>
        </row>
        <row r="4547">
          <cell r="C4547" t="str">
            <v>TIAA_Advice Platform Assess</v>
          </cell>
          <cell r="H4547">
            <v>5037528</v>
          </cell>
          <cell r="AK4547" t="str">
            <v>Nikhil Sharma</v>
          </cell>
        </row>
        <row r="4548">
          <cell r="C4548" t="str">
            <v>HSBC-GBM-LIBOR GB 2020</v>
          </cell>
          <cell r="H4548">
            <v>5037575</v>
          </cell>
          <cell r="AK4548" t="str">
            <v>Peter Brown</v>
          </cell>
        </row>
        <row r="4549">
          <cell r="C4549" t="str">
            <v>MS_Compliance Visualization</v>
          </cell>
          <cell r="H4549">
            <v>5037647</v>
          </cell>
          <cell r="AK4549" t="str">
            <v>Sameer Ahuja</v>
          </cell>
        </row>
        <row r="4550">
          <cell r="C4550" t="str">
            <v>HSBC-GBM-Reg Change PM 2019</v>
          </cell>
          <cell r="H4550">
            <v>5037657</v>
          </cell>
          <cell r="AK4550" t="str">
            <v>Kevin Sajdak</v>
          </cell>
        </row>
        <row r="4551">
          <cell r="C4551" t="str">
            <v>Creditcorp-Onsite DD Visits</v>
          </cell>
          <cell r="H4551">
            <v>5037731</v>
          </cell>
          <cell r="AK4551" t="str">
            <v>Robert Farmer</v>
          </cell>
        </row>
        <row r="4552">
          <cell r="C4552" t="str">
            <v>India NY-DFS 500 Program Rev</v>
          </cell>
          <cell r="H4552">
            <v>5037311</v>
          </cell>
          <cell r="AK4552" t="str">
            <v>Scott Ramsey</v>
          </cell>
        </row>
        <row r="4553">
          <cell r="C4553" t="str">
            <v>FIS_FP&amp;A Integration</v>
          </cell>
          <cell r="H4553">
            <v>5037717</v>
          </cell>
          <cell r="AK4553" t="str">
            <v>Matthew Faraone</v>
          </cell>
        </row>
        <row r="4554">
          <cell r="C4554" t="str">
            <v>Flood Scrub</v>
          </cell>
          <cell r="H4554">
            <v>5037381</v>
          </cell>
          <cell r="AK4554" t="str">
            <v>Pamela Acciardo</v>
          </cell>
        </row>
        <row r="4555">
          <cell r="C4555" t="str">
            <v>SVB_CRM Phase 3 Implementation</v>
          </cell>
          <cell r="H4555">
            <v>5037572</v>
          </cell>
          <cell r="AK4555" t="str">
            <v>David Vasecka</v>
          </cell>
        </row>
        <row r="4556">
          <cell r="C4556" t="str">
            <v>SVB_Payments BAU Support - EXT</v>
          </cell>
          <cell r="H4556">
            <v>5037737</v>
          </cell>
          <cell r="AK4556" t="str">
            <v>Scott Jurgensen</v>
          </cell>
        </row>
        <row r="4557">
          <cell r="C4557" t="str">
            <v>FrMc_Big Data Operations Q1</v>
          </cell>
          <cell r="H4557">
            <v>5037784</v>
          </cell>
          <cell r="AK4557" t="str">
            <v>Ramnish Gupta</v>
          </cell>
        </row>
        <row r="4558">
          <cell r="C4558" t="str">
            <v>WF_Trader_Voice</v>
          </cell>
          <cell r="H4558">
            <v>5037794</v>
          </cell>
          <cell r="AK4558" t="str">
            <v>Richard Rhodes</v>
          </cell>
        </row>
        <row r="4559">
          <cell r="C4559" t="str">
            <v>WF_OPSMGMT_eOne Amd1</v>
          </cell>
          <cell r="H4559">
            <v>5036061</v>
          </cell>
          <cell r="AK4559" t="str">
            <v>Edward Kelley</v>
          </cell>
        </row>
        <row r="4560">
          <cell r="C4560" t="str">
            <v>Jeff_NFA Remediation IT PM</v>
          </cell>
          <cell r="H4560">
            <v>5038415</v>
          </cell>
          <cell r="AK4560" t="str">
            <v>Chelsea Mattias</v>
          </cell>
        </row>
        <row r="4561">
          <cell r="C4561" t="str">
            <v>CityFirstDC-Alrt Clrng&amp;Support</v>
          </cell>
          <cell r="H4561">
            <v>5037963</v>
          </cell>
          <cell r="AK4561" t="str">
            <v>W. Annette Dredden</v>
          </cell>
        </row>
        <row r="4562">
          <cell r="C4562" t="str">
            <v>FrMc_GBS RSI</v>
          </cell>
          <cell r="H4562">
            <v>5037804</v>
          </cell>
          <cell r="AK4562" t="str">
            <v>Michael Mathew</v>
          </cell>
        </row>
        <row r="4563">
          <cell r="C4563" t="str">
            <v>NatCap WA-Alert Clrng,Consult</v>
          </cell>
          <cell r="H4563">
            <v>5037968</v>
          </cell>
          <cell r="AK4563" t="str">
            <v>Steve Manitzas</v>
          </cell>
        </row>
        <row r="4564">
          <cell r="C4564" t="str">
            <v>UB_085_CBT Ops TOM</v>
          </cell>
          <cell r="H4564">
            <v>5037872</v>
          </cell>
          <cell r="AK4564" t="str">
            <v>Samuel Awsumb</v>
          </cell>
        </row>
        <row r="4565">
          <cell r="C4565" t="str">
            <v>CentBankAR-HMDA Data Scrub</v>
          </cell>
          <cell r="H4565">
            <v>5037760</v>
          </cell>
          <cell r="AK4565" t="str">
            <v>Juan Pimentel</v>
          </cell>
        </row>
        <row r="4566">
          <cell r="C4566" t="str">
            <v>Payment Control Team 2019 etxn</v>
          </cell>
          <cell r="AK4566" t="str">
            <v>Ruben Sooriya</v>
          </cell>
        </row>
        <row r="4567">
          <cell r="C4567" t="str">
            <v>Jeff_ Forensic Inv Analyst Ext</v>
          </cell>
          <cell r="H4567">
            <v>5038236</v>
          </cell>
          <cell r="AK4567" t="str">
            <v>Jeffrey Gheraldi</v>
          </cell>
        </row>
        <row r="4568">
          <cell r="C4568" t="str">
            <v>RMSC - HMDA Valitation</v>
          </cell>
          <cell r="H4568">
            <v>5037238</v>
          </cell>
          <cell r="AK4568" t="str">
            <v>Juan Pimentel</v>
          </cell>
        </row>
        <row r="4569">
          <cell r="C4569" t="str">
            <v>WA Trust-Procedure Dev Tstg</v>
          </cell>
          <cell r="H4569">
            <v>5038043</v>
          </cell>
          <cell r="AK4569" t="str">
            <v>Brian Phillips</v>
          </cell>
        </row>
        <row r="4570">
          <cell r="C4570" t="str">
            <v>DB US AFC KYC 2020 Extension</v>
          </cell>
          <cell r="H4570">
            <v>5038106</v>
          </cell>
          <cell r="AK4570" t="str">
            <v>Ruby Cherian</v>
          </cell>
        </row>
        <row r="4571">
          <cell r="C4571" t="str">
            <v>SVB_BIM|Business Proj Mgr 2020</v>
          </cell>
          <cell r="H4571">
            <v>5037977</v>
          </cell>
          <cell r="AK4571" t="str">
            <v>Michael Tao</v>
          </cell>
        </row>
        <row r="4572">
          <cell r="C4572" t="str">
            <v>DB DFS 504 Data Team Extension</v>
          </cell>
          <cell r="H4572">
            <v>5037037</v>
          </cell>
          <cell r="AK4572" t="str">
            <v>Hasan Qureshi</v>
          </cell>
        </row>
        <row r="4573">
          <cell r="C4573" t="str">
            <v>BMO Harris_Data Pilot Amd3</v>
          </cell>
          <cell r="H4573">
            <v>5036708</v>
          </cell>
          <cell r="AK4573" t="str">
            <v>Nick Hufford</v>
          </cell>
        </row>
        <row r="4574">
          <cell r="C4574" t="str">
            <v>DB Data Team Extension</v>
          </cell>
          <cell r="H4574">
            <v>5035852</v>
          </cell>
          <cell r="AK4574" t="str">
            <v>Hasan Qureshi</v>
          </cell>
        </row>
        <row r="4575">
          <cell r="C4575" t="str">
            <v>IC_P-Tier Support</v>
          </cell>
          <cell r="H4575">
            <v>5037962</v>
          </cell>
          <cell r="AK4575" t="str">
            <v>Benjamin Kornblum</v>
          </cell>
        </row>
        <row r="4576">
          <cell r="C4576" t="str">
            <v>SVB_InvestCloud 2020</v>
          </cell>
          <cell r="H4576">
            <v>5037970</v>
          </cell>
          <cell r="AK4576" t="str">
            <v>Parag Shah</v>
          </cell>
        </row>
        <row r="4577">
          <cell r="C4577" t="str">
            <v>CSS_2020 PMO PM Support</v>
          </cell>
          <cell r="H4577">
            <v>5037764</v>
          </cell>
          <cell r="AK4577" t="str">
            <v>Danny Boulos</v>
          </cell>
        </row>
        <row r="4578">
          <cell r="C4578" t="str">
            <v>RMSC Alert Clearing</v>
          </cell>
          <cell r="H4578">
            <v>5036856</v>
          </cell>
          <cell r="AK4578" t="str">
            <v>Jonathan Hunt</v>
          </cell>
        </row>
        <row r="4579">
          <cell r="C4579" t="str">
            <v>074_MUFG_AML Invest Support</v>
          </cell>
          <cell r="H4579">
            <v>5037868</v>
          </cell>
          <cell r="AK4579" t="str">
            <v>Samuel Awsumb</v>
          </cell>
        </row>
        <row r="4580">
          <cell r="C4580" t="str">
            <v>FrMc Modern Delivery</v>
          </cell>
          <cell r="H4580">
            <v>5038434</v>
          </cell>
          <cell r="AK4580" t="str">
            <v>Kalkidan Tedla</v>
          </cell>
        </row>
        <row r="4581">
          <cell r="C4581" t="str">
            <v>Bryn Mawr-HMDA Data Int Rev</v>
          </cell>
          <cell r="H4581">
            <v>5038182</v>
          </cell>
          <cell r="AK4581" t="str">
            <v>Bonita Riccaboni</v>
          </cell>
        </row>
        <row r="4582">
          <cell r="C4582" t="str">
            <v>NEaston-CMSO</v>
          </cell>
          <cell r="H4582">
            <v>5037596</v>
          </cell>
          <cell r="AK4582" t="str">
            <v>Leigh Tribou</v>
          </cell>
        </row>
        <row r="4583">
          <cell r="C4583" t="str">
            <v>Jeff_Risk IT Environment 2020</v>
          </cell>
          <cell r="H4583">
            <v>5038126</v>
          </cell>
          <cell r="AK4583" t="str">
            <v>John McCaffrey</v>
          </cell>
        </row>
        <row r="4584">
          <cell r="C4584" t="str">
            <v>MS_CTB_OPS_BLR New York 2020</v>
          </cell>
          <cell r="H4584">
            <v>5038268</v>
          </cell>
          <cell r="AK4584" t="str">
            <v>Mitali Drews</v>
          </cell>
        </row>
        <row r="4585">
          <cell r="C4585" t="str">
            <v>LA Financial FCU MQC</v>
          </cell>
          <cell r="H4585">
            <v>5039029</v>
          </cell>
          <cell r="AK4585" t="str">
            <v>Keith Cole</v>
          </cell>
        </row>
        <row r="4586">
          <cell r="C4586" t="str">
            <v>MS VMO 2020</v>
          </cell>
          <cell r="H4586">
            <v>5038385</v>
          </cell>
          <cell r="AK4586" t="str">
            <v>Dan Schutzman</v>
          </cell>
        </row>
        <row r="4587">
          <cell r="C4587" t="str">
            <v>MS_WM Advisory Tech PMO 2020</v>
          </cell>
          <cell r="H4587">
            <v>5038020</v>
          </cell>
          <cell r="AK4587" t="str">
            <v>Rohini Bhatia</v>
          </cell>
        </row>
        <row r="4588">
          <cell r="C4588" t="str">
            <v>Jeff_BBG MARS PM</v>
          </cell>
          <cell r="H4588">
            <v>5038121</v>
          </cell>
          <cell r="AK4588" t="str">
            <v>Chelsea Mattias</v>
          </cell>
        </row>
        <row r="4589">
          <cell r="C4589" t="str">
            <v>Jeff_Murex Team 2020</v>
          </cell>
          <cell r="H4589">
            <v>5038113</v>
          </cell>
          <cell r="AK4589" t="str">
            <v>Chelsea Mattias</v>
          </cell>
        </row>
        <row r="4590">
          <cell r="C4590" t="str">
            <v>CalhounBank-CMSO</v>
          </cell>
          <cell r="H4590">
            <v>5038246</v>
          </cell>
          <cell r="AK4590" t="str">
            <v>Steve Manitzas</v>
          </cell>
        </row>
        <row r="4591">
          <cell r="C4591" t="str">
            <v>Texas Nat-Compliance Audits</v>
          </cell>
          <cell r="H4591">
            <v>5038044</v>
          </cell>
          <cell r="AK4591" t="str">
            <v>Dennis Smith</v>
          </cell>
        </row>
        <row r="4592">
          <cell r="C4592" t="str">
            <v>FIS-Systematics Consulting-2</v>
          </cell>
          <cell r="H4592">
            <v>5037430</v>
          </cell>
          <cell r="AK4592" t="str">
            <v>Nancy Gregory</v>
          </cell>
        </row>
        <row r="4593">
          <cell r="C4593" t="str">
            <v>Goldman_MQC Orlando</v>
          </cell>
          <cell r="H4593">
            <v>5038401</v>
          </cell>
          <cell r="AK4593" t="str">
            <v>Keith Cole</v>
          </cell>
        </row>
        <row r="4594">
          <cell r="C4594" t="str">
            <v>Jeff_Qlikview Support 2020</v>
          </cell>
          <cell r="H4594">
            <v>5038336</v>
          </cell>
          <cell r="AK4594" t="str">
            <v>John McCaffrey</v>
          </cell>
        </row>
        <row r="4595">
          <cell r="C4595" t="str">
            <v>Gulf-Compliance&amp;BSA_AML Audits</v>
          </cell>
          <cell r="H4595">
            <v>5039262</v>
          </cell>
          <cell r="AK4595" t="str">
            <v>Randall Patton</v>
          </cell>
        </row>
        <row r="4596">
          <cell r="C4596" t="str">
            <v>MS_CTB_SSBO_2020</v>
          </cell>
          <cell r="H4596">
            <v>5038183</v>
          </cell>
          <cell r="AK4596" t="str">
            <v>Ruben Sooriya</v>
          </cell>
        </row>
        <row r="4597">
          <cell r="C4597" t="str">
            <v>Unqork Rebate 2020</v>
          </cell>
          <cell r="H4597">
            <v>5039129</v>
          </cell>
          <cell r="AK4597" t="str">
            <v>Prakash Siddappa</v>
          </cell>
        </row>
        <row r="4598">
          <cell r="C4598" t="str">
            <v>BFB_2020 Compliance Support</v>
          </cell>
          <cell r="H4598">
            <v>5038512</v>
          </cell>
          <cell r="AK4598" t="str">
            <v>Bonita Riccaboni</v>
          </cell>
        </row>
        <row r="4599">
          <cell r="C4599" t="str">
            <v>NorthEastCB-CMSO</v>
          </cell>
          <cell r="H4599">
            <v>5037847</v>
          </cell>
          <cell r="AK4599" t="str">
            <v>David Belfer</v>
          </cell>
        </row>
        <row r="4600">
          <cell r="C4600" t="str">
            <v>Purefy-Consulting &amp; Ad Review</v>
          </cell>
          <cell r="H4600">
            <v>5038430</v>
          </cell>
          <cell r="AK4600" t="str">
            <v>Steve Manitzas</v>
          </cell>
        </row>
        <row r="4601">
          <cell r="C4601" t="str">
            <v>MS_CTB_ISGPO 2020</v>
          </cell>
          <cell r="H4601">
            <v>5038156</v>
          </cell>
          <cell r="AK4601" t="str">
            <v>Mitali Drews</v>
          </cell>
        </row>
        <row r="4602">
          <cell r="C4602" t="str">
            <v>MS_CTB_GPG_2020</v>
          </cell>
          <cell r="H4602">
            <v>5038387</v>
          </cell>
          <cell r="AK4602" t="str">
            <v>Mitali Drews</v>
          </cell>
        </row>
        <row r="4603">
          <cell r="C4603" t="str">
            <v>Westchester-CMSO</v>
          </cell>
          <cell r="H4603">
            <v>5038240</v>
          </cell>
          <cell r="AK4603" t="str">
            <v>David Belfer</v>
          </cell>
        </row>
        <row r="4604">
          <cell r="C4604" t="str">
            <v>Cyber | Tech Strategy</v>
          </cell>
          <cell r="H4604">
            <v>5038007</v>
          </cell>
          <cell r="AK4604" t="str">
            <v>Thanh Le Xuan</v>
          </cell>
        </row>
        <row r="4605">
          <cell r="C4605" t="str">
            <v>MS_IMOPS_Strat Transform_Ext</v>
          </cell>
          <cell r="H4605">
            <v>5038015</v>
          </cell>
          <cell r="AK4605" t="str">
            <v>Angela McGregor</v>
          </cell>
        </row>
        <row r="4606">
          <cell r="C4606" t="str">
            <v>Malvern-Info Security RA</v>
          </cell>
          <cell r="H4606">
            <v>5038100</v>
          </cell>
          <cell r="AK4606" t="str">
            <v>Robert Farmer</v>
          </cell>
        </row>
        <row r="4607">
          <cell r="C4607" t="str">
            <v>Anderson Brothers Bank_RAS</v>
          </cell>
          <cell r="H4607">
            <v>5039441</v>
          </cell>
          <cell r="AK4607" t="str">
            <v>Diane Banks</v>
          </cell>
        </row>
        <row r="4608">
          <cell r="C4608" t="str">
            <v>Direct Federal Credit Unio_RAS</v>
          </cell>
          <cell r="H4608">
            <v>5039480</v>
          </cell>
          <cell r="AK4608" t="str">
            <v>Travis Peraza</v>
          </cell>
        </row>
        <row r="4609">
          <cell r="C4609" t="str">
            <v>PS Bank-CMSO</v>
          </cell>
          <cell r="H4609">
            <v>5038072</v>
          </cell>
          <cell r="AK4609" t="str">
            <v>Gail Rassler</v>
          </cell>
        </row>
        <row r="4610">
          <cell r="C4610" t="str">
            <v>Dime Bk_CMS Optimizer</v>
          </cell>
          <cell r="H4610">
            <v>5038400</v>
          </cell>
          <cell r="AK4610" t="str">
            <v>Gail Rassler</v>
          </cell>
        </row>
        <row r="4611">
          <cell r="C4611" t="str">
            <v>Truist Rebate</v>
          </cell>
          <cell r="H4611">
            <v>5040068</v>
          </cell>
          <cell r="AK4611" t="str">
            <v>Prakash Siddappa</v>
          </cell>
        </row>
        <row r="4612">
          <cell r="C4612" t="str">
            <v>CommunityDL-CMSO</v>
          </cell>
          <cell r="H4612">
            <v>5038069</v>
          </cell>
          <cell r="AK4612" t="str">
            <v>Gail Rassler</v>
          </cell>
        </row>
        <row r="4613">
          <cell r="C4613" t="str">
            <v>First Horizon_RAS</v>
          </cell>
          <cell r="H4613">
            <v>5039515</v>
          </cell>
          <cell r="AK4613" t="str">
            <v>Travis Peraza</v>
          </cell>
        </row>
        <row r="4614">
          <cell r="C4614" t="str">
            <v>Blue Foundry Bank_RAS</v>
          </cell>
          <cell r="H4614">
            <v>5039453</v>
          </cell>
          <cell r="AK4614" t="str">
            <v>Diane Banks</v>
          </cell>
        </row>
        <row r="4615">
          <cell r="C4615" t="str">
            <v>Bryn Mawr Trust_RAS</v>
          </cell>
          <cell r="H4615">
            <v>5039457</v>
          </cell>
          <cell r="AK4615" t="str">
            <v>Travis Peraza</v>
          </cell>
        </row>
        <row r="4616">
          <cell r="C4616" t="str">
            <v>Farmers&amp;Merchants Bank_AR_RAS</v>
          </cell>
          <cell r="H4616">
            <v>5039485</v>
          </cell>
          <cell r="AK4616" t="str">
            <v>Rebecca Breland</v>
          </cell>
        </row>
        <row r="4617">
          <cell r="C4617" t="str">
            <v>First Northern Bank and Tr_RAS</v>
          </cell>
          <cell r="H4617">
            <v>5039497</v>
          </cell>
          <cell r="AK4617" t="str">
            <v>Diane Banks</v>
          </cell>
        </row>
        <row r="4618">
          <cell r="C4618" t="str">
            <v>Haddon Savings Bank_RAS</v>
          </cell>
          <cell r="H4618">
            <v>5039509</v>
          </cell>
          <cell r="AK4618" t="str">
            <v>Travis Peraza</v>
          </cell>
        </row>
        <row r="4619">
          <cell r="C4619" t="str">
            <v>John Marshall Bank_RAS</v>
          </cell>
          <cell r="H4619">
            <v>5039518</v>
          </cell>
          <cell r="AK4619" t="str">
            <v>Diane Banks</v>
          </cell>
        </row>
        <row r="4620">
          <cell r="C4620" t="str">
            <v>Shore United Bank_RAS</v>
          </cell>
          <cell r="H4620">
            <v>5039549</v>
          </cell>
          <cell r="AK4620" t="str">
            <v>Travis Peraza</v>
          </cell>
        </row>
        <row r="4621">
          <cell r="C4621" t="str">
            <v>The Bank of Delmarva_RAS</v>
          </cell>
          <cell r="H4621">
            <v>5039558</v>
          </cell>
          <cell r="AK4621" t="str">
            <v>Rebecca Breland</v>
          </cell>
        </row>
        <row r="4622">
          <cell r="C4622" t="str">
            <v>First National Bank of Pic_RAS</v>
          </cell>
          <cell r="H4622">
            <v>5039648</v>
          </cell>
          <cell r="AK4622" t="str">
            <v>Diane Banks</v>
          </cell>
        </row>
        <row r="4623">
          <cell r="C4623" t="str">
            <v>Farmers-CMSO</v>
          </cell>
          <cell r="H4623">
            <v>5038330</v>
          </cell>
          <cell r="AK4623" t="str">
            <v>Alice Judd</v>
          </cell>
        </row>
        <row r="4624">
          <cell r="C4624" t="str">
            <v>Cecil Bank-CMSO</v>
          </cell>
          <cell r="H4624">
            <v>5038347</v>
          </cell>
          <cell r="AK4624" t="str">
            <v>Bonita Riccaboni</v>
          </cell>
        </row>
        <row r="4625">
          <cell r="C4625" t="str">
            <v>SVB_GW Implementation 2020</v>
          </cell>
          <cell r="H4625">
            <v>5038062</v>
          </cell>
          <cell r="AK4625" t="str">
            <v>Michael Tao</v>
          </cell>
        </row>
        <row r="4626">
          <cell r="C4626" t="str">
            <v>FIS Rebate 2020</v>
          </cell>
          <cell r="H4626">
            <v>5039295</v>
          </cell>
        </row>
        <row r="4627">
          <cell r="C4627" t="str">
            <v>DB US AFC TM Pgrm Support 2020</v>
          </cell>
          <cell r="H4627">
            <v>5038210</v>
          </cell>
          <cell r="AK4627" t="str">
            <v>Jason Malcolm</v>
          </cell>
        </row>
        <row r="4628">
          <cell r="C4628" t="str">
            <v>CapitalB NA-CmplAdt</v>
          </cell>
          <cell r="H4628">
            <v>5037867</v>
          </cell>
          <cell r="AK4628" t="str">
            <v>Steve Manitzas</v>
          </cell>
        </row>
        <row r="4629">
          <cell r="C4629" t="str">
            <v>FrMc_Payment Modernization UI</v>
          </cell>
          <cell r="H4629">
            <v>5038088</v>
          </cell>
          <cell r="AK4629" t="str">
            <v>Chinmoy Bhatiya</v>
          </cell>
        </row>
        <row r="4630">
          <cell r="C4630" t="str">
            <v>SVB_GDB UK 2020</v>
          </cell>
          <cell r="H4630">
            <v>5038065</v>
          </cell>
          <cell r="AK4630" t="str">
            <v>Michael Tao</v>
          </cell>
        </row>
        <row r="4631">
          <cell r="C4631" t="str">
            <v>SVB_Payments BAU Support 2020</v>
          </cell>
          <cell r="H4631">
            <v>5038068</v>
          </cell>
          <cell r="AK4631" t="str">
            <v>Michael Tao</v>
          </cell>
        </row>
        <row r="4632">
          <cell r="C4632" t="str">
            <v>MS VMO Data Analysis</v>
          </cell>
          <cell r="H4632">
            <v>5038061</v>
          </cell>
          <cell r="AK4632" t="str">
            <v>Dan Schutzman</v>
          </cell>
        </row>
        <row r="4633">
          <cell r="C4633" t="str">
            <v>MS_FXEM SalesSupport-FID Strat</v>
          </cell>
          <cell r="H4633">
            <v>5038014</v>
          </cell>
          <cell r="AK4633" t="str">
            <v>Mitali Drews</v>
          </cell>
        </row>
        <row r="4634">
          <cell r="C4634" t="str">
            <v>SunStateFCU-CMSO</v>
          </cell>
          <cell r="H4634">
            <v>5038241</v>
          </cell>
          <cell r="AK4634" t="str">
            <v>Louvera Walden</v>
          </cell>
        </row>
        <row r="4635">
          <cell r="C4635" t="str">
            <v>Century BTC-ISO Support</v>
          </cell>
          <cell r="H4635">
            <v>5038157</v>
          </cell>
          <cell r="AK4635" t="str">
            <v>Robert Farmer</v>
          </cell>
        </row>
        <row r="4636">
          <cell r="C4636" t="str">
            <v>PGMehoopany-Info Security RA</v>
          </cell>
          <cell r="H4636">
            <v>5037966</v>
          </cell>
          <cell r="AK4636" t="str">
            <v>Robert Farmer</v>
          </cell>
        </row>
        <row r="4637">
          <cell r="C4637" t="str">
            <v>MS_S&amp;A PMO 2020</v>
          </cell>
          <cell r="H4637">
            <v>5038162</v>
          </cell>
          <cell r="AK4637" t="str">
            <v>Rayna Gittelman</v>
          </cell>
        </row>
        <row r="4638">
          <cell r="C4638" t="str">
            <v>Cape Cod 5c-CMSO</v>
          </cell>
          <cell r="H4638">
            <v>5038224</v>
          </cell>
          <cell r="AK4638" t="str">
            <v>Leigh Tribou</v>
          </cell>
        </row>
        <row r="4639">
          <cell r="C4639" t="str">
            <v>WF_PSD_MO_Extension</v>
          </cell>
          <cell r="H4639">
            <v>5038103</v>
          </cell>
          <cell r="AK4639" t="str">
            <v>Edward Kelley</v>
          </cell>
        </row>
        <row r="4640">
          <cell r="C4640" t="str">
            <v>MSB_CMS Support 2020</v>
          </cell>
          <cell r="H4640">
            <v>5038716</v>
          </cell>
          <cell r="AK4640" t="str">
            <v>Bonita Riccaboni</v>
          </cell>
        </row>
        <row r="4641">
          <cell r="C4641" t="str">
            <v>DC Teachers CMS Support</v>
          </cell>
          <cell r="H4641">
            <v>5038832</v>
          </cell>
          <cell r="AK4641" t="str">
            <v>W. Annette Dredden</v>
          </cell>
        </row>
        <row r="4642">
          <cell r="C4642" t="str">
            <v>Goldman-Compliance Consult</v>
          </cell>
          <cell r="H4642">
            <v>5038333</v>
          </cell>
          <cell r="AK4642" t="str">
            <v>Christian Maier</v>
          </cell>
        </row>
        <row r="4643">
          <cell r="C4643" t="str">
            <v>Noah Bank-CMS Support</v>
          </cell>
          <cell r="H4643">
            <v>5038494</v>
          </cell>
          <cell r="AK4643" t="str">
            <v>Bonita Riccaboni</v>
          </cell>
        </row>
        <row r="4644">
          <cell r="C4644" t="str">
            <v>WF_MO TR Q1 2020</v>
          </cell>
          <cell r="H4644">
            <v>5038067</v>
          </cell>
          <cell r="AK4644" t="str">
            <v>Tasha Giles</v>
          </cell>
        </row>
        <row r="4645">
          <cell r="C4645" t="str">
            <v>USAA-Redisclosure Team Reports</v>
          </cell>
          <cell r="H4645">
            <v>5038131</v>
          </cell>
          <cell r="AK4645" t="str">
            <v>Willis Leitner</v>
          </cell>
        </row>
        <row r="4646">
          <cell r="C4646" t="str">
            <v>CA_Cyber Strategy</v>
          </cell>
          <cell r="H4646">
            <v>5038007</v>
          </cell>
          <cell r="AK4646" t="str">
            <v>Thanh Le Xuan</v>
          </cell>
        </row>
        <row r="4647">
          <cell r="C4647" t="str">
            <v>InvestTrust-Internal Audits</v>
          </cell>
          <cell r="H4647">
            <v>5037527</v>
          </cell>
          <cell r="AK4647" t="str">
            <v>Mary Louise Radley</v>
          </cell>
        </row>
        <row r="4648">
          <cell r="C4648" t="str">
            <v>USAA-RMSC SCRT</v>
          </cell>
          <cell r="H4648">
            <v>5038122</v>
          </cell>
          <cell r="AK4648" t="str">
            <v>Thuy Whitaker</v>
          </cell>
        </row>
        <row r="4649">
          <cell r="C4649" t="str">
            <v>USAA-Post-Closing TRID Review</v>
          </cell>
          <cell r="H4649">
            <v>5038117</v>
          </cell>
          <cell r="AK4649" t="str">
            <v>Willis Leitner</v>
          </cell>
        </row>
        <row r="4650">
          <cell r="C4650" t="str">
            <v>First North-CMSO</v>
          </cell>
          <cell r="H4650">
            <v>5038077</v>
          </cell>
          <cell r="AK4650" t="str">
            <v>Gail Rassler</v>
          </cell>
        </row>
        <row r="4651">
          <cell r="C4651" t="str">
            <v>Pentagon-TILA RESPA Discl Rev</v>
          </cell>
          <cell r="H4651">
            <v>5038198</v>
          </cell>
          <cell r="AK4651" t="str">
            <v>Ricardo Julio</v>
          </cell>
        </row>
        <row r="4652">
          <cell r="C4652" t="str">
            <v>FredMc_SF E2E Data Q1</v>
          </cell>
          <cell r="H4652">
            <v>5038086</v>
          </cell>
          <cell r="AK4652" t="str">
            <v>Ramnish Gupta</v>
          </cell>
        </row>
        <row r="4653">
          <cell r="C4653" t="str">
            <v>Lusitania Savings Bank-CMS</v>
          </cell>
          <cell r="H4653">
            <v>5038922</v>
          </cell>
          <cell r="AK4653" t="str">
            <v>Kristina Slattery</v>
          </cell>
        </row>
        <row r="4654">
          <cell r="C4654" t="str">
            <v>MS_CTB_Ops_TTRO_2020</v>
          </cell>
          <cell r="H4654">
            <v>5038186</v>
          </cell>
          <cell r="AK4654" t="str">
            <v>Ruben Sooriya</v>
          </cell>
        </row>
        <row r="4655">
          <cell r="C4655" t="str">
            <v>USAA Consulting TM</v>
          </cell>
          <cell r="H4655">
            <v>5038757</v>
          </cell>
          <cell r="AK4655" t="str">
            <v>Willis Leitner</v>
          </cell>
        </row>
        <row r="4656">
          <cell r="C4656" t="str">
            <v>HSBC_CMB LIBOR 2020</v>
          </cell>
          <cell r="H4656">
            <v>5038045</v>
          </cell>
          <cell r="AK4656" t="str">
            <v>Peter Brown</v>
          </cell>
        </row>
        <row r="4657">
          <cell r="C4657" t="str">
            <v>MS_WM_PBO_2020</v>
          </cell>
          <cell r="H4657">
            <v>5038228</v>
          </cell>
          <cell r="AK4657" t="str">
            <v>Kaz Pattni</v>
          </cell>
        </row>
        <row r="4658">
          <cell r="C4658" t="str">
            <v>MS_S&amp;A - Trading 2020</v>
          </cell>
          <cell r="H4658">
            <v>5038018</v>
          </cell>
          <cell r="AK4658" t="str">
            <v>Rayna Gittelman</v>
          </cell>
        </row>
        <row r="4659">
          <cell r="C4659" t="str">
            <v>MS_S&amp;A 2020</v>
          </cell>
          <cell r="H4659">
            <v>5038021</v>
          </cell>
          <cell r="AK4659" t="str">
            <v>Leah Watson</v>
          </cell>
        </row>
        <row r="4660">
          <cell r="C4660" t="str">
            <v>WSFS Bank-ERM Program Enhance</v>
          </cell>
          <cell r="H4660">
            <v>5038266</v>
          </cell>
          <cell r="AK4660" t="str">
            <v>Tania Makuh</v>
          </cell>
        </row>
        <row r="4661">
          <cell r="C4661" t="str">
            <v>MS_Illiquid Alts Remedation</v>
          </cell>
          <cell r="H4661">
            <v>5038148</v>
          </cell>
          <cell r="AK4661" t="str">
            <v>Alexander Collyer</v>
          </cell>
        </row>
        <row r="4662">
          <cell r="C4662" t="str">
            <v>USAA-Re-disclosure Team Tasks</v>
          </cell>
          <cell r="H4662">
            <v>5038120</v>
          </cell>
          <cell r="AK4662" t="str">
            <v>Thuy Whitaker</v>
          </cell>
        </row>
        <row r="4663">
          <cell r="C4663" t="str">
            <v>Fieldpoint - CMSO</v>
          </cell>
          <cell r="H4663">
            <v>5038283</v>
          </cell>
          <cell r="AK4663" t="str">
            <v>David Belfer</v>
          </cell>
        </row>
        <row r="4664">
          <cell r="C4664" t="str">
            <v>ICB China US-CMSO</v>
          </cell>
          <cell r="H4664">
            <v>5038081</v>
          </cell>
          <cell r="AK4664" t="str">
            <v>David Belfer</v>
          </cell>
        </row>
        <row r="4665">
          <cell r="C4665" t="str">
            <v>BkTaiwan-NYDFS 504 Compl Rev</v>
          </cell>
          <cell r="H4665">
            <v>5037870</v>
          </cell>
          <cell r="AK4665" t="str">
            <v>William Sachs</v>
          </cell>
        </row>
        <row r="4666">
          <cell r="C4666" t="str">
            <v>USAA-Ad Hoc Consulting</v>
          </cell>
          <cell r="H4666">
            <v>5038129</v>
          </cell>
          <cell r="AK4666" t="str">
            <v>Willis Leitner</v>
          </cell>
        </row>
        <row r="4667">
          <cell r="C4667" t="str">
            <v>1stCentral-Compliance Reviews</v>
          </cell>
          <cell r="H4667">
            <v>5038239</v>
          </cell>
          <cell r="AK4667" t="str">
            <v>Mariana Dumanovsky</v>
          </cell>
        </row>
        <row r="4668">
          <cell r="C4668" t="str">
            <v>MS_CFTC Remediation 2020</v>
          </cell>
          <cell r="H4668">
            <v>5038208</v>
          </cell>
          <cell r="AK4668" t="str">
            <v>Ruben Sooriya</v>
          </cell>
        </row>
        <row r="4669">
          <cell r="C4669" t="str">
            <v>Shinkin-BSA IndepenTesting</v>
          </cell>
          <cell r="H4669">
            <v>5037782</v>
          </cell>
          <cell r="AK4669" t="str">
            <v>William Sachs</v>
          </cell>
        </row>
        <row r="4670">
          <cell r="C4670" t="str">
            <v>Deutsche Bank Rebate</v>
          </cell>
          <cell r="H4670">
            <v>5040239</v>
          </cell>
          <cell r="AK4670" t="str">
            <v>Prakash Siddappa</v>
          </cell>
        </row>
        <row r="4671">
          <cell r="C4671" t="str">
            <v>Marine B&amp;T-CMS Consulting</v>
          </cell>
          <cell r="H4671">
            <v>5038286</v>
          </cell>
          <cell r="AK4671" t="str">
            <v>Louvera Walden</v>
          </cell>
        </row>
        <row r="4672">
          <cell r="C4672" t="str">
            <v>HaddonSvg-CMS Support</v>
          </cell>
          <cell r="H4672">
            <v>5037864</v>
          </cell>
          <cell r="AK4672" t="str">
            <v>Bonita Riccaboni</v>
          </cell>
        </row>
        <row r="4673">
          <cell r="C4673" t="str">
            <v>Pentagon-Q1&amp;2 Manual Review</v>
          </cell>
          <cell r="H4673">
            <v>5038195</v>
          </cell>
          <cell r="AK4673" t="str">
            <v>Willis Leitner</v>
          </cell>
        </row>
        <row r="4674">
          <cell r="C4674" t="str">
            <v>First State Bank_Reg Z Train</v>
          </cell>
          <cell r="H4674">
            <v>5038417</v>
          </cell>
          <cell r="AK4674" t="str">
            <v>Diane Banks</v>
          </cell>
        </row>
        <row r="4675">
          <cell r="C4675" t="str">
            <v>Cape Cod Five Cents Saving_RAS</v>
          </cell>
          <cell r="H4675">
            <v>5039559</v>
          </cell>
          <cell r="AK4675" t="str">
            <v>Diane Banks</v>
          </cell>
        </row>
        <row r="4676">
          <cell r="C4676" t="str">
            <v>SunState Federal Credit Un_RAS</v>
          </cell>
          <cell r="H4676">
            <v>5039557</v>
          </cell>
          <cell r="AK4676" t="str">
            <v>Travis Peraza</v>
          </cell>
        </row>
        <row r="4677">
          <cell r="C4677" t="str">
            <v>South Shore-Acting CCO</v>
          </cell>
          <cell r="H4677">
            <v>5038101</v>
          </cell>
          <cell r="AK4677" t="str">
            <v>Pamela Acciardo</v>
          </cell>
        </row>
        <row r="4678">
          <cell r="C4678" t="str">
            <v>NorthEast Community Bank_RAS</v>
          </cell>
          <cell r="H4678">
            <v>5039533</v>
          </cell>
          <cell r="AK4678" t="str">
            <v>Diane Banks</v>
          </cell>
        </row>
        <row r="4679">
          <cell r="C4679" t="str">
            <v>North Easton Savings Bank_RAS</v>
          </cell>
          <cell r="H4679">
            <v>5039532</v>
          </cell>
          <cell r="AK4679" t="str">
            <v>Diane Banks</v>
          </cell>
        </row>
        <row r="4680">
          <cell r="C4680" t="str">
            <v>Unqork 2020 Extension</v>
          </cell>
          <cell r="H4680">
            <v>5038005</v>
          </cell>
          <cell r="AK4680" t="str">
            <v>Phil Kerkel</v>
          </cell>
        </row>
        <row r="4681">
          <cell r="C4681" t="str">
            <v>AmNatTX-Compliance Consulting</v>
          </cell>
          <cell r="H4681">
            <v>5038329</v>
          </cell>
          <cell r="AK4681" t="str">
            <v>Pamela Acciardo</v>
          </cell>
        </row>
        <row r="4682">
          <cell r="C4682" t="str">
            <v>SVB_Admin BAU Support Jan20</v>
          </cell>
          <cell r="H4682">
            <v>5038064</v>
          </cell>
          <cell r="AK4682" t="str">
            <v>Laura Korbel</v>
          </cell>
        </row>
        <row r="4683">
          <cell r="C4683" t="str">
            <v>FIS_Software_License_Agreement</v>
          </cell>
          <cell r="H4683">
            <v>5038076</v>
          </cell>
          <cell r="AK4683" t="str">
            <v>Michael Rose</v>
          </cell>
        </row>
        <row r="4684">
          <cell r="C4684" t="str">
            <v>Five Star Bank_RAS</v>
          </cell>
          <cell r="H4684">
            <v>5039660</v>
          </cell>
          <cell r="AK4684" t="str">
            <v>Travis Peraza</v>
          </cell>
        </row>
        <row r="4685">
          <cell r="C4685" t="str">
            <v>HSBC Rebate/discount</v>
          </cell>
          <cell r="H4685">
            <v>5039967</v>
          </cell>
          <cell r="AK4685" t="str">
            <v>Prakash Siddappa</v>
          </cell>
        </row>
        <row r="4686">
          <cell r="C4686" t="str">
            <v>First National Com Bank_WI_RAS</v>
          </cell>
          <cell r="H4686">
            <v>5039651</v>
          </cell>
          <cell r="AK4686" t="str">
            <v>Diane Banks</v>
          </cell>
        </row>
        <row r="4687">
          <cell r="C4687" t="str">
            <v>Goldman-MQC</v>
          </cell>
          <cell r="H4687">
            <v>5038358</v>
          </cell>
          <cell r="AK4687" t="str">
            <v>Christian Maier</v>
          </cell>
        </row>
        <row r="4688">
          <cell r="C4688" t="str">
            <v>JMBank_CMS Optimizer</v>
          </cell>
          <cell r="H4688">
            <v>5038476</v>
          </cell>
          <cell r="AK4688" t="str">
            <v>Alice Judd</v>
          </cell>
        </row>
        <row r="4689">
          <cell r="C4689" t="str">
            <v>Clear Mount- CMSO</v>
          </cell>
          <cell r="H4689">
            <v>5038360</v>
          </cell>
          <cell r="AK4689" t="str">
            <v>Kristina Slattery</v>
          </cell>
        </row>
        <row r="4690">
          <cell r="C4690" t="str">
            <v>Clear Mountain Bank_RAS</v>
          </cell>
          <cell r="H4690">
            <v>5039468</v>
          </cell>
          <cell r="AK4690" t="str">
            <v>Travis Peraza</v>
          </cell>
        </row>
        <row r="4691">
          <cell r="C4691" t="str">
            <v>Fieldpoint Private Bank &amp; _RAS</v>
          </cell>
          <cell r="H4691">
            <v>5039487</v>
          </cell>
          <cell r="AK4691" t="str">
            <v>Travis Peraza</v>
          </cell>
        </row>
        <row r="4692">
          <cell r="C4692" t="str">
            <v>Gate City Bank_RAS</v>
          </cell>
          <cell r="H4692">
            <v>5039504</v>
          </cell>
          <cell r="AK4692" t="str">
            <v>Travis Peraza</v>
          </cell>
        </row>
        <row r="4693">
          <cell r="C4693" t="str">
            <v>Apple Bank-GRC Support Svcs</v>
          </cell>
          <cell r="H4693">
            <v>5038226</v>
          </cell>
          <cell r="AK4693" t="str">
            <v>Tania Makuh</v>
          </cell>
        </row>
        <row r="4694">
          <cell r="C4694" t="str">
            <v>The First National Bank of_RAS</v>
          </cell>
          <cell r="H4694">
            <v>5039561</v>
          </cell>
          <cell r="AK4694" t="str">
            <v>Diane Banks</v>
          </cell>
        </row>
        <row r="4695">
          <cell r="C4695" t="str">
            <v>The Dime Bank_RAS</v>
          </cell>
          <cell r="H4695">
            <v>5039560</v>
          </cell>
          <cell r="AK4695" t="str">
            <v>Diane Banks</v>
          </cell>
        </row>
        <row r="4696">
          <cell r="C4696" t="str">
            <v>Saco &amp; Biddeford Savings I_RAS</v>
          </cell>
          <cell r="H4696">
            <v>5039547</v>
          </cell>
          <cell r="AK4696" t="str">
            <v>Diane Banks</v>
          </cell>
        </row>
        <row r="4697">
          <cell r="C4697" t="str">
            <v>First Southern State Bank_RAS</v>
          </cell>
          <cell r="H4697">
            <v>5039499</v>
          </cell>
          <cell r="AK4697" t="str">
            <v>Rebecca Breland</v>
          </cell>
        </row>
        <row r="4698">
          <cell r="C4698" t="str">
            <v>MainStreet Bank_RAS</v>
          </cell>
          <cell r="H4698">
            <v>5039522</v>
          </cell>
          <cell r="AK4698" t="str">
            <v>Diane Banks</v>
          </cell>
        </row>
        <row r="4699">
          <cell r="C4699" t="str">
            <v>Industrial &amp; Commercial Ba_RAS</v>
          </cell>
          <cell r="H4699">
            <v>5039517</v>
          </cell>
          <cell r="AK4699" t="str">
            <v>Diane Banks</v>
          </cell>
        </row>
        <row r="4700">
          <cell r="C4700" t="str">
            <v>First National Bank in Sio_RAS</v>
          </cell>
          <cell r="H4700">
            <v>5039495</v>
          </cell>
          <cell r="AK4700" t="str">
            <v>Diane Banks</v>
          </cell>
        </row>
        <row r="4701">
          <cell r="C4701" t="str">
            <v>State Holding Company_RAS</v>
          </cell>
          <cell r="H4701">
            <v>5039481</v>
          </cell>
          <cell r="AK4701" t="str">
            <v>Travis Peraza</v>
          </cell>
        </row>
        <row r="4702">
          <cell r="C4702" t="str">
            <v>The American National Bank_RAS</v>
          </cell>
          <cell r="H4702">
            <v>5039440</v>
          </cell>
          <cell r="AK4702" t="str">
            <v>Travis Peraza</v>
          </cell>
        </row>
        <row r="4703">
          <cell r="C4703" t="str">
            <v>Goldman-HMDA Review</v>
          </cell>
          <cell r="H4703">
            <v>5038335</v>
          </cell>
          <cell r="AK4703" t="str">
            <v>Christian Maier</v>
          </cell>
        </row>
        <row r="4704">
          <cell r="C4704" t="str">
            <v>FinancialR-CMS Support</v>
          </cell>
          <cell r="H4704">
            <v>5038513</v>
          </cell>
          <cell r="AK4704" t="str">
            <v>Anna Proleika</v>
          </cell>
        </row>
        <row r="4705">
          <cell r="C4705" t="str">
            <v>ShoreUnited-CMSO</v>
          </cell>
          <cell r="H4705">
            <v>5038462</v>
          </cell>
          <cell r="AK4705" t="str">
            <v>David Stalnaker</v>
          </cell>
        </row>
        <row r="4706">
          <cell r="C4706" t="str">
            <v>FNB Absecon CMS Support</v>
          </cell>
          <cell r="H4706">
            <v>5038737</v>
          </cell>
          <cell r="AK4706" t="str">
            <v>Elizabeth Rozsa</v>
          </cell>
        </row>
        <row r="4707">
          <cell r="C4707" t="str">
            <v>TBOD_CMS Support</v>
          </cell>
          <cell r="H4707">
            <v>5038489</v>
          </cell>
          <cell r="AK4707" t="str">
            <v>Alice Judd</v>
          </cell>
        </row>
        <row r="4708">
          <cell r="C4708" t="str">
            <v>MS_S&amp;A - Trading 2020 Q1 Ext</v>
          </cell>
          <cell r="H4708">
            <v>5038018</v>
          </cell>
          <cell r="AK4708" t="str">
            <v>Rayna Gittelman</v>
          </cell>
        </row>
        <row r="4709">
          <cell r="C4709" t="str">
            <v>FredMc_ILM MF Q1</v>
          </cell>
          <cell r="H4709">
            <v>5035055</v>
          </cell>
          <cell r="AK4709" t="str">
            <v>Thadi Murali</v>
          </cell>
        </row>
        <row r="4710">
          <cell r="C4710" t="str">
            <v>RMT Amd 1</v>
          </cell>
          <cell r="H4710">
            <v>5036287</v>
          </cell>
          <cell r="AK4710" t="str">
            <v>Poorna Bhimavarapu</v>
          </cell>
        </row>
        <row r="4711">
          <cell r="C4711" t="str">
            <v>DTCC ITP Replatform PMO EXt</v>
          </cell>
          <cell r="H4711">
            <v>5035980</v>
          </cell>
          <cell r="AK4711" t="str">
            <v>Jacob Vyncke</v>
          </cell>
        </row>
        <row r="4712">
          <cell r="C4712" t="str">
            <v>DB_GTB Tech4Ops- Extension</v>
          </cell>
          <cell r="H4712">
            <v>5035545</v>
          </cell>
          <cell r="AK4712" t="str">
            <v>Sandra Paris</v>
          </cell>
        </row>
        <row r="4713">
          <cell r="C4713" t="str">
            <v>SVB_SAT Scrum Master Extension</v>
          </cell>
          <cell r="H4713">
            <v>5037085</v>
          </cell>
          <cell r="AK4713" t="str">
            <v>Erik Johnson</v>
          </cell>
        </row>
        <row r="4714">
          <cell r="C4714" t="str">
            <v>FrMc_Duty 2 Serve Q1 Ext</v>
          </cell>
          <cell r="H4714">
            <v>5034762</v>
          </cell>
          <cell r="AK4714" t="str">
            <v>Gregory Barry</v>
          </cell>
        </row>
        <row r="4715">
          <cell r="C4715" t="str">
            <v>MS_WM Ops_Escheatment 2020</v>
          </cell>
          <cell r="H4715">
            <v>5038205</v>
          </cell>
          <cell r="AK4715" t="str">
            <v>Leah Watson</v>
          </cell>
        </row>
        <row r="4716">
          <cell r="C4716" t="str">
            <v>IC_BA Support 2020</v>
          </cell>
          <cell r="H4716">
            <v>5037805</v>
          </cell>
          <cell r="AK4716" t="str">
            <v>Benjamin Kornblum</v>
          </cell>
        </row>
        <row r="4717">
          <cell r="C4717" t="str">
            <v>Danbury-Flood Ins Remed</v>
          </cell>
          <cell r="H4717">
            <v>5038099</v>
          </cell>
          <cell r="AK4717" t="str">
            <v>Mariana Dumanovsky</v>
          </cell>
        </row>
        <row r="4718">
          <cell r="C4718" t="str">
            <v>Apple Bank-GRC Consulting Svcs</v>
          </cell>
          <cell r="H4718">
            <v>5038158</v>
          </cell>
          <cell r="AK4718" t="str">
            <v>Tania Makuh</v>
          </cell>
        </row>
        <row r="4719">
          <cell r="C4719" t="str">
            <v>GS CAT BA 2020</v>
          </cell>
          <cell r="H4719">
            <v>5038159</v>
          </cell>
          <cell r="AK4719" t="str">
            <v>Parul Chowdhry</v>
          </cell>
        </row>
        <row r="4720">
          <cell r="C4720" t="str">
            <v>UBS DMO CCAR 2020</v>
          </cell>
          <cell r="H4720">
            <v>5038249</v>
          </cell>
          <cell r="AK4720" t="str">
            <v>Angela McGregor</v>
          </cell>
        </row>
        <row r="4721">
          <cell r="C4721" t="str">
            <v>Eagle HM-BSA Risk Assessment</v>
          </cell>
          <cell r="H4721">
            <v>5037513</v>
          </cell>
          <cell r="AK4721" t="str">
            <v>Nancy Gregory</v>
          </cell>
        </row>
        <row r="4722">
          <cell r="C4722" t="str">
            <v>ReVan_Accntg Process Imp</v>
          </cell>
          <cell r="H4722">
            <v>5038075</v>
          </cell>
          <cell r="AK4722" t="str">
            <v>John Power</v>
          </cell>
        </row>
        <row r="4723">
          <cell r="C4723" t="str">
            <v>UBS US DMO CCAR</v>
          </cell>
          <cell r="H4723">
            <v>5038249</v>
          </cell>
          <cell r="AK4723" t="str">
            <v>Angela McGregor</v>
          </cell>
        </row>
        <row r="4724">
          <cell r="C4724" t="str">
            <v>SVB_Data Gov Phase 2</v>
          </cell>
          <cell r="H4724">
            <v>5037984</v>
          </cell>
          <cell r="AK4724" t="str">
            <v>Betsy Cherian</v>
          </cell>
        </row>
        <row r="4725">
          <cell r="C4725" t="str">
            <v>MS_WM Ops_MSSN|CSC 2020</v>
          </cell>
          <cell r="H4725">
            <v>5038211</v>
          </cell>
          <cell r="AK4725" t="str">
            <v>Leah Watson</v>
          </cell>
        </row>
        <row r="4726">
          <cell r="C4726" t="str">
            <v>WM Ops_AI RTB Support 2020</v>
          </cell>
          <cell r="H4726">
            <v>5038207</v>
          </cell>
          <cell r="AK4726" t="str">
            <v>Leah Watson</v>
          </cell>
        </row>
        <row r="4727">
          <cell r="C4727" t="str">
            <v>MS_WM Ops_KM 2020</v>
          </cell>
          <cell r="H4727">
            <v>5038206</v>
          </cell>
          <cell r="AK4727" t="str">
            <v>Leah Watson</v>
          </cell>
        </row>
        <row r="4728">
          <cell r="C4728" t="str">
            <v>WM_Ops_FAST 2020</v>
          </cell>
          <cell r="H4728">
            <v>5038201</v>
          </cell>
          <cell r="AK4728" t="str">
            <v>Leah Watson</v>
          </cell>
        </row>
        <row r="4729">
          <cell r="C4729" t="str">
            <v>MS_WM Ops_Digital and WF 2020</v>
          </cell>
          <cell r="H4729">
            <v>5038202</v>
          </cell>
          <cell r="AK4729" t="str">
            <v>Leah Watson</v>
          </cell>
        </row>
        <row r="4730">
          <cell r="C4730" t="str">
            <v>ValleyNat-Compliance Reviews</v>
          </cell>
          <cell r="H4730">
            <v>5037578</v>
          </cell>
          <cell r="AK4730" t="str">
            <v>Sandhya Shah</v>
          </cell>
        </row>
        <row r="4731">
          <cell r="C4731" t="str">
            <v>Jeff_Sybase Cloud PM Ex2</v>
          </cell>
          <cell r="H4731">
            <v>5038128</v>
          </cell>
          <cell r="AK4731" t="str">
            <v>Jeffrey Gheraldi</v>
          </cell>
        </row>
        <row r="4732">
          <cell r="C4732" t="str">
            <v>GS_IMD Team 2020</v>
          </cell>
          <cell r="H4732">
            <v>5038279</v>
          </cell>
          <cell r="AK4732" t="str">
            <v>Maximilian Mauro</v>
          </cell>
        </row>
        <row r="4733">
          <cell r="C4733" t="str">
            <v>Jeff_CRM Salesfrc Sol Arc 2020</v>
          </cell>
          <cell r="H4733">
            <v>5038123</v>
          </cell>
          <cell r="AK4733" t="str">
            <v>Aoife Hogan</v>
          </cell>
        </row>
        <row r="4734">
          <cell r="C4734" t="str">
            <v>MS_WM Ops_Tax &amp;Client Rep 2020</v>
          </cell>
          <cell r="H4734">
            <v>5038248</v>
          </cell>
          <cell r="AK4734" t="str">
            <v>Leah Watson</v>
          </cell>
        </row>
        <row r="4735">
          <cell r="C4735" t="str">
            <v>WM Ops_Governance 2020</v>
          </cell>
          <cell r="H4735">
            <v>5038204</v>
          </cell>
          <cell r="AK4735" t="str">
            <v>Leah Watson</v>
          </cell>
        </row>
        <row r="4736">
          <cell r="C4736" t="str">
            <v>FrMc_ODS R9 Amd 4 2020</v>
          </cell>
          <cell r="H4736">
            <v>5038145</v>
          </cell>
          <cell r="AK4736" t="str">
            <v>David Williams</v>
          </cell>
        </row>
        <row r="4737">
          <cell r="C4737" t="str">
            <v>Santander_CISO Gov SupRiskCom</v>
          </cell>
          <cell r="H4737">
            <v>5038178</v>
          </cell>
          <cell r="AK4737" t="str">
            <v>Ridha Mesli</v>
          </cell>
        </row>
        <row r="4738">
          <cell r="C4738" t="str">
            <v>UBS US DMP | DMO 2020</v>
          </cell>
          <cell r="H4738">
            <v>5037978</v>
          </cell>
          <cell r="AK4738" t="str">
            <v>Angela McGregor</v>
          </cell>
        </row>
        <row r="4739">
          <cell r="C4739" t="str">
            <v>Popular-Compliance Consulting</v>
          </cell>
          <cell r="H4739">
            <v>5038431</v>
          </cell>
          <cell r="AK4739" t="str">
            <v>Louvera Walden</v>
          </cell>
        </row>
        <row r="4740">
          <cell r="C4740" t="str">
            <v>Citi_Data Tracing 2020</v>
          </cell>
          <cell r="H4740">
            <v>5038193</v>
          </cell>
          <cell r="AK4740" t="str">
            <v>Robert Norris</v>
          </cell>
        </row>
        <row r="4741">
          <cell r="C4741" t="str">
            <v>UBS Project Reg BI Phase 2</v>
          </cell>
          <cell r="H4741">
            <v>5038089</v>
          </cell>
          <cell r="AK4741" t="str">
            <v>Matthew Berkowitz</v>
          </cell>
        </row>
        <row r="4742">
          <cell r="C4742" t="str">
            <v>GS QFC 2020</v>
          </cell>
          <cell r="H4742">
            <v>5038209</v>
          </cell>
          <cell r="AK4742" t="str">
            <v>Parul Chowdhry</v>
          </cell>
        </row>
        <row r="4743">
          <cell r="C4743" t="str">
            <v>HSBC_GBM-HSS PM</v>
          </cell>
          <cell r="H4743">
            <v>5038133</v>
          </cell>
          <cell r="AK4743" t="str">
            <v>Kevin Sajdak</v>
          </cell>
        </row>
        <row r="4744">
          <cell r="C4744" t="str">
            <v>Citi Aqua Program Management</v>
          </cell>
          <cell r="H4744">
            <v>5038247</v>
          </cell>
          <cell r="AK4744" t="str">
            <v>Robert Norris</v>
          </cell>
        </row>
        <row r="4745">
          <cell r="C4745" t="str">
            <v>HSBC_RSK-FRB DMA 2020</v>
          </cell>
          <cell r="H4745">
            <v>5038104</v>
          </cell>
          <cell r="AK4745" t="str">
            <v>Peter Brown</v>
          </cell>
        </row>
        <row r="4746">
          <cell r="C4746" t="str">
            <v>DB Condor 1Q20 Ext</v>
          </cell>
          <cell r="H4746">
            <v>5035800</v>
          </cell>
          <cell r="AK4746" t="str">
            <v>Phil Kerkel</v>
          </cell>
        </row>
        <row r="4747">
          <cell r="C4747" t="str">
            <v>5th3rd_Tier1CRM_2020</v>
          </cell>
          <cell r="H4747">
            <v>5038013</v>
          </cell>
          <cell r="AK4747" t="str">
            <v>Tulsi Mehta</v>
          </cell>
        </row>
        <row r="4748">
          <cell r="C4748" t="str">
            <v>FM_Value Verify Ext 2020</v>
          </cell>
          <cell r="H4748">
            <v>5038124</v>
          </cell>
          <cell r="AK4748" t="str">
            <v>Leah Cohen</v>
          </cell>
        </row>
        <row r="4749">
          <cell r="C4749" t="str">
            <v>MS CTB Reporting Strategy</v>
          </cell>
          <cell r="H4749">
            <v>5038388</v>
          </cell>
          <cell r="AK4749" t="str">
            <v>Robin Williams</v>
          </cell>
        </row>
        <row r="4750">
          <cell r="C4750" t="str">
            <v>UB_099_RB_CBT JiRA PM Sup Ph1</v>
          </cell>
          <cell r="H4750">
            <v>5038118</v>
          </cell>
          <cell r="AK4750" t="str">
            <v>Samuel Awsumb</v>
          </cell>
        </row>
        <row r="4751">
          <cell r="C4751" t="str">
            <v>JPMC_DT Trainer Program Part 2</v>
          </cell>
          <cell r="H4751">
            <v>5038648</v>
          </cell>
          <cell r="AK4751" t="str">
            <v>Swati Balakrishnan</v>
          </cell>
        </row>
        <row r="4752">
          <cell r="C4752" t="str">
            <v>NT FX MM P1</v>
          </cell>
          <cell r="H4752">
            <v>5038022</v>
          </cell>
          <cell r="AK4752" t="str">
            <v>Tulsi Mehta</v>
          </cell>
        </row>
        <row r="4753">
          <cell r="C4753" t="str">
            <v>UB_097_RB_Cust Journey Aug</v>
          </cell>
          <cell r="H4753">
            <v>5038080</v>
          </cell>
          <cell r="AK4753" t="str">
            <v>Samuel Awsumb</v>
          </cell>
        </row>
        <row r="4754">
          <cell r="C4754" t="str">
            <v>GS_CorporateCashPayments Ctrl</v>
          </cell>
          <cell r="H4754">
            <v>5038153</v>
          </cell>
          <cell r="AK4754" t="str">
            <v>Ruben Sooriya</v>
          </cell>
        </row>
        <row r="4755">
          <cell r="C4755" t="str">
            <v>BRAD_BROK_PM New Model Impl IN</v>
          </cell>
          <cell r="H4755">
            <v>5038057</v>
          </cell>
          <cell r="AK4755" t="str">
            <v>Andre Becker</v>
          </cell>
        </row>
        <row r="4756">
          <cell r="C4756" t="str">
            <v>LLB_Data Acceleration</v>
          </cell>
          <cell r="H4756">
            <v>5038405</v>
          </cell>
          <cell r="AK4756" t="str">
            <v>Aditya Udas</v>
          </cell>
        </row>
        <row r="4757">
          <cell r="C4757" t="str">
            <v>EGM - BBT | Amex Delivery</v>
          </cell>
          <cell r="H4757">
            <v>5038056</v>
          </cell>
          <cell r="AK4757" t="str">
            <v>Bryan Olson</v>
          </cell>
        </row>
        <row r="4758">
          <cell r="C4758" t="str">
            <v>CentBankAR-Flood Review</v>
          </cell>
          <cell r="H4758">
            <v>5038230</v>
          </cell>
          <cell r="AK4758" t="str">
            <v>Randall Patton</v>
          </cell>
        </row>
        <row r="4759">
          <cell r="C4759" t="str">
            <v>BRAD_BROK_PM New Model Impl IN</v>
          </cell>
          <cell r="H4759">
            <v>5038057</v>
          </cell>
          <cell r="AK4759" t="str">
            <v>Andre Becker</v>
          </cell>
        </row>
        <row r="4760">
          <cell r="C4760" t="str">
            <v>SVB_Recruitment Strategy 2020</v>
          </cell>
          <cell r="H4760">
            <v>5038137</v>
          </cell>
          <cell r="AK4760" t="str">
            <v>Michael Tao</v>
          </cell>
        </row>
        <row r="4761">
          <cell r="C4761" t="str">
            <v>MainSource Bank_RAS</v>
          </cell>
          <cell r="H4761">
            <v>5039641</v>
          </cell>
          <cell r="AK4761" t="str">
            <v>Diane Banks</v>
          </cell>
        </row>
        <row r="4762">
          <cell r="C4762" t="str">
            <v>CC5 HMDA 2019 Addendum</v>
          </cell>
          <cell r="H4762">
            <v>5038332</v>
          </cell>
          <cell r="AK4762" t="str">
            <v>Juan Pimentel</v>
          </cell>
        </row>
        <row r="4763">
          <cell r="C4763" t="str">
            <v>HSBC_CMB CC RePlat 2020</v>
          </cell>
          <cell r="H4763">
            <v>5038042</v>
          </cell>
          <cell r="AK4763" t="str">
            <v>Kevin Sajdak</v>
          </cell>
        </row>
        <row r="4764">
          <cell r="C4764" t="str">
            <v>First State-HMDA Scrub</v>
          </cell>
          <cell r="H4764">
            <v>5038229</v>
          </cell>
          <cell r="AK4764" t="str">
            <v>Steve Manitzas</v>
          </cell>
        </row>
        <row r="4765">
          <cell r="C4765" t="str">
            <v>LLB_Cybersecurity Assessment</v>
          </cell>
          <cell r="H4765">
            <v>5038407</v>
          </cell>
          <cell r="AK4765" t="str">
            <v>Boris Mallet</v>
          </cell>
        </row>
        <row r="4766">
          <cell r="C4766" t="str">
            <v>Jeff_CRM II Campaign</v>
          </cell>
          <cell r="H4766">
            <v>5038585</v>
          </cell>
          <cell r="AK4766" t="str">
            <v>Aoife Hogan</v>
          </cell>
        </row>
        <row r="4767">
          <cell r="C4767" t="str">
            <v>SVB IT Org. Strategy</v>
          </cell>
          <cell r="H4767">
            <v>5038227</v>
          </cell>
          <cell r="AK4767" t="str">
            <v>Aditya Taneja</v>
          </cell>
        </row>
        <row r="4768">
          <cell r="C4768" t="str">
            <v>HSBC_GBM-SalesForce BA</v>
          </cell>
          <cell r="H4768">
            <v>5038267</v>
          </cell>
          <cell r="AK4768" t="str">
            <v>Kevin Sajdak</v>
          </cell>
        </row>
        <row r="4769">
          <cell r="C4769" t="str">
            <v>CentBankAR-HMDA Scrub</v>
          </cell>
          <cell r="H4769">
            <v>5038225</v>
          </cell>
          <cell r="AK4769" t="str">
            <v>Juan Pimentel</v>
          </cell>
        </row>
        <row r="4770">
          <cell r="C4770" t="str">
            <v>Calhoun Banks_RAS</v>
          </cell>
          <cell r="H4770">
            <v>5039458</v>
          </cell>
          <cell r="AK4770" t="str">
            <v>Rebecca Breland</v>
          </cell>
        </row>
        <row r="4771">
          <cell r="C4771" t="str">
            <v>WF_Workforce Rationalization</v>
          </cell>
          <cell r="H4771">
            <v>5038375</v>
          </cell>
          <cell r="AK4771" t="str">
            <v>John Geertsema</v>
          </cell>
        </row>
        <row r="4772">
          <cell r="C4772" t="str">
            <v>API_Digital Bank Squad Deploy</v>
          </cell>
          <cell r="H4772">
            <v>5038143</v>
          </cell>
          <cell r="AK4772" t="str">
            <v>Kevin Miologos</v>
          </cell>
        </row>
        <row r="4773">
          <cell r="C4773" t="str">
            <v>Har-Co Maryland FCU_RAS</v>
          </cell>
          <cell r="H4773">
            <v>5039511</v>
          </cell>
          <cell r="AK4773" t="str">
            <v>Diane Banks</v>
          </cell>
        </row>
        <row r="4774">
          <cell r="C4774" t="str">
            <v>JeffEq Tech Design and Dev Ext</v>
          </cell>
          <cell r="H4774">
            <v>5038408</v>
          </cell>
          <cell r="AK4774" t="str">
            <v>Jeffrey Gheraldi</v>
          </cell>
        </row>
        <row r="4775">
          <cell r="C4775" t="str">
            <v>Westchester Bank_RAS</v>
          </cell>
          <cell r="H4775">
            <v>5039564</v>
          </cell>
          <cell r="AK4775" t="str">
            <v>Travis Peraza</v>
          </cell>
        </row>
        <row r="4776">
          <cell r="C4776" t="str">
            <v>Census FCU-IT Gen Cont Audit</v>
          </cell>
          <cell r="H4776">
            <v>5038160</v>
          </cell>
          <cell r="AK4776" t="str">
            <v>Robert Farmer</v>
          </cell>
        </row>
        <row r="4777">
          <cell r="C4777" t="str">
            <v>N26-BSAAML Systems Review</v>
          </cell>
          <cell r="H4777">
            <v>5038545</v>
          </cell>
          <cell r="AK4777" t="str">
            <v>William Sachs</v>
          </cell>
        </row>
        <row r="4778">
          <cell r="C4778" t="str">
            <v>ValleyNat-Compliance Content</v>
          </cell>
          <cell r="H4778">
            <v>5038237</v>
          </cell>
          <cell r="AK4778" t="str">
            <v>Tania Makuh</v>
          </cell>
        </row>
        <row r="4779">
          <cell r="C4779" t="str">
            <v>ValleyNat-Compl Consulting</v>
          </cell>
          <cell r="H4779">
            <v>5038238</v>
          </cell>
          <cell r="AK4779" t="str">
            <v>Tania Makuh</v>
          </cell>
        </row>
        <row r="4780">
          <cell r="C4780" t="str">
            <v>BSA AML Alert Clearing</v>
          </cell>
          <cell r="H4780">
            <v>5036996</v>
          </cell>
          <cell r="AK4780" t="str">
            <v>Kristi Hegert</v>
          </cell>
        </row>
        <row r="4781">
          <cell r="C4781" t="str">
            <v>UB_094_RB_PMaaS_ex1</v>
          </cell>
          <cell r="H4781">
            <v>5038282</v>
          </cell>
          <cell r="AK4781" t="str">
            <v>Samuel Awsumb</v>
          </cell>
        </row>
        <row r="4782">
          <cell r="C4782" t="str">
            <v>Intrust Financial Corp_RAS</v>
          </cell>
          <cell r="H4782">
            <v>5039672</v>
          </cell>
          <cell r="AK4782" t="str">
            <v>Travis Peraza</v>
          </cell>
        </row>
        <row r="4783">
          <cell r="C4783" t="str">
            <v>SVB_GW Research 2020</v>
          </cell>
          <cell r="H4783">
            <v>5038176</v>
          </cell>
          <cell r="AK4783" t="str">
            <v>Michael Tao</v>
          </cell>
        </row>
        <row r="4784">
          <cell r="C4784" t="str">
            <v>SVB_IT Recruitment Strategy</v>
          </cell>
          <cell r="H4784">
            <v>5038365</v>
          </cell>
          <cell r="AK4784" t="str">
            <v>Chinmoy Bhatiya</v>
          </cell>
        </row>
        <row r="4785">
          <cell r="C4785" t="str">
            <v>Jeff_GCTAC QA Extension</v>
          </cell>
          <cell r="H4785">
            <v>5038344</v>
          </cell>
          <cell r="AK4785" t="str">
            <v>Jon Herna</v>
          </cell>
        </row>
        <row r="4786">
          <cell r="C4786" t="str">
            <v>FrMc_SF E2E Data SN</v>
          </cell>
          <cell r="H4786">
            <v>5038086</v>
          </cell>
          <cell r="AK4786" t="str">
            <v>Ramnish Gupta</v>
          </cell>
        </row>
        <row r="4787">
          <cell r="C4787" t="str">
            <v>FrMc_WorkloadMigration (AMD 4)</v>
          </cell>
          <cell r="H4787">
            <v>5035007</v>
          </cell>
          <cell r="AK4787" t="str">
            <v>Pranav Mehan</v>
          </cell>
        </row>
        <row r="4788">
          <cell r="C4788" t="str">
            <v>HAR-CO CMS Support</v>
          </cell>
          <cell r="H4788">
            <v>5038598</v>
          </cell>
          <cell r="AK4788" t="str">
            <v>W. Annette Dredden</v>
          </cell>
        </row>
        <row r="4789">
          <cell r="C4789" t="str">
            <v>5th3rd_UMR Assess_Ext</v>
          </cell>
          <cell r="H4789">
            <v>5037344</v>
          </cell>
          <cell r="AK4789" t="str">
            <v>Korey Reynolds</v>
          </cell>
        </row>
        <row r="4790">
          <cell r="C4790" t="str">
            <v>VMO Reassessment Coordination</v>
          </cell>
          <cell r="H4790">
            <v>5038185</v>
          </cell>
          <cell r="AK4790" t="str">
            <v>Betsy Cherian</v>
          </cell>
        </row>
        <row r="4791">
          <cell r="C4791" t="str">
            <v>Cent Bank CRA Data Rev Q3, Q4</v>
          </cell>
          <cell r="H4791">
            <v>5038351</v>
          </cell>
          <cell r="AK4791" t="str">
            <v>Randall Patton</v>
          </cell>
        </row>
        <row r="4792">
          <cell r="C4792" t="str">
            <v>Cornerstone Lending Review</v>
          </cell>
          <cell r="H4792">
            <v>5038386</v>
          </cell>
          <cell r="AK4792" t="str">
            <v>Bonita Riccaboni</v>
          </cell>
        </row>
        <row r="4793">
          <cell r="C4793" t="str">
            <v>TrustCo-Compliance Consulting</v>
          </cell>
          <cell r="H4793">
            <v>5038993</v>
          </cell>
          <cell r="AK4793" t="str">
            <v>Mary Louise Radley</v>
          </cell>
        </row>
        <row r="4794">
          <cell r="C4794" t="str">
            <v>UB_101_RB_Kodiak SR PM ph2</v>
          </cell>
          <cell r="H4794">
            <v>5038261</v>
          </cell>
          <cell r="AK4794" t="str">
            <v>Samuel Awsumb</v>
          </cell>
        </row>
        <row r="4795">
          <cell r="C4795" t="str">
            <v>RTS_Tech Roadmap</v>
          </cell>
          <cell r="H4795">
            <v>5038352</v>
          </cell>
          <cell r="AK4795" t="str">
            <v>Yola Yu</v>
          </cell>
        </row>
        <row r="4796">
          <cell r="C4796" t="str">
            <v>CB_MRA Remediation</v>
          </cell>
          <cell r="H4796">
            <v>5038390</v>
          </cell>
          <cell r="AK4796" t="str">
            <v>Andrew Dearman</v>
          </cell>
        </row>
        <row r="4797">
          <cell r="C4797" t="str">
            <v>Jeff_Transcend Project Manager</v>
          </cell>
          <cell r="H4797">
            <v>5038357</v>
          </cell>
          <cell r="AK4797" t="str">
            <v>Jon Herna</v>
          </cell>
        </row>
        <row r="4798">
          <cell r="C4798" t="str">
            <v>WF_Retail Transform Prgrm</v>
          </cell>
          <cell r="H4798">
            <v>5038376</v>
          </cell>
          <cell r="AK4798" t="str">
            <v>James Kane</v>
          </cell>
        </row>
        <row r="4799">
          <cell r="C4799" t="str">
            <v>FrMc_Ent Ops Anlst Support</v>
          </cell>
          <cell r="H4799">
            <v>5038377</v>
          </cell>
          <cell r="AK4799" t="str">
            <v>Christopher Martines</v>
          </cell>
        </row>
        <row r="4800">
          <cell r="C4800" t="str">
            <v>PBNA_Corp Governc Rmdtion</v>
          </cell>
          <cell r="H4800">
            <v>5036184</v>
          </cell>
          <cell r="AK4800" t="str">
            <v>Mariana Dumanovsky</v>
          </cell>
        </row>
        <row r="4801">
          <cell r="C4801" t="str">
            <v>SVB_Recruitment Strat 2020 EXT</v>
          </cell>
          <cell r="H4801">
            <v>5038137</v>
          </cell>
          <cell r="AK4801" t="str">
            <v>Michael Tao</v>
          </cell>
        </row>
        <row r="4802">
          <cell r="C4802" t="str">
            <v>Cent Bank TRID Review 2019</v>
          </cell>
          <cell r="H4802">
            <v>5038350</v>
          </cell>
          <cell r="AK4802" t="str">
            <v>Randall Patton</v>
          </cell>
        </row>
        <row r="4803">
          <cell r="C4803" t="str">
            <v>Happy State-HMDA Monitoring</v>
          </cell>
          <cell r="H4803">
            <v>5038403</v>
          </cell>
          <cell r="AK4803" t="str">
            <v>Juan Pimentel</v>
          </cell>
        </row>
        <row r="4804">
          <cell r="C4804" t="str">
            <v>DB_CB T4O Team 2020 (Wave 1)</v>
          </cell>
          <cell r="H4804">
            <v>5038971</v>
          </cell>
          <cell r="AK4804" t="str">
            <v>Sandra Paris</v>
          </cell>
        </row>
        <row r="4805">
          <cell r="C4805" t="str">
            <v>OceanFirst - CFPB Gap Analysis</v>
          </cell>
          <cell r="H4805">
            <v>5038521</v>
          </cell>
          <cell r="AK4805" t="str">
            <v>Gail Rassler</v>
          </cell>
        </row>
        <row r="4806">
          <cell r="C4806" t="str">
            <v>BlueHub-Compliance Consulting</v>
          </cell>
          <cell r="H4806">
            <v>5038584</v>
          </cell>
          <cell r="AK4806" t="str">
            <v>Louvera Walden</v>
          </cell>
        </row>
        <row r="4807">
          <cell r="C4807" t="str">
            <v>Aura Mortgage Advisors LL_RAS</v>
          </cell>
          <cell r="H4807">
            <v>5039454</v>
          </cell>
          <cell r="AK4807" t="str">
            <v>Rebecca Breland</v>
          </cell>
        </row>
        <row r="4808">
          <cell r="C4808" t="str">
            <v>MSB _BSA AML OFAC Audit</v>
          </cell>
          <cell r="H4808">
            <v>5038555</v>
          </cell>
          <cell r="AK4808" t="str">
            <v>Charles Mcwilliam</v>
          </cell>
        </row>
        <row r="4809">
          <cell r="C4809" t="str">
            <v>Jeff_ION Support (US)</v>
          </cell>
          <cell r="H4809">
            <v>5038544</v>
          </cell>
          <cell r="AK4809" t="str">
            <v>Chelsea Mattias</v>
          </cell>
        </row>
        <row r="4810">
          <cell r="C4810" t="str">
            <v>SBD_Compliace Mngmnt System</v>
          </cell>
          <cell r="H4810">
            <v>5038491</v>
          </cell>
          <cell r="AK4810" t="str">
            <v>Mariana Dumanovsky</v>
          </cell>
        </row>
        <row r="4811">
          <cell r="C4811" t="str">
            <v>GS RegOps CFTC</v>
          </cell>
          <cell r="H4811">
            <v>5038209</v>
          </cell>
          <cell r="AK4811" t="str">
            <v>Parul Chowdhry</v>
          </cell>
        </row>
        <row r="4812">
          <cell r="C4812" t="str">
            <v>Citi_FRM extension</v>
          </cell>
          <cell r="H4812">
            <v>5038581</v>
          </cell>
          <cell r="AK4812" t="str">
            <v>Sergio Canales</v>
          </cell>
        </row>
        <row r="4813">
          <cell r="C4813" t="str">
            <v>Harbor Bank-CMS Support</v>
          </cell>
          <cell r="H4813">
            <v>5038627</v>
          </cell>
          <cell r="AK4813" t="str">
            <v>W. Annette Dredden</v>
          </cell>
        </row>
        <row r="4814">
          <cell r="C4814" t="str">
            <v>FrMc_MF GBS Risk Management</v>
          </cell>
          <cell r="H4814">
            <v>5038432</v>
          </cell>
          <cell r="AK4814" t="str">
            <v>Michael Mathew</v>
          </cell>
        </row>
        <row r="4815">
          <cell r="C4815" t="str">
            <v>Harford Bank-HMDA Scrub</v>
          </cell>
          <cell r="H4815">
            <v>5038231</v>
          </cell>
          <cell r="AK4815" t="str">
            <v>W. Annette Dredden</v>
          </cell>
        </row>
        <row r="4816">
          <cell r="C4816" t="str">
            <v>Gateway Bank F S B _RAS</v>
          </cell>
          <cell r="H4816">
            <v>5039505</v>
          </cell>
          <cell r="AK4816" t="str">
            <v>Travis Peraza</v>
          </cell>
        </row>
        <row r="4817">
          <cell r="C4817" t="str">
            <v>Walden Savings Bank_RAS</v>
          </cell>
          <cell r="H4817">
            <v>5039571</v>
          </cell>
          <cell r="AK4817" t="str">
            <v>Diane Banks</v>
          </cell>
        </row>
        <row r="4818">
          <cell r="C4818" t="str">
            <v>State Bank Financial_RAS</v>
          </cell>
          <cell r="H4818">
            <v>5039553</v>
          </cell>
          <cell r="AK4818" t="str">
            <v>Diane Banks</v>
          </cell>
        </row>
        <row r="4819">
          <cell r="C4819" t="str">
            <v>BFB_FairLendingRiskAssessment</v>
          </cell>
          <cell r="H4819">
            <v>5038603</v>
          </cell>
          <cell r="AK4819" t="str">
            <v>Bonita Riccaboni</v>
          </cell>
        </row>
        <row r="4820">
          <cell r="C4820" t="str">
            <v>Watertown Savings Bank_RAS</v>
          </cell>
          <cell r="H4820">
            <v>5039572</v>
          </cell>
          <cell r="AK4820" t="str">
            <v>Diane Banks</v>
          </cell>
        </row>
        <row r="4821">
          <cell r="C4821" t="str">
            <v>Merchants &amp; Planters Bank_RAS</v>
          </cell>
          <cell r="H4821">
            <v>5039525</v>
          </cell>
          <cell r="AK4821" t="str">
            <v>Diane Banks</v>
          </cell>
        </row>
        <row r="4822">
          <cell r="C4822" t="str">
            <v>FrMc_Change Management</v>
          </cell>
          <cell r="H4822">
            <v>5038364</v>
          </cell>
          <cell r="AK4822" t="str">
            <v>Sabrina Amjad</v>
          </cell>
        </row>
        <row r="4823">
          <cell r="C4823" t="str">
            <v>Ironworkers-IT Risk Assmnts</v>
          </cell>
          <cell r="H4823">
            <v>5038287</v>
          </cell>
          <cell r="AK4823" t="str">
            <v>Robert Farmer</v>
          </cell>
        </row>
        <row r="4824">
          <cell r="C4824" t="str">
            <v>MTVB-Compliane Audit</v>
          </cell>
          <cell r="H4824">
            <v>5038490</v>
          </cell>
          <cell r="AK4824" t="str">
            <v>David Stalnaker</v>
          </cell>
        </row>
        <row r="4825">
          <cell r="C4825" t="str">
            <v>UBS US WMAP H1 2020</v>
          </cell>
          <cell r="H4825">
            <v>5038821</v>
          </cell>
          <cell r="AK4825" t="str">
            <v>Angela McGregor</v>
          </cell>
        </row>
        <row r="4826">
          <cell r="C4826" t="str">
            <v>The Harbor Bank of Marylan_RAS</v>
          </cell>
          <cell r="H4826">
            <v>5039563</v>
          </cell>
          <cell r="AK4826" t="str">
            <v>Rebecca Breland</v>
          </cell>
        </row>
        <row r="4827">
          <cell r="C4827" t="str">
            <v>Loan Servicing</v>
          </cell>
          <cell r="H4827">
            <v>5037287</v>
          </cell>
          <cell r="AK4827" t="str">
            <v>Mariana Dumanovsky</v>
          </cell>
        </row>
        <row r="4828">
          <cell r="C4828" t="str">
            <v>Lakeland Bank_RAS</v>
          </cell>
          <cell r="H4828">
            <v>5039519</v>
          </cell>
          <cell r="AK4828" t="str">
            <v>Rebecca Breland</v>
          </cell>
        </row>
        <row r="4829">
          <cell r="C4829" t="str">
            <v>Enterprise Bank &amp; Trust_RAS</v>
          </cell>
          <cell r="H4829">
            <v>5039484</v>
          </cell>
          <cell r="AK4829" t="str">
            <v>Diane Banks</v>
          </cell>
        </row>
        <row r="4830">
          <cell r="C4830" t="str">
            <v>Centennial Bank_HMDA Training</v>
          </cell>
          <cell r="H4830">
            <v>5038592</v>
          </cell>
          <cell r="AK4830" t="str">
            <v>Diane Banks</v>
          </cell>
        </row>
        <row r="4831">
          <cell r="C4831" t="str">
            <v>WSB_CMS Optimizer</v>
          </cell>
          <cell r="H4831">
            <v>5038525</v>
          </cell>
          <cell r="AK4831" t="str">
            <v>Mariana Dumanovsky</v>
          </cell>
        </row>
        <row r="4832">
          <cell r="C4832" t="str">
            <v>FNB Elmer CMS Support</v>
          </cell>
          <cell r="H4832">
            <v>5038593</v>
          </cell>
          <cell r="AK4832" t="str">
            <v>Elizabeth Rozsa</v>
          </cell>
        </row>
        <row r="4833">
          <cell r="C4833" t="str">
            <v>CTCB CMS Optimizer</v>
          </cell>
          <cell r="H4833">
            <v>5038468</v>
          </cell>
          <cell r="AK4833" t="str">
            <v>Mary Louise Radley</v>
          </cell>
        </row>
        <row r="4834">
          <cell r="C4834" t="str">
            <v>Jeff_CRM Salesforce UI UX 2020</v>
          </cell>
          <cell r="AK4834" t="str">
            <v>Ripple Bhullar</v>
          </cell>
        </row>
        <row r="4835">
          <cell r="C4835" t="str">
            <v>MS-Illiquid Alts Remedtion _EX</v>
          </cell>
          <cell r="H4835">
            <v>5038148</v>
          </cell>
          <cell r="AK4835" t="str">
            <v>Alexander Collyer</v>
          </cell>
        </row>
        <row r="4836">
          <cell r="C4836" t="str">
            <v>Additional Hours to CMS</v>
          </cell>
          <cell r="H4836">
            <v>5031737</v>
          </cell>
          <cell r="AK4836" t="str">
            <v>Mariana Dumanovsky</v>
          </cell>
        </row>
        <row r="4837">
          <cell r="C4837" t="str">
            <v>BSA AML Alert Clearing</v>
          </cell>
          <cell r="H4837">
            <v>5036996</v>
          </cell>
          <cell r="AK4837" t="str">
            <v>Kristi Hegert</v>
          </cell>
        </row>
        <row r="4838">
          <cell r="C4838" t="str">
            <v>UBS WMAP-Readiness Support</v>
          </cell>
          <cell r="H4838">
            <v>5038449</v>
          </cell>
          <cell r="AK4838" t="str">
            <v>James St. Jean</v>
          </cell>
        </row>
        <row r="4839">
          <cell r="C4839" t="str">
            <v>GLIC - ESD Strategic Planning</v>
          </cell>
          <cell r="H4839">
            <v>5038469</v>
          </cell>
          <cell r="AK4839" t="str">
            <v>Robin Williams</v>
          </cell>
        </row>
        <row r="4840">
          <cell r="C4840" t="str">
            <v>Jeff Emp Hierarchy Analyst Ext</v>
          </cell>
          <cell r="H4840">
            <v>5038542</v>
          </cell>
          <cell r="AK4840" t="str">
            <v>Jeffrey Gheraldi</v>
          </cell>
        </row>
        <row r="4841">
          <cell r="C4841" t="str">
            <v>UB_095_CBT RCM Sup Ph1</v>
          </cell>
          <cell r="H4841">
            <v>5038470</v>
          </cell>
          <cell r="AK4841" t="str">
            <v>Samuel Awsumb</v>
          </cell>
        </row>
        <row r="4842">
          <cell r="C4842" t="str">
            <v>BB_Lightstream SA Support</v>
          </cell>
          <cell r="H4842">
            <v>5038471</v>
          </cell>
          <cell r="AK4842" t="str">
            <v>Luke Penca</v>
          </cell>
        </row>
        <row r="4843">
          <cell r="C4843" t="str">
            <v>Baltimore-2019 HMDA LAR Review</v>
          </cell>
          <cell r="H4843">
            <v>5038466</v>
          </cell>
          <cell r="AK4843" t="str">
            <v>W. Annette Dredden</v>
          </cell>
        </row>
        <row r="4844">
          <cell r="C4844" t="str">
            <v>GS Tax Outsourcing Part I</v>
          </cell>
          <cell r="H4844">
            <v>5038453</v>
          </cell>
          <cell r="AK4844" t="str">
            <v>Robert Norris</v>
          </cell>
        </row>
        <row r="4845">
          <cell r="C4845" t="str">
            <v>MS_WM Ops_Digital and WF - new HC</v>
          </cell>
          <cell r="H4845">
            <v>5038202</v>
          </cell>
          <cell r="AK4845" t="str">
            <v>Leah Watson</v>
          </cell>
        </row>
        <row r="4846">
          <cell r="C4846" t="str">
            <v>BMO Harris_Dev POD bridge</v>
          </cell>
          <cell r="H4846">
            <v>5038457</v>
          </cell>
          <cell r="AK4846" t="str">
            <v>Nick Hufford</v>
          </cell>
        </row>
        <row r="4847">
          <cell r="C4847" t="str">
            <v>Jeff Comp Surv Analyst Ext</v>
          </cell>
          <cell r="H4847">
            <v>5038442</v>
          </cell>
          <cell r="AK4847" t="str">
            <v>Jeffrey Gheraldi</v>
          </cell>
        </row>
        <row r="4848">
          <cell r="C4848" t="str">
            <v>Seaside National Bank &amp; Tr_RAS</v>
          </cell>
          <cell r="H4848">
            <v>5039548</v>
          </cell>
          <cell r="AK4848" t="str">
            <v>Travis Peraza</v>
          </cell>
        </row>
        <row r="4849">
          <cell r="C4849" t="str">
            <v>RMSC Alert Clearing</v>
          </cell>
          <cell r="H4849">
            <v>5036856</v>
          </cell>
          <cell r="AK4849" t="str">
            <v>Jonathan Hunt</v>
          </cell>
        </row>
        <row r="4850">
          <cell r="C4850" t="str">
            <v>Jeff_RPA Sec Fin Extension</v>
          </cell>
          <cell r="H4850">
            <v>5038478</v>
          </cell>
          <cell r="AK4850" t="str">
            <v>Michelle Leon</v>
          </cell>
        </row>
        <row r="4851">
          <cell r="C4851" t="str">
            <v>Jefferies IT PM Sourcing 2020</v>
          </cell>
          <cell r="H4851">
            <v>5038590</v>
          </cell>
          <cell r="AK4851" t="str">
            <v>Jeffrey Gheraldi</v>
          </cell>
        </row>
        <row r="4852">
          <cell r="C4852" t="str">
            <v>UB_103_Digital PSRA Sup</v>
          </cell>
          <cell r="H4852">
            <v>5038433</v>
          </cell>
          <cell r="AK4852" t="str">
            <v>Cheri Warner</v>
          </cell>
        </row>
        <row r="4853">
          <cell r="C4853" t="str">
            <v>FIS_Worldpay IAM PM</v>
          </cell>
          <cell r="H4853">
            <v>5038423</v>
          </cell>
          <cell r="AK4853" t="str">
            <v>Matthew Faraone</v>
          </cell>
        </row>
        <row r="4854">
          <cell r="C4854" t="str">
            <v>RISC Strategy Def&amp;Exec</v>
          </cell>
          <cell r="H4854">
            <v>5038676</v>
          </cell>
          <cell r="AK4854" t="str">
            <v>Jeanette Rodriguez</v>
          </cell>
        </row>
        <row r="4855">
          <cell r="C4855" t="str">
            <v>Unqork 2020 Delivery</v>
          </cell>
          <cell r="H4855">
            <v>5038509</v>
          </cell>
          <cell r="AK4855" t="str">
            <v>Phil Kerkel</v>
          </cell>
        </row>
        <row r="4856">
          <cell r="C4856" t="str">
            <v>Financial Resources Federa_RAS</v>
          </cell>
          <cell r="H4856">
            <v>5039488</v>
          </cell>
          <cell r="AK4856" t="str">
            <v>Travis Peraza</v>
          </cell>
        </row>
        <row r="4857">
          <cell r="C4857" t="str">
            <v>UBS_Liquidity Risk</v>
          </cell>
          <cell r="H4857">
            <v>5038654</v>
          </cell>
          <cell r="AK4857" t="str">
            <v>Matthew Faraone</v>
          </cell>
        </row>
        <row r="4858">
          <cell r="C4858" t="str">
            <v>BlueHub-BSA Support</v>
          </cell>
          <cell r="H4858">
            <v>5038553</v>
          </cell>
          <cell r="AK4858" t="str">
            <v>Jonathan Hunt</v>
          </cell>
        </row>
        <row r="4859">
          <cell r="C4859" t="str">
            <v>Bryn Mawr-Flood Review</v>
          </cell>
          <cell r="H4859">
            <v>5038515</v>
          </cell>
          <cell r="AK4859" t="str">
            <v>Bonita Riccaboni</v>
          </cell>
        </row>
        <row r="4860">
          <cell r="C4860" t="str">
            <v>MS_PBO RTB Incremental</v>
          </cell>
          <cell r="H4860">
            <v>5038228</v>
          </cell>
          <cell r="AK4860" t="str">
            <v>Kaz Pattni</v>
          </cell>
        </row>
        <row r="4861">
          <cell r="C4861" t="str">
            <v>FrdMc_MF Keychain</v>
          </cell>
          <cell r="H4861">
            <v>5038523</v>
          </cell>
          <cell r="AK4861" t="str">
            <v>David Williams</v>
          </cell>
        </row>
        <row r="4862">
          <cell r="C4862" t="str">
            <v>River City Bank_RAS</v>
          </cell>
          <cell r="H4862">
            <v>5039715</v>
          </cell>
          <cell r="AK4862" t="str">
            <v>Travis Peraza</v>
          </cell>
        </row>
        <row r="4863">
          <cell r="C4863" t="str">
            <v>Watertown-ComplianceConsulting</v>
          </cell>
          <cell r="H4863">
            <v>5038643</v>
          </cell>
          <cell r="AK4863" t="str">
            <v>Leigh Tribou</v>
          </cell>
        </row>
        <row r="4864">
          <cell r="C4864" t="str">
            <v>Jeff EBS Compliance Analyst</v>
          </cell>
          <cell r="H4864">
            <v>5038587</v>
          </cell>
          <cell r="AK4864" t="str">
            <v>Jeffrey Gheraldi</v>
          </cell>
        </row>
        <row r="4865">
          <cell r="C4865" t="str">
            <v>WF_CIB Reg &amp; Risk Change</v>
          </cell>
          <cell r="H4865">
            <v>5038740</v>
          </cell>
          <cell r="AK4865" t="str">
            <v>Edward Kelley</v>
          </cell>
        </row>
        <row r="4866">
          <cell r="C4866" t="str">
            <v>WF_CIB Reg &amp; Risk Change</v>
          </cell>
          <cell r="H4866">
            <v>5038740</v>
          </cell>
          <cell r="AK4866" t="str">
            <v>Edward Kelley</v>
          </cell>
        </row>
        <row r="4867">
          <cell r="C4867" t="str">
            <v>Sura_IC Implementation</v>
          </cell>
          <cell r="H4867">
            <v>5038663</v>
          </cell>
          <cell r="AK4867" t="str">
            <v>Benjamin Kornblum</v>
          </cell>
        </row>
        <row r="4868">
          <cell r="C4868" t="str">
            <v>Cent Bank-Reg E &amp; ACH</v>
          </cell>
          <cell r="H4868">
            <v>5038601</v>
          </cell>
          <cell r="AK4868" t="str">
            <v>Randall Patton</v>
          </cell>
        </row>
        <row r="4869">
          <cell r="C4869" t="str">
            <v>Golden1-Compliance Monitoring</v>
          </cell>
          <cell r="H4869">
            <v>5038528</v>
          </cell>
          <cell r="AK4869" t="str">
            <v>Dennis Smith</v>
          </cell>
        </row>
        <row r="4870">
          <cell r="C4870" t="str">
            <v>Jeff_Junior BA-FX System Flow</v>
          </cell>
          <cell r="H4870">
            <v>5038586</v>
          </cell>
          <cell r="AK4870" t="str">
            <v>Conor Dowling</v>
          </cell>
        </row>
        <row r="4871">
          <cell r="C4871" t="str">
            <v>093_RB_FDIC370 Support EXT</v>
          </cell>
          <cell r="H4871">
            <v>5037658</v>
          </cell>
          <cell r="AK4871" t="str">
            <v>George Simotas</v>
          </cell>
        </row>
        <row r="4872">
          <cell r="C4872" t="str">
            <v>MS-Illiquid Alts Remedtion EX2</v>
          </cell>
          <cell r="H4872">
            <v>5038148</v>
          </cell>
          <cell r="AK4872" t="str">
            <v>Alexander Collyer</v>
          </cell>
        </row>
        <row r="4873">
          <cell r="C4873" t="str">
            <v>Danbury-Flood Ins Remed Amd</v>
          </cell>
          <cell r="H4873">
            <v>5038099</v>
          </cell>
          <cell r="AK4873" t="str">
            <v>Mariana Dumanovsky</v>
          </cell>
        </row>
        <row r="4874">
          <cell r="C4874" t="str">
            <v>WSFS- Fraud_Phys Sec OrgRvw</v>
          </cell>
          <cell r="H4874">
            <v>5038497</v>
          </cell>
          <cell r="AK4874" t="str">
            <v>Mary Louise Radley</v>
          </cell>
        </row>
        <row r="4875">
          <cell r="C4875" t="str">
            <v>Jeff_Salesforce IB Control Rm</v>
          </cell>
          <cell r="H4875">
            <v>5038589</v>
          </cell>
          <cell r="AK4875" t="str">
            <v>Ripple Bhullar</v>
          </cell>
        </row>
        <row r="4876">
          <cell r="C4876" t="str">
            <v>MS Wealth Mgmt UAT - IP</v>
          </cell>
          <cell r="H4876">
            <v>5038688</v>
          </cell>
          <cell r="AK4876" t="str">
            <v>Rohini Bhatia</v>
          </cell>
        </row>
        <row r="4877">
          <cell r="C4877" t="str">
            <v>Case Clearing</v>
          </cell>
          <cell r="H4877">
            <v>5036996</v>
          </cell>
          <cell r="AK4877" t="str">
            <v>Kristi Hegert</v>
          </cell>
        </row>
        <row r="4878">
          <cell r="C4878" t="str">
            <v>RMSC Alert Clearing</v>
          </cell>
          <cell r="H4878">
            <v>5036856</v>
          </cell>
          <cell r="AK4878" t="str">
            <v>Jonathan Hunt</v>
          </cell>
        </row>
        <row r="4879">
          <cell r="C4879" t="str">
            <v>FID Strats Program-Extension</v>
          </cell>
          <cell r="H4879">
            <v>5037292</v>
          </cell>
          <cell r="AK4879" t="str">
            <v>Mitali Drews</v>
          </cell>
        </row>
        <row r="4880">
          <cell r="C4880" t="str">
            <v>Chiba-BSA &amp; OFAC Assment</v>
          </cell>
          <cell r="H4880">
            <v>5038639</v>
          </cell>
          <cell r="AK4880" t="str">
            <v>Charles Mcwilliam</v>
          </cell>
        </row>
        <row r="4881">
          <cell r="C4881" t="str">
            <v>SouthShore-FCRM Rules Rev&amp;Tune</v>
          </cell>
          <cell r="H4881">
            <v>5038529</v>
          </cell>
          <cell r="AK4881" t="str">
            <v>William Sachs</v>
          </cell>
        </row>
        <row r="4882">
          <cell r="C4882" t="str">
            <v>SF Data Lake Dev Sup Ph I</v>
          </cell>
          <cell r="H4882">
            <v>5038655</v>
          </cell>
          <cell r="AK4882" t="str">
            <v>Ramnish Gupta</v>
          </cell>
        </row>
        <row r="4883">
          <cell r="C4883" t="str">
            <v>MS_CRS Support</v>
          </cell>
          <cell r="H4883">
            <v>5038183</v>
          </cell>
          <cell r="AK4883" t="str">
            <v>Ruben Sooriya</v>
          </cell>
        </row>
        <row r="4884">
          <cell r="C4884" t="str">
            <v>UB_100_FDIC Bus Req Ph 1</v>
          </cell>
          <cell r="H4884">
            <v>5028946</v>
          </cell>
          <cell r="AK4884" t="str">
            <v>Tommy Page</v>
          </cell>
        </row>
        <row r="4885">
          <cell r="C4885" t="str">
            <v>WT_HMDA Data Validation</v>
          </cell>
          <cell r="H4885">
            <v>5038723</v>
          </cell>
          <cell r="AK4885" t="str">
            <v>Juan Pimentel</v>
          </cell>
        </row>
        <row r="4886">
          <cell r="C4886" t="str">
            <v>Jeff_Reg IM Tech Ext</v>
          </cell>
          <cell r="H4886">
            <v>5038635</v>
          </cell>
          <cell r="AK4886" t="str">
            <v>Chelsea Mattias</v>
          </cell>
        </row>
        <row r="4887">
          <cell r="C4887" t="str">
            <v>Town and Country Bank_RAS</v>
          </cell>
          <cell r="H4887">
            <v>5039565</v>
          </cell>
          <cell r="AK4887" t="str">
            <v>Travis Peraza</v>
          </cell>
        </row>
        <row r="4888">
          <cell r="C4888" t="str">
            <v>Optus Bank_RAS</v>
          </cell>
          <cell r="H4888">
            <v>5039696</v>
          </cell>
          <cell r="AK4888" t="str">
            <v>Diane Banks</v>
          </cell>
        </row>
        <row r="4889">
          <cell r="C4889" t="str">
            <v>Baltimore-ACH Risk Assessment</v>
          </cell>
          <cell r="H4889">
            <v>5038242</v>
          </cell>
          <cell r="AK4889" t="str">
            <v>W. Annette Dredden</v>
          </cell>
        </row>
        <row r="4890">
          <cell r="C4890" t="str">
            <v>CBDE_Internet Banking RA</v>
          </cell>
          <cell r="H4890">
            <v>5038517</v>
          </cell>
          <cell r="AK4890" t="str">
            <v>Robert Farmer</v>
          </cell>
        </row>
        <row r="4891">
          <cell r="C4891" t="str">
            <v>Leader Bank National Asso_RAS</v>
          </cell>
          <cell r="H4891">
            <v>5039521</v>
          </cell>
          <cell r="AK4891" t="str">
            <v>Diane Banks</v>
          </cell>
        </row>
        <row r="4892">
          <cell r="C4892" t="str">
            <v>Founders Bk BSA Staff Support</v>
          </cell>
          <cell r="H4892">
            <v>5038720</v>
          </cell>
          <cell r="AK4892" t="str">
            <v>Patrice Nye</v>
          </cell>
        </row>
        <row r="4893">
          <cell r="C4893" t="str">
            <v>ILM MF March Extension</v>
          </cell>
          <cell r="H4893">
            <v>5035055</v>
          </cell>
          <cell r="AK4893" t="str">
            <v>Thadi Murali</v>
          </cell>
        </row>
        <row r="4894">
          <cell r="C4894" t="str">
            <v>DIme Community Bank CMS</v>
          </cell>
          <cell r="H4894">
            <v>5038732</v>
          </cell>
          <cell r="AK4894" t="str">
            <v>Mariana Dumanovsky</v>
          </cell>
        </row>
        <row r="4895">
          <cell r="C4895" t="str">
            <v>Renasant Bank_GRC Consulting</v>
          </cell>
          <cell r="H4895">
            <v>5039015</v>
          </cell>
          <cell r="AK4895" t="str">
            <v>Allan Cuttle</v>
          </cell>
        </row>
        <row r="4896">
          <cell r="C4896" t="str">
            <v>Modern Bank, NA CMS</v>
          </cell>
          <cell r="H4896">
            <v>5039000</v>
          </cell>
          <cell r="AK4896" t="str">
            <v>Mariana Dumanovsky</v>
          </cell>
        </row>
        <row r="4897">
          <cell r="C4897" t="str">
            <v>Franklin Synergy Bank_RAS</v>
          </cell>
          <cell r="H4897">
            <v>5039662</v>
          </cell>
          <cell r="AK4897" t="str">
            <v>Diane Banks</v>
          </cell>
        </row>
        <row r="4898">
          <cell r="C4898" t="str">
            <v>ANBT_HMDA CRADataQC Reviews</v>
          </cell>
          <cell r="H4898">
            <v>5038771</v>
          </cell>
          <cell r="AK4898" t="str">
            <v>Juan Pimentel</v>
          </cell>
        </row>
        <row r="4899">
          <cell r="C4899" t="str">
            <v>Kearny Bank_Compl Monit Rev</v>
          </cell>
          <cell r="H4899">
            <v>5038421</v>
          </cell>
          <cell r="AK4899" t="str">
            <v>Bonita Riccaboni</v>
          </cell>
        </row>
        <row r="4900">
          <cell r="C4900" t="str">
            <v>Jeff_QA Lead Australia</v>
          </cell>
          <cell r="H4900">
            <v>5038632</v>
          </cell>
          <cell r="AK4900" t="str">
            <v>John McCaffrey</v>
          </cell>
        </row>
        <row r="4901">
          <cell r="C4901" t="str">
            <v>Manhattan Bank_RAS</v>
          </cell>
          <cell r="H4901">
            <v>5039523</v>
          </cell>
          <cell r="AK4901" t="str">
            <v>Diane Banks</v>
          </cell>
        </row>
        <row r="4902">
          <cell r="C4902" t="str">
            <v>Pueblo Bank &amp; Trust Compan_RAS</v>
          </cell>
          <cell r="H4902">
            <v>5039538</v>
          </cell>
          <cell r="AK4902" t="str">
            <v>Travis Peraza</v>
          </cell>
        </row>
        <row r="4903">
          <cell r="C4903" t="str">
            <v>Platte Valley Financial Se_RAS</v>
          </cell>
          <cell r="H4903">
            <v>5039542</v>
          </cell>
          <cell r="AK4903" t="str">
            <v>Diane Banks</v>
          </cell>
        </row>
        <row r="4904">
          <cell r="C4904" t="str">
            <v>Noah Bank_RAS</v>
          </cell>
          <cell r="H4904">
            <v>5039531</v>
          </cell>
          <cell r="AK4904" t="str">
            <v>Travis Peraza</v>
          </cell>
        </row>
        <row r="4905">
          <cell r="C4905" t="str">
            <v>First Republic Bank_RAS</v>
          </cell>
          <cell r="H4905">
            <v>5039653</v>
          </cell>
          <cell r="AK4905" t="str">
            <v>Travis Peraza</v>
          </cell>
        </row>
        <row r="4906">
          <cell r="C4906" t="str">
            <v>USAA Federal Savings Bank_RAS</v>
          </cell>
          <cell r="H4906">
            <v>5039741</v>
          </cell>
          <cell r="AK4906" t="str">
            <v>Travis Peraza</v>
          </cell>
        </row>
        <row r="4907">
          <cell r="C4907" t="str">
            <v>URSB_Cyber RiskAssess 20</v>
          </cell>
          <cell r="H4907">
            <v>5038704</v>
          </cell>
          <cell r="AK4907" t="str">
            <v>Robert Farmer</v>
          </cell>
        </row>
        <row r="4908">
          <cell r="C4908" t="str">
            <v>Seaside-HMDA Review</v>
          </cell>
          <cell r="H4908">
            <v>5038312</v>
          </cell>
          <cell r="AK4908" t="str">
            <v>Juan Pimentel</v>
          </cell>
        </row>
        <row r="4909">
          <cell r="C4909" t="str">
            <v>Leader Bank CMS</v>
          </cell>
          <cell r="H4909">
            <v>5038753</v>
          </cell>
          <cell r="AK4909" t="str">
            <v>Mary Louise Radley</v>
          </cell>
        </row>
        <row r="4910">
          <cell r="C4910" t="str">
            <v>Prudential_IS RA</v>
          </cell>
          <cell r="H4910">
            <v>5038634</v>
          </cell>
          <cell r="AK4910" t="str">
            <v>Robert Farmer</v>
          </cell>
        </row>
        <row r="4911">
          <cell r="C4911" t="str">
            <v>Jeff_CRM Content Mgmt PM</v>
          </cell>
          <cell r="H4911">
            <v>5038849</v>
          </cell>
          <cell r="AK4911" t="str">
            <v>Ripple Bhullar</v>
          </cell>
        </row>
        <row r="4912">
          <cell r="C4912" t="str">
            <v>BRYN- Fair Lending Reviews</v>
          </cell>
          <cell r="H4912">
            <v>5038537</v>
          </cell>
          <cell r="AK4912" t="str">
            <v>Gail Rassler</v>
          </cell>
        </row>
        <row r="4913">
          <cell r="C4913" t="str">
            <v>UBS_Project-Tech PM Role</v>
          </cell>
          <cell r="H4913">
            <v>5038738</v>
          </cell>
          <cell r="AK4913" t="str">
            <v>Matthew Berkowitz</v>
          </cell>
        </row>
        <row r="4914">
          <cell r="C4914" t="str">
            <v>MS_Trading Ops_Synd Recon NY</v>
          </cell>
          <cell r="H4914">
            <v>5038685</v>
          </cell>
          <cell r="AK4914" t="str">
            <v>Ryan Savoca</v>
          </cell>
        </row>
        <row r="4915">
          <cell r="C4915" t="str">
            <v>UB_093_RB_FDIC370 Sup CO3</v>
          </cell>
          <cell r="H4915">
            <v>5038934</v>
          </cell>
          <cell r="AK4915" t="str">
            <v>Samuel Awsumb</v>
          </cell>
        </row>
        <row r="4916">
          <cell r="C4916" t="str">
            <v>Jeff Emp Hierarchy Analy Ext2</v>
          </cell>
          <cell r="H4916">
            <v>5038739</v>
          </cell>
          <cell r="AK4916" t="str">
            <v>Jeffrey Gheraldi</v>
          </cell>
        </row>
        <row r="4917">
          <cell r="C4917" t="str">
            <v>CNB_ITSM Uplift</v>
          </cell>
          <cell r="H4917">
            <v>5038769</v>
          </cell>
          <cell r="AK4917" t="str">
            <v>Betsy Cherian</v>
          </cell>
        </row>
        <row r="4918">
          <cell r="C4918" t="str">
            <v>DB AFC TM Program Support</v>
          </cell>
          <cell r="H4918">
            <v>5038210</v>
          </cell>
          <cell r="AK4918" t="str">
            <v>Jason Malcolm</v>
          </cell>
        </row>
        <row r="4919">
          <cell r="C4919" t="str">
            <v>Jeff Emp Hierarchy Analy Ext2</v>
          </cell>
          <cell r="H4919">
            <v>5038739</v>
          </cell>
          <cell r="AK4919" t="str">
            <v>Jeffrey Gheraldi</v>
          </cell>
        </row>
        <row r="4920">
          <cell r="C4920" t="str">
            <v>Jeff Compliance Analyst Ext2</v>
          </cell>
          <cell r="H4920">
            <v>5038667</v>
          </cell>
          <cell r="AK4920" t="str">
            <v>Jeffrey Gheraldi</v>
          </cell>
        </row>
        <row r="4921">
          <cell r="C4921" t="str">
            <v>VMO Reporting and Refresh</v>
          </cell>
          <cell r="H4921">
            <v>5038943</v>
          </cell>
          <cell r="AK4921" t="str">
            <v>Betsy Cherian</v>
          </cell>
        </row>
        <row r="4922">
          <cell r="C4922" t="str">
            <v>SVB_Recruitment Strat Mar-May</v>
          </cell>
          <cell r="H4922">
            <v>5038756</v>
          </cell>
          <cell r="AK4922" t="str">
            <v>Chinmoy Bhatiya</v>
          </cell>
        </row>
        <row r="4923">
          <cell r="C4923" t="str">
            <v>Modern Delivery T&amp;M Amd 1</v>
          </cell>
          <cell r="H4923">
            <v>5038434</v>
          </cell>
          <cell r="AK4923" t="str">
            <v>Kalkidan Tedla</v>
          </cell>
        </row>
        <row r="4924">
          <cell r="C4924" t="str">
            <v>RTS_Tech Roadmap EXt</v>
          </cell>
          <cell r="H4924">
            <v>5038352</v>
          </cell>
          <cell r="AK4924" t="str">
            <v>Yola Yu</v>
          </cell>
        </row>
        <row r="4925">
          <cell r="C4925" t="str">
            <v>Jeff EQ Sup Control Ext3</v>
          </cell>
          <cell r="H4925">
            <v>5037499</v>
          </cell>
          <cell r="AK4925" t="str">
            <v>Jeffrey Gheraldi</v>
          </cell>
        </row>
        <row r="4926">
          <cell r="C4926" t="str">
            <v>VMO Data Analysis Add'l. Ext</v>
          </cell>
          <cell r="H4926">
            <v>5038061</v>
          </cell>
          <cell r="AK4926" t="str">
            <v>Dan Schutzman</v>
          </cell>
        </row>
        <row r="4927">
          <cell r="C4927" t="str">
            <v>MS COO Support 2020</v>
          </cell>
          <cell r="H4927">
            <v>5038724</v>
          </cell>
          <cell r="AK4927" t="str">
            <v>Mitali Drews</v>
          </cell>
        </row>
        <row r="4928">
          <cell r="C4928" t="str">
            <v>CredAgri_LIBOR transition</v>
          </cell>
          <cell r="H4928">
            <v>5038722</v>
          </cell>
          <cell r="AK4928" t="str">
            <v>Thanh Le Xuan</v>
          </cell>
        </row>
        <row r="4929">
          <cell r="C4929" t="str">
            <v>RBCUS - CNB PMO Support</v>
          </cell>
          <cell r="H4929">
            <v>5038707</v>
          </cell>
          <cell r="AK4929" t="str">
            <v>Carl Repoli</v>
          </cell>
        </row>
        <row r="4930">
          <cell r="C4930" t="str">
            <v>WF_Trader Voice ph2</v>
          </cell>
          <cell r="H4930">
            <v>5037794</v>
          </cell>
          <cell r="AK4930" t="str">
            <v>Richard Rhodes</v>
          </cell>
        </row>
        <row r="4931">
          <cell r="C4931" t="str">
            <v>Unqork 2020 Delivery - Ext 1</v>
          </cell>
          <cell r="H4931">
            <v>5038509</v>
          </cell>
          <cell r="AK4931" t="str">
            <v>Phil Kerkel</v>
          </cell>
        </row>
        <row r="4932">
          <cell r="C4932" t="str">
            <v>Unqork client delivery</v>
          </cell>
          <cell r="H4932">
            <v>5038509</v>
          </cell>
          <cell r="AK4932" t="str">
            <v>Phil Kerkel</v>
          </cell>
        </row>
        <row r="4933">
          <cell r="C4933" t="str">
            <v>First Merchants Bank_RAS</v>
          </cell>
          <cell r="H4933">
            <v>5039494</v>
          </cell>
          <cell r="AK4933" t="str">
            <v>Diane Banks</v>
          </cell>
        </row>
        <row r="4934">
          <cell r="C4934" t="str">
            <v>GL JIRA Align Implementation</v>
          </cell>
          <cell r="H4934">
            <v>5038706</v>
          </cell>
          <cell r="AK4934" t="str">
            <v>Pete Grebus</v>
          </cell>
        </row>
        <row r="4935">
          <cell r="C4935" t="str">
            <v>BKU Digital Trnsfm Suprt 2020</v>
          </cell>
          <cell r="H4935">
            <v>5037421</v>
          </cell>
          <cell r="AK4935" t="str">
            <v>Kevin Miologos</v>
          </cell>
        </row>
        <row r="4936">
          <cell r="C4936" t="str">
            <v>MS_LIBOR_Trading Ops</v>
          </cell>
          <cell r="H4936">
            <v>5038793</v>
          </cell>
          <cell r="AK4936" t="str">
            <v>Mitali Drews</v>
          </cell>
        </row>
        <row r="4937">
          <cell r="C4937" t="str">
            <v>TIAA_Advice Platform_pH2</v>
          </cell>
          <cell r="H4937">
            <v>5038779</v>
          </cell>
          <cell r="AK4937" t="str">
            <v>Nikhil Sharma</v>
          </cell>
        </row>
        <row r="4938">
          <cell r="C4938" t="str">
            <v>UB_104_MRA Sr Support Ph1</v>
          </cell>
          <cell r="H4938">
            <v>5039001</v>
          </cell>
          <cell r="AK4938" t="str">
            <v>Samuel Awsumb</v>
          </cell>
        </row>
        <row r="4939">
          <cell r="C4939" t="str">
            <v>BKU_Managed Services</v>
          </cell>
          <cell r="H4939">
            <v>5038772</v>
          </cell>
          <cell r="AK4939" t="str">
            <v>Kevin Miologos</v>
          </cell>
        </row>
        <row r="4940">
          <cell r="C4940" t="str">
            <v>HSBC_GPB-Transformation BA|PM</v>
          </cell>
          <cell r="H4940">
            <v>5038773</v>
          </cell>
          <cell r="AK4940" t="str">
            <v>Peter Brown</v>
          </cell>
        </row>
        <row r="4941">
          <cell r="C4941" t="str">
            <v>MS Tech Data BA</v>
          </cell>
          <cell r="H4941">
            <v>5038784</v>
          </cell>
          <cell r="AK4941" t="str">
            <v>Mitali Drews</v>
          </cell>
        </row>
        <row r="4942">
          <cell r="C4942" t="str">
            <v>CC5C_GLBA Risk Assessment</v>
          </cell>
          <cell r="H4942">
            <v>5038640</v>
          </cell>
          <cell r="AK4942" t="str">
            <v>Robert Farmer</v>
          </cell>
        </row>
        <row r="4943">
          <cell r="C4943" t="str">
            <v>BRYN_OverdraftProtectionPrgrm</v>
          </cell>
          <cell r="H4943">
            <v>5038764</v>
          </cell>
          <cell r="AK4943" t="str">
            <v>Jason Spelliscy</v>
          </cell>
        </row>
        <row r="4944">
          <cell r="C4944" t="str">
            <v>SVB_IT Org Design Extension</v>
          </cell>
          <cell r="H4944">
            <v>5038946</v>
          </cell>
          <cell r="AK4944" t="str">
            <v>Aditya Taneja</v>
          </cell>
        </row>
        <row r="4945">
          <cell r="C4945" t="str">
            <v>SVB_Data Agile Transformation</v>
          </cell>
          <cell r="H4945">
            <v>5038809</v>
          </cell>
          <cell r="AK4945" t="str">
            <v>Kyle Chavers</v>
          </cell>
        </row>
        <row r="4946">
          <cell r="C4946" t="str">
            <v>WF_UI/UX Processor Design</v>
          </cell>
          <cell r="H4946">
            <v>5038801</v>
          </cell>
          <cell r="AK4946" t="str">
            <v>James Kane</v>
          </cell>
        </row>
        <row r="4947">
          <cell r="C4947" t="str">
            <v>FrMc_MF OUS Development</v>
          </cell>
          <cell r="H4947">
            <v>5038145</v>
          </cell>
          <cell r="AK4947" t="str">
            <v>David Williams</v>
          </cell>
        </row>
        <row r="4948">
          <cell r="C4948" t="str">
            <v>UBS_US MEGDP BA</v>
          </cell>
          <cell r="H4948">
            <v>5038850</v>
          </cell>
          <cell r="AK4948" t="str">
            <v>Angela McGregor</v>
          </cell>
        </row>
        <row r="4949">
          <cell r="C4949" t="str">
            <v>WF_UI UX Processor Design</v>
          </cell>
          <cell r="H4949">
            <v>5038801</v>
          </cell>
          <cell r="AK4949" t="str">
            <v>James Kane</v>
          </cell>
        </row>
        <row r="4950">
          <cell r="C4950" t="str">
            <v>MS_Sec Settlements DT</v>
          </cell>
          <cell r="H4950">
            <v>5038808</v>
          </cell>
          <cell r="AK4950" t="str">
            <v>Arin LoPrete</v>
          </cell>
        </row>
        <row r="4951">
          <cell r="C4951" t="str">
            <v>Jeff EBS Comp Analyst Ext</v>
          </cell>
          <cell r="H4951">
            <v>5038863</v>
          </cell>
          <cell r="AK4951" t="str">
            <v>Jeffrey Gheraldi</v>
          </cell>
        </row>
        <row r="4952">
          <cell r="C4952" t="str">
            <v>WM Ops 2020_FAST Additional</v>
          </cell>
          <cell r="H4952">
            <v>5038201</v>
          </cell>
          <cell r="AK4952" t="str">
            <v>Leah Watson</v>
          </cell>
        </row>
        <row r="4953">
          <cell r="C4953" t="str">
            <v>OceanFirst - BSA Model Valid</v>
          </cell>
          <cell r="H4953">
            <v>5038824</v>
          </cell>
          <cell r="AK4953" t="str">
            <v>Tania Makuh</v>
          </cell>
        </row>
        <row r="4954">
          <cell r="C4954" t="str">
            <v>OceanFirst - BSA_AML Audit</v>
          </cell>
          <cell r="H4954">
            <v>5038815</v>
          </cell>
          <cell r="AK4954" t="str">
            <v>Mary Louise Radley</v>
          </cell>
        </row>
        <row r="4955">
          <cell r="C4955" t="str">
            <v>HSBC-OPS-Strat Ex Ph1</v>
          </cell>
          <cell r="H4955">
            <v>5038839</v>
          </cell>
          <cell r="AK4955" t="str">
            <v>Peter Brown</v>
          </cell>
        </row>
        <row r="4956">
          <cell r="C4956" t="str">
            <v>Jeff_RPA Sec Fin Maintenance</v>
          </cell>
          <cell r="H4956">
            <v>5039094</v>
          </cell>
          <cell r="AK4956" t="str">
            <v>Jon Herna</v>
          </cell>
        </row>
        <row r="4957">
          <cell r="C4957" t="str">
            <v>CSS_SecOps BA_PM Role</v>
          </cell>
          <cell r="H4957">
            <v>5038834</v>
          </cell>
          <cell r="AK4957" t="str">
            <v>Danny Boulos</v>
          </cell>
        </row>
        <row r="4958">
          <cell r="C4958" t="str">
            <v>MS_WM Ops_Tax &amp;Client Rep 2020</v>
          </cell>
          <cell r="H4958">
            <v>5038248</v>
          </cell>
          <cell r="AK4958" t="str">
            <v>Leah Watson</v>
          </cell>
        </row>
        <row r="4959">
          <cell r="C4959" t="str">
            <v>FIS_Project Houdini</v>
          </cell>
          <cell r="H4959">
            <v>5038796</v>
          </cell>
          <cell r="AK4959" t="str">
            <v>Matthew Faraone</v>
          </cell>
        </row>
        <row r="4960">
          <cell r="C4960" t="str">
            <v>FrMc_Modern Delivery T&amp;M Amd 2</v>
          </cell>
          <cell r="H4960">
            <v>5038434</v>
          </cell>
          <cell r="AK4960" t="str">
            <v>Kalkidan Tedla</v>
          </cell>
        </row>
        <row r="4961">
          <cell r="C4961" t="str">
            <v>UB_098_RB_CBT Tech Writers Ph1</v>
          </cell>
          <cell r="H4961">
            <v>5038826</v>
          </cell>
          <cell r="AK4961" t="str">
            <v>Samuel Awsumb</v>
          </cell>
        </row>
        <row r="4962">
          <cell r="C4962" t="str">
            <v>Jeff_SD 2020 Program Sr FX BA</v>
          </cell>
          <cell r="H4962">
            <v>5038860</v>
          </cell>
          <cell r="AK4962" t="str">
            <v>Conor Dowling</v>
          </cell>
        </row>
        <row r="4963">
          <cell r="C4963" t="str">
            <v>SVB_TPP Onboarding Assessment</v>
          </cell>
          <cell r="H4963">
            <v>5038908</v>
          </cell>
          <cell r="AK4963" t="str">
            <v>Season Man</v>
          </cell>
        </row>
        <row r="4964">
          <cell r="C4964" t="str">
            <v>RMSC Alert Clearing</v>
          </cell>
          <cell r="H4964">
            <v>5036856</v>
          </cell>
          <cell r="AK4964" t="str">
            <v>Jonathan Hunt</v>
          </cell>
        </row>
        <row r="4965">
          <cell r="C4965" t="str">
            <v>UB_095_CBT RCM Sup CO1</v>
          </cell>
          <cell r="H4965">
            <v>5038470</v>
          </cell>
          <cell r="AK4965" t="str">
            <v>Samuel Awsumb</v>
          </cell>
        </row>
        <row r="4966">
          <cell r="C4966" t="str">
            <v>Santander_GRC Support</v>
          </cell>
          <cell r="H4966">
            <v>5038972</v>
          </cell>
          <cell r="AK4966" t="str">
            <v>Ridha Mesli</v>
          </cell>
        </row>
        <row r="4967">
          <cell r="C4967" t="str">
            <v>Jeff IT Risk|Control Review</v>
          </cell>
          <cell r="H4967">
            <v>5038935</v>
          </cell>
          <cell r="AK4967" t="str">
            <v>Justin Gonlag</v>
          </cell>
        </row>
        <row r="4968">
          <cell r="C4968" t="str">
            <v>MS_WM UAT - FSS</v>
          </cell>
          <cell r="H4968">
            <v>5038871</v>
          </cell>
          <cell r="AK4968" t="str">
            <v>Rohini Bhatia</v>
          </cell>
        </row>
        <row r="4969">
          <cell r="C4969" t="str">
            <v>FM_Cloud Migration Team</v>
          </cell>
          <cell r="H4969">
            <v>5038825</v>
          </cell>
          <cell r="AK4969" t="str">
            <v>Sabrina Amjad</v>
          </cell>
        </row>
        <row r="4970">
          <cell r="C4970" t="str">
            <v>BOCF_CMS-Compliance Consulting</v>
          </cell>
          <cell r="H4970">
            <v>5038918</v>
          </cell>
          <cell r="AK4970" t="str">
            <v>Louvera Walden</v>
          </cell>
        </row>
        <row r="4971">
          <cell r="C4971" t="str">
            <v>FrMc_Ent Ops Anlyt Support Ext</v>
          </cell>
          <cell r="H4971">
            <v>5038377</v>
          </cell>
          <cell r="AK4971" t="str">
            <v>Christopher Martines</v>
          </cell>
        </row>
        <row r="4972">
          <cell r="C4972" t="str">
            <v>BeaconMM ProductMigration</v>
          </cell>
          <cell r="H4972">
            <v>5038883</v>
          </cell>
          <cell r="AK4972" t="str">
            <v>Phil Kerkel</v>
          </cell>
        </row>
        <row r="4973">
          <cell r="C4973" t="str">
            <v>Pentagon-Q3&amp;4 TRSA Review</v>
          </cell>
          <cell r="H4973">
            <v>5038285</v>
          </cell>
          <cell r="AK4973" t="str">
            <v>Tuong Huy Ha</v>
          </cell>
        </row>
        <row r="4974">
          <cell r="C4974" t="str">
            <v>Jeff Compliance Analyst Ext3</v>
          </cell>
          <cell r="H4974">
            <v>5039016</v>
          </cell>
          <cell r="AK4974" t="str">
            <v>Jeffrey Gheraldi</v>
          </cell>
        </row>
        <row r="4975">
          <cell r="C4975" t="str">
            <v>DirectBooks Bridge proposal</v>
          </cell>
          <cell r="H4975">
            <v>5038973</v>
          </cell>
          <cell r="AK4975" t="str">
            <v>Alexander Hamlin</v>
          </cell>
        </row>
        <row r="4976">
          <cell r="C4976" t="str">
            <v>FrdMc_SF Process Modlng2020Ext</v>
          </cell>
          <cell r="H4976">
            <v>5035851</v>
          </cell>
          <cell r="AK4976" t="str">
            <v>Christopher Martines</v>
          </cell>
        </row>
        <row r="4977">
          <cell r="C4977" t="str">
            <v>SVB_Rcmt Strat Tech Ext.</v>
          </cell>
          <cell r="H4977">
            <v>5038974</v>
          </cell>
          <cell r="AK4977" t="str">
            <v>Lisa Lee</v>
          </cell>
        </row>
        <row r="4978">
          <cell r="C4978" t="str">
            <v>SVB_GW 2020 Implem support Q2</v>
          </cell>
          <cell r="H4978">
            <v>5038968</v>
          </cell>
          <cell r="AK4978" t="str">
            <v>Michael Tao</v>
          </cell>
        </row>
        <row r="4979">
          <cell r="C4979" t="str">
            <v>HAB CMS Optimizer</v>
          </cell>
          <cell r="H4979">
            <v>5039146</v>
          </cell>
          <cell r="AK4979" t="str">
            <v>Pamela Acciardo</v>
          </cell>
        </row>
        <row r="4980">
          <cell r="C4980" t="str">
            <v>Albany Bank &amp; Trust Compan_RAS</v>
          </cell>
          <cell r="H4980">
            <v>5039438</v>
          </cell>
          <cell r="AK4980" t="str">
            <v>Rebecca Breland</v>
          </cell>
        </row>
        <row r="4981">
          <cell r="C4981" t="str">
            <v>First Bank of Boaz_RAS</v>
          </cell>
          <cell r="H4981">
            <v>5039491</v>
          </cell>
          <cell r="AK4981" t="str">
            <v>Diane Banks</v>
          </cell>
        </row>
        <row r="4982">
          <cell r="C4982" t="str">
            <v>Hastings City Bank_RAS</v>
          </cell>
          <cell r="H4982">
            <v>5039513</v>
          </cell>
          <cell r="AK4982" t="str">
            <v>Diane Banks</v>
          </cell>
        </row>
        <row r="4983">
          <cell r="C4983" t="str">
            <v>FrdMc_MD AMD 3 (LIBOR - PMO)</v>
          </cell>
          <cell r="H4983">
            <v>5038434</v>
          </cell>
          <cell r="AK4983" t="str">
            <v>Kalkidan Tedla</v>
          </cell>
        </row>
        <row r="4984">
          <cell r="C4984" t="str">
            <v>BEA_Compliance Consulting</v>
          </cell>
          <cell r="H4984">
            <v>5038644</v>
          </cell>
          <cell r="AK4984" t="str">
            <v>David Belfer</v>
          </cell>
        </row>
        <row r="4985">
          <cell r="C4985" t="str">
            <v>MS_S&amp;A - Trading Apr-Jun2020</v>
          </cell>
          <cell r="H4985">
            <v>5038018</v>
          </cell>
          <cell r="AK4985" t="str">
            <v>Rayna Gittelman</v>
          </cell>
        </row>
        <row r="4986">
          <cell r="C4986" t="str">
            <v>HSBC-GBM-Reg Change PM Apr Ext</v>
          </cell>
          <cell r="H4986">
            <v>5037657</v>
          </cell>
          <cell r="AK4986" t="str">
            <v>Kevin Sajdak</v>
          </cell>
        </row>
        <row r="4987">
          <cell r="C4987" t="str">
            <v>FrMc_E2E - Strategy</v>
          </cell>
          <cell r="H4987">
            <v>5038787</v>
          </cell>
          <cell r="AK4987" t="str">
            <v>Ramnish Gupta</v>
          </cell>
        </row>
        <row r="4988">
          <cell r="C4988" t="str">
            <v>WATB Credit Min PMT Validation</v>
          </cell>
          <cell r="H4988">
            <v>5039019</v>
          </cell>
          <cell r="AK4988" t="str">
            <v>Randall Patton</v>
          </cell>
        </row>
        <row r="4989">
          <cell r="C4989" t="str">
            <v>DB WM Condor Q2 extension</v>
          </cell>
          <cell r="H4989">
            <v>5035800</v>
          </cell>
          <cell r="AK4989" t="str">
            <v>Phil Kerkel</v>
          </cell>
        </row>
        <row r="4990">
          <cell r="C4990" t="str">
            <v>First Bank NJ_CMS Consulting</v>
          </cell>
          <cell r="H4990">
            <v>5038859</v>
          </cell>
          <cell r="AK4990" t="str">
            <v>Bonita Riccaboni</v>
          </cell>
        </row>
        <row r="4991">
          <cell r="C4991" t="str">
            <v>Cyber | Tech Strategy (Tim)</v>
          </cell>
          <cell r="H4991">
            <v>5038007</v>
          </cell>
          <cell r="AK4991" t="str">
            <v>Thanh Le Xuan</v>
          </cell>
        </row>
        <row r="4992">
          <cell r="C4992" t="str">
            <v>SVB_EPMO-Data Mod Del Ext 2</v>
          </cell>
          <cell r="H4992">
            <v>5037085</v>
          </cell>
          <cell r="AK4992" t="str">
            <v>Erik Johnson</v>
          </cell>
        </row>
        <row r="4993">
          <cell r="C4993" t="str">
            <v>FrMc_Duty 2 Serve Ext</v>
          </cell>
          <cell r="H4993">
            <v>5034762</v>
          </cell>
          <cell r="AK4993" t="str">
            <v>Gregory Barry</v>
          </cell>
        </row>
        <row r="4994">
          <cell r="C4994" t="str">
            <v>HSBC-GBM-LIBOR GM BSM Ext</v>
          </cell>
          <cell r="H4994">
            <v>5037509</v>
          </cell>
          <cell r="AK4994" t="str">
            <v>Peter Brown</v>
          </cell>
        </row>
        <row r="4995">
          <cell r="C4995" t="str">
            <v>First United Bank &amp; Trust _RAS</v>
          </cell>
          <cell r="H4995">
            <v>5039501</v>
          </cell>
          <cell r="AK4995" t="str">
            <v>Diane Banks</v>
          </cell>
        </row>
        <row r="4996">
          <cell r="C4996" t="str">
            <v>Jeff Emp Hierarchy Analy Ext3</v>
          </cell>
          <cell r="H4996">
            <v>5039004</v>
          </cell>
          <cell r="AK4996" t="str">
            <v>Jeffrey Gheraldi</v>
          </cell>
        </row>
        <row r="4997">
          <cell r="C4997" t="str">
            <v>PGME_Contingent CIO_ISO</v>
          </cell>
          <cell r="H4997">
            <v>5038882</v>
          </cell>
          <cell r="AK4997" t="str">
            <v>Robert Farmer</v>
          </cell>
        </row>
        <row r="4998">
          <cell r="C4998" t="str">
            <v>WM Ops_Tax_Client Rep 2020 Ext</v>
          </cell>
          <cell r="H4998">
            <v>5038248</v>
          </cell>
          <cell r="AK4998" t="str">
            <v>Leah Watson</v>
          </cell>
        </row>
        <row r="4999">
          <cell r="C4999" t="str">
            <v>MS_S&amp;A Trading Q2 Ext</v>
          </cell>
          <cell r="H4999">
            <v>5038018</v>
          </cell>
          <cell r="AK4999" t="str">
            <v>Rayna Gittelman</v>
          </cell>
        </row>
        <row r="5000">
          <cell r="C5000" t="str">
            <v>Arundel Federal Savings Bank M</v>
          </cell>
          <cell r="H5000">
            <v>5039032</v>
          </cell>
          <cell r="AK5000" t="str">
            <v>Juan Pimentel</v>
          </cell>
        </row>
        <row r="5001">
          <cell r="C5001" t="str">
            <v>WATB Consumer Loan Exam Issue</v>
          </cell>
          <cell r="H5001">
            <v>5039017</v>
          </cell>
          <cell r="AK5001" t="str">
            <v>Randall Patton</v>
          </cell>
        </row>
        <row r="5002">
          <cell r="C5002" t="str">
            <v>MSB _SMART Payment PlanAudit</v>
          </cell>
          <cell r="H5002">
            <v>5038657</v>
          </cell>
          <cell r="AK5002" t="str">
            <v>Mary Louise Radley</v>
          </cell>
        </row>
        <row r="5003">
          <cell r="C5003" t="str">
            <v>STAN - Compliance &amp; BSA Review</v>
          </cell>
          <cell r="H5003">
            <v>5038540</v>
          </cell>
          <cell r="AK5003" t="str">
            <v>Eugene Collett</v>
          </cell>
        </row>
        <row r="5004">
          <cell r="C5004" t="str">
            <v>HSBC-GBM-FRB Control BA Ext</v>
          </cell>
          <cell r="H5004">
            <v>5037276</v>
          </cell>
          <cell r="AK5004" t="str">
            <v>Peter Brown</v>
          </cell>
        </row>
        <row r="5005">
          <cell r="C5005" t="str">
            <v>FrMc_E2E CDO Advisory</v>
          </cell>
          <cell r="H5005">
            <v>5038800</v>
          </cell>
          <cell r="AK5005" t="str">
            <v>Ramnish Gupta</v>
          </cell>
        </row>
        <row r="5006">
          <cell r="C5006" t="str">
            <v>Cyber Strategy (Q2)</v>
          </cell>
          <cell r="H5006">
            <v>5038007</v>
          </cell>
          <cell r="AK5006" t="str">
            <v>Thanh Le Xuan</v>
          </cell>
        </row>
        <row r="5007">
          <cell r="C5007" t="str">
            <v>SVB_Payments BAU 2020 Q2</v>
          </cell>
          <cell r="H5007">
            <v>5038068</v>
          </cell>
          <cell r="AK5007" t="str">
            <v>Michael Tao</v>
          </cell>
        </row>
        <row r="5008">
          <cell r="C5008" t="str">
            <v>FreMac_2020 CSP Q2 Ext</v>
          </cell>
          <cell r="H5008">
            <v>5037633</v>
          </cell>
          <cell r="AK5008" t="str">
            <v>Thomas Wilson</v>
          </cell>
        </row>
        <row r="5009">
          <cell r="C5009" t="str">
            <v>SVB_GDB UK 2020 Q2</v>
          </cell>
          <cell r="H5009">
            <v>5038065</v>
          </cell>
          <cell r="AK5009" t="str">
            <v>Michael Tao</v>
          </cell>
        </row>
        <row r="5010">
          <cell r="C5010" t="str">
            <v>ILM MF Q2</v>
          </cell>
          <cell r="H5010">
            <v>5035055</v>
          </cell>
          <cell r="AK5010" t="str">
            <v>Thadi Murali</v>
          </cell>
        </row>
        <row r="5011">
          <cell r="C5011" t="str">
            <v>HSBC-GBM-LIBOR Rsk Analyst Ext</v>
          </cell>
          <cell r="H5011">
            <v>5037419</v>
          </cell>
          <cell r="AK5011" t="str">
            <v>Peter Brown</v>
          </cell>
        </row>
        <row r="5012">
          <cell r="C5012" t="str">
            <v>HSBC-GBM-LIBOR GB 2020 Ext</v>
          </cell>
          <cell r="H5012">
            <v>5037575</v>
          </cell>
          <cell r="AK5012" t="str">
            <v>Peter Brown</v>
          </cell>
        </row>
        <row r="5013">
          <cell r="C5013" t="str">
            <v>E2E Data Phase II (Data Lake)</v>
          </cell>
          <cell r="H5013">
            <v>5038086</v>
          </cell>
          <cell r="AK5013" t="str">
            <v>Ramnish Gupta</v>
          </cell>
        </row>
        <row r="5014">
          <cell r="C5014" t="str">
            <v>USAA_UFSB  App Quality Support</v>
          </cell>
          <cell r="H5014">
            <v>5039042</v>
          </cell>
          <cell r="AK5014" t="str">
            <v>Thuy Whitaker</v>
          </cell>
        </row>
        <row r="5015">
          <cell r="C5015" t="str">
            <v>Erie FCU_MQC</v>
          </cell>
          <cell r="H5015">
            <v>5039048</v>
          </cell>
          <cell r="AK5015" t="str">
            <v>Keith Cole</v>
          </cell>
        </row>
        <row r="5016">
          <cell r="C5016" t="str">
            <v>First Piedmont MQC</v>
          </cell>
          <cell r="H5016">
            <v>5039093</v>
          </cell>
          <cell r="AK5016" t="str">
            <v>Keith Cole</v>
          </cell>
        </row>
        <row r="5017">
          <cell r="C5017" t="str">
            <v>Poca Valley Bank MQC</v>
          </cell>
          <cell r="H5017">
            <v>5039249</v>
          </cell>
          <cell r="AK5017" t="str">
            <v>Keith Cole</v>
          </cell>
        </row>
        <row r="5018">
          <cell r="C5018" t="str">
            <v>Penn East FCU_MQC</v>
          </cell>
          <cell r="H5018">
            <v>5039059</v>
          </cell>
          <cell r="AK5018" t="str">
            <v>Keith Cole</v>
          </cell>
        </row>
        <row r="5019">
          <cell r="C5019" t="str">
            <v>Financial Resources FCU- MQC</v>
          </cell>
          <cell r="H5019">
            <v>5039035</v>
          </cell>
          <cell r="AK5019" t="str">
            <v>Keith Cole</v>
          </cell>
        </row>
        <row r="5020">
          <cell r="C5020" t="str">
            <v>Federated Lending_MQC</v>
          </cell>
          <cell r="H5020">
            <v>5039084</v>
          </cell>
          <cell r="AK5020" t="str">
            <v>Keith Cole</v>
          </cell>
        </row>
        <row r="5021">
          <cell r="C5021" t="str">
            <v>Bravera Bank_MQC</v>
          </cell>
          <cell r="H5021">
            <v>5039050</v>
          </cell>
          <cell r="AK5021" t="str">
            <v>Keith Cole</v>
          </cell>
        </row>
        <row r="5022">
          <cell r="C5022" t="str">
            <v>MECU_MQC</v>
          </cell>
          <cell r="H5022">
            <v>5039760</v>
          </cell>
          <cell r="AK5022" t="str">
            <v>Keith Cole</v>
          </cell>
        </row>
        <row r="5023">
          <cell r="C5023" t="str">
            <v>Jeff_FX IT PM Ext</v>
          </cell>
          <cell r="H5023">
            <v>5038982</v>
          </cell>
          <cell r="AK5023" t="str">
            <v>Chelsea Mattias</v>
          </cell>
        </row>
        <row r="5024">
          <cell r="C5024" t="str">
            <v>Santander_InfoSec Req</v>
          </cell>
          <cell r="H5024">
            <v>5038178</v>
          </cell>
          <cell r="AK5024" t="str">
            <v>Ridha Mesli</v>
          </cell>
        </row>
        <row r="5025">
          <cell r="C5025" t="str">
            <v>WF_Retail Lend Trans Bridge</v>
          </cell>
          <cell r="H5025">
            <v>5039020</v>
          </cell>
          <cell r="AK5025" t="str">
            <v>James Kane</v>
          </cell>
        </row>
        <row r="5026">
          <cell r="C5026" t="str">
            <v>UB_099_RB_CBT JiRA PM CO1</v>
          </cell>
          <cell r="H5026">
            <v>5039014</v>
          </cell>
          <cell r="AK5026" t="str">
            <v>Samuel Awsumb</v>
          </cell>
        </row>
        <row r="5027">
          <cell r="C5027" t="str">
            <v>Unqork 2020 Delivery - Ayco 1</v>
          </cell>
          <cell r="H5027">
            <v>5038509</v>
          </cell>
          <cell r="AK5027" t="str">
            <v>Phil Kerkel</v>
          </cell>
        </row>
        <row r="5028">
          <cell r="C5028" t="str">
            <v>HB_Omni Consumer&amp;Business Dev</v>
          </cell>
          <cell r="H5028">
            <v>5039037</v>
          </cell>
          <cell r="AK5028" t="str">
            <v>Bryan Olson</v>
          </cell>
        </row>
        <row r="5029">
          <cell r="C5029" t="str">
            <v>FrMc_InfoSec PM</v>
          </cell>
          <cell r="H5029">
            <v>5039002</v>
          </cell>
          <cell r="AK5029" t="str">
            <v>Christopher Martines</v>
          </cell>
        </row>
        <row r="5030">
          <cell r="C5030" t="str">
            <v>Jeff_SD2020 ProgramEquitiesDev</v>
          </cell>
          <cell r="H5030">
            <v>5039022</v>
          </cell>
          <cell r="AK5030" t="str">
            <v>Chelsea Mattias</v>
          </cell>
        </row>
        <row r="5031">
          <cell r="C5031" t="str">
            <v>Pru Reg BI Review</v>
          </cell>
          <cell r="H5031">
            <v>5039053</v>
          </cell>
          <cell r="AK5031" t="str">
            <v>Phil Kerkel</v>
          </cell>
        </row>
        <row r="5032">
          <cell r="C5032" t="str">
            <v>SVB_nCino Agile Coaching</v>
          </cell>
          <cell r="H5032">
            <v>5039018</v>
          </cell>
          <cell r="AK5032" t="str">
            <v>Kyle Chavers</v>
          </cell>
        </row>
        <row r="5033">
          <cell r="C5033" t="str">
            <v>MSB Policy Review OCC Charter</v>
          </cell>
          <cell r="H5033">
            <v>5039045</v>
          </cell>
          <cell r="AK5033" t="str">
            <v>Bonita Riccaboni</v>
          </cell>
        </row>
        <row r="5034">
          <cell r="C5034" t="str">
            <v>SVB_Data Agile Transform CO1</v>
          </cell>
          <cell r="H5034">
            <v>5038809</v>
          </cell>
          <cell r="AK5034" t="str">
            <v>Kyle Chavers</v>
          </cell>
        </row>
        <row r="5035">
          <cell r="C5035" t="str">
            <v>WM Ops_AI RTB Spprt 2020 Ext</v>
          </cell>
          <cell r="H5035">
            <v>5038207</v>
          </cell>
          <cell r="AK5035" t="str">
            <v>Leah Watson</v>
          </cell>
        </row>
        <row r="5036">
          <cell r="C5036" t="str">
            <v>FrMc_IT Enterprise Change Mgmt</v>
          </cell>
          <cell r="H5036">
            <v>5038364</v>
          </cell>
          <cell r="AK5036" t="str">
            <v>Sabrina Amjad</v>
          </cell>
        </row>
        <row r="5037">
          <cell r="C5037" t="str">
            <v>UB_107_RB_MRA Reg PM Ph1</v>
          </cell>
          <cell r="H5037">
            <v>5039051</v>
          </cell>
          <cell r="AK5037" t="str">
            <v>Samuel Awsumb</v>
          </cell>
        </row>
        <row r="5038">
          <cell r="C5038" t="str">
            <v>JMBK_IS Risk Assessment</v>
          </cell>
          <cell r="H5038">
            <v>5038560</v>
          </cell>
          <cell r="AK5038" t="str">
            <v>Robert Farmer</v>
          </cell>
        </row>
        <row r="5039">
          <cell r="C5039" t="str">
            <v>CAP1- Reg Webinar Training</v>
          </cell>
          <cell r="H5039">
            <v>5039057</v>
          </cell>
          <cell r="AK5039" t="str">
            <v>Diane Banks</v>
          </cell>
        </row>
        <row r="5040">
          <cell r="C5040" t="str">
            <v>LandmarkCU-Regulatory DataFeed</v>
          </cell>
          <cell r="H5040">
            <v>5039140</v>
          </cell>
          <cell r="AK5040" t="str">
            <v>Leah Robinson</v>
          </cell>
        </row>
        <row r="5041">
          <cell r="C5041" t="str">
            <v>SVB_Business PM</v>
          </cell>
          <cell r="H5041">
            <v>5039044</v>
          </cell>
          <cell r="AK5041" t="str">
            <v>Jeff Romano</v>
          </cell>
        </row>
        <row r="5042">
          <cell r="C5042" t="str">
            <v>WT_DisclosureFulfillmentTestng</v>
          </cell>
          <cell r="H5042">
            <v>5039128</v>
          </cell>
          <cell r="AK5042" t="str">
            <v>Juan Pimentel</v>
          </cell>
        </row>
        <row r="5043">
          <cell r="C5043" t="str">
            <v>MF IAM Modernization</v>
          </cell>
          <cell r="H5043">
            <v>5039081</v>
          </cell>
          <cell r="AK5043" t="str">
            <v>David Williams</v>
          </cell>
        </row>
        <row r="5044">
          <cell r="C5044" t="str">
            <v>WTB_Mortgage Disclosure Scrubg</v>
          </cell>
          <cell r="H5044">
            <v>5039126</v>
          </cell>
          <cell r="AK5044" t="str">
            <v>Juan Pimentel</v>
          </cell>
        </row>
        <row r="5045">
          <cell r="C5045" t="str">
            <v>MF Investor Reporting II Amd 3</v>
          </cell>
          <cell r="H5045">
            <v>5034285</v>
          </cell>
          <cell r="AK5045" t="str">
            <v>David Williams</v>
          </cell>
        </row>
        <row r="5046">
          <cell r="C5046" t="str">
            <v>USAA_SCRA Amd 1</v>
          </cell>
          <cell r="H5046">
            <v>5037056</v>
          </cell>
          <cell r="AK5046" t="str">
            <v>Samuel Desta</v>
          </cell>
        </row>
        <row r="5047">
          <cell r="C5047" t="str">
            <v>FIS_Worldpay IMO 2020 Ext</v>
          </cell>
          <cell r="H5047">
            <v>5037211</v>
          </cell>
          <cell r="AK5047" t="str">
            <v>Matthew Faraone</v>
          </cell>
        </row>
        <row r="5048">
          <cell r="C5048" t="str">
            <v>Noah Bank BSA Risk Assessments</v>
          </cell>
          <cell r="H5048">
            <v>5039085</v>
          </cell>
          <cell r="AK5048" t="str">
            <v>Nancy Gregory</v>
          </cell>
        </row>
        <row r="5049">
          <cell r="C5049" t="str">
            <v>NT_Return to Work Strategy</v>
          </cell>
          <cell r="H5049">
            <v>5039067</v>
          </cell>
          <cell r="AK5049" t="str">
            <v>Tulsi Mehta</v>
          </cell>
        </row>
        <row r="5050">
          <cell r="C5050" t="str">
            <v>Modern Bank-CIP Review</v>
          </cell>
          <cell r="H5050">
            <v>5039087</v>
          </cell>
          <cell r="AK5050" t="str">
            <v>Carolina Otalvaro</v>
          </cell>
        </row>
        <row r="5051">
          <cell r="C5051" t="str">
            <v>HSBC-CMB-Digital Comms Ext</v>
          </cell>
          <cell r="H5051">
            <v>5037274</v>
          </cell>
          <cell r="AK5051" t="str">
            <v>Peter Brown</v>
          </cell>
        </row>
        <row r="5052">
          <cell r="C5052" t="str">
            <v>Compliance Consulting</v>
          </cell>
          <cell r="H5052">
            <v>5038993</v>
          </cell>
          <cell r="AK5052" t="str">
            <v>Mary Louise Radley</v>
          </cell>
        </row>
        <row r="5053">
          <cell r="C5053" t="str">
            <v>VRTX - PCD CECL Model Val</v>
          </cell>
          <cell r="H5053">
            <v>5039063</v>
          </cell>
          <cell r="AK5053" t="str">
            <v>Tania Makuh</v>
          </cell>
        </row>
        <row r="5054">
          <cell r="C5054" t="str">
            <v>UB_109_RB_Mortg Strat Ph1</v>
          </cell>
          <cell r="H5054">
            <v>5039091</v>
          </cell>
          <cell r="AK5054" t="str">
            <v>Samuel Awsumb</v>
          </cell>
        </row>
        <row r="5055">
          <cell r="C5055" t="str">
            <v>FrMc_SF AWS Development - IT</v>
          </cell>
          <cell r="H5055">
            <v>5039092</v>
          </cell>
          <cell r="AK5055" t="str">
            <v>Chad Bonadonna</v>
          </cell>
        </row>
        <row r="5056">
          <cell r="C5056" t="str">
            <v>RBCUS_USDO Extension</v>
          </cell>
          <cell r="H5056">
            <v>5033560</v>
          </cell>
          <cell r="AK5056" t="str">
            <v>Michael Martinen</v>
          </cell>
        </row>
        <row r="5057">
          <cell r="C5057" t="str">
            <v>Compliance Consulting</v>
          </cell>
          <cell r="H5057">
            <v>5038431</v>
          </cell>
          <cell r="AK5057" t="str">
            <v>Louvera Walden</v>
          </cell>
        </row>
        <row r="5058">
          <cell r="C5058" t="str">
            <v>VMO Special Proj. Add'l. Ext</v>
          </cell>
          <cell r="H5058">
            <v>5038385</v>
          </cell>
          <cell r="AK5058" t="str">
            <v>Dan Schutzman</v>
          </cell>
        </row>
        <row r="5059">
          <cell r="C5059" t="str">
            <v>SVB_PSD2 TPP Sim</v>
          </cell>
          <cell r="H5059">
            <v>5039100</v>
          </cell>
          <cell r="AK5059" t="str">
            <v>Season Man</v>
          </cell>
        </row>
        <row r="5060">
          <cell r="C5060" t="str">
            <v>WF_Deposit Tech-Platform Svcs</v>
          </cell>
          <cell r="H5060">
            <v>5039110</v>
          </cell>
          <cell r="AK5060" t="str">
            <v>Michael Crumpler</v>
          </cell>
        </row>
        <row r="5061">
          <cell r="C5061" t="str">
            <v>Jeff_Murex Reporting Developer</v>
          </cell>
          <cell r="H5061">
            <v>5039127</v>
          </cell>
          <cell r="AK5061" t="str">
            <v>Chelsea Mattias</v>
          </cell>
        </row>
        <row r="5062">
          <cell r="C5062" t="str">
            <v>Case Clearing</v>
          </cell>
          <cell r="H5062">
            <v>5036996</v>
          </cell>
          <cell r="AK5062" t="str">
            <v>Kristi Hegert</v>
          </cell>
        </row>
        <row r="5063">
          <cell r="C5063" t="str">
            <v>RMSC Alert Clearing</v>
          </cell>
          <cell r="H5063">
            <v>5036856</v>
          </cell>
          <cell r="AK5063" t="str">
            <v>Jonathan Hunt</v>
          </cell>
        </row>
        <row r="5064">
          <cell r="C5064" t="str">
            <v>Consumer Loan Fee Lookback</v>
          </cell>
          <cell r="H5064">
            <v>5039017</v>
          </cell>
          <cell r="AK5064" t="str">
            <v>Randall Patton</v>
          </cell>
        </row>
        <row r="5065">
          <cell r="C5065" t="str">
            <v>HSBC_GBM-Arranged Finance Ph1</v>
          </cell>
          <cell r="H5065">
            <v>5039131</v>
          </cell>
          <cell r="AK5065" t="str">
            <v>Kevin Sajdak</v>
          </cell>
        </row>
        <row r="5066">
          <cell r="C5066" t="str">
            <v>UB_100_RB_BSA Proced Sup P1</v>
          </cell>
          <cell r="H5066">
            <v>5039118</v>
          </cell>
          <cell r="AK5066" t="str">
            <v>Samuel Awsumb</v>
          </cell>
        </row>
        <row r="5067">
          <cell r="C5067" t="str">
            <v>Mitsui RMSC - OFAC</v>
          </cell>
          <cell r="H5067">
            <v>5039137</v>
          </cell>
          <cell r="AK5067" t="str">
            <v>Jonathan Hunt</v>
          </cell>
        </row>
        <row r="5068">
          <cell r="C5068" t="str">
            <v>FrMc_SF Data DataLakeLoss-Mit</v>
          </cell>
          <cell r="H5068">
            <v>5039139</v>
          </cell>
          <cell r="AK5068" t="str">
            <v>Ramnish Gupta</v>
          </cell>
        </row>
        <row r="5069">
          <cell r="C5069" t="str">
            <v>BB_Delivery Capacity Support</v>
          </cell>
          <cell r="H5069">
            <v>5039121</v>
          </cell>
          <cell r="AK5069" t="str">
            <v>Luke Penca</v>
          </cell>
        </row>
        <row r="5070">
          <cell r="C5070" t="str">
            <v>WF_Speakerbus_Implimentation</v>
          </cell>
          <cell r="H5070">
            <v>5039145</v>
          </cell>
          <cell r="AK5070" t="str">
            <v>Richard Rhodes</v>
          </cell>
        </row>
        <row r="5071">
          <cell r="C5071" t="str">
            <v>Jeff_Transcend Extension</v>
          </cell>
          <cell r="H5071">
            <v>5038357</v>
          </cell>
          <cell r="AK5071" t="str">
            <v>Jon Herna</v>
          </cell>
        </row>
        <row r="5072">
          <cell r="C5072" t="str">
            <v>Jeff_CRM IB Quant</v>
          </cell>
          <cell r="H5072">
            <v>5039156</v>
          </cell>
          <cell r="AK5072" t="str">
            <v>Ripple Bhullar</v>
          </cell>
        </row>
        <row r="5073">
          <cell r="C5073" t="str">
            <v>FrMc_SF AWS Dev AMD 1 - IT</v>
          </cell>
          <cell r="H5073">
            <v>5039092</v>
          </cell>
          <cell r="AK5073" t="str">
            <v>Chad Bonadonna</v>
          </cell>
        </row>
        <row r="5074">
          <cell r="C5074" t="str">
            <v>Home Depot Annual Training</v>
          </cell>
          <cell r="H5074">
            <v>5039181</v>
          </cell>
          <cell r="AK5074" t="str">
            <v>Diane Banks</v>
          </cell>
        </row>
        <row r="5075">
          <cell r="C5075" t="str">
            <v>Fred_SF Data Lake Dev Sup PhII</v>
          </cell>
          <cell r="H5075">
            <v>5038655</v>
          </cell>
          <cell r="AK5075" t="str">
            <v>Ramnish Gupta</v>
          </cell>
        </row>
        <row r="5076">
          <cell r="C5076" t="str">
            <v>Jeff_QA Extension</v>
          </cell>
          <cell r="H5076">
            <v>5038344</v>
          </cell>
          <cell r="AK5076" t="str">
            <v>Jon Herna</v>
          </cell>
        </row>
        <row r="5077">
          <cell r="C5077" t="str">
            <v>Arthur State CMS Support</v>
          </cell>
          <cell r="H5077">
            <v>5039171</v>
          </cell>
          <cell r="AK5077" t="str">
            <v>Amanda Pickering</v>
          </cell>
        </row>
        <row r="5078">
          <cell r="C5078" t="str">
            <v>First Bank_CRA PE and FLRA</v>
          </cell>
          <cell r="H5078">
            <v>5039086</v>
          </cell>
          <cell r="AK5078" t="str">
            <v>Bonita Riccaboni</v>
          </cell>
        </row>
        <row r="5079">
          <cell r="C5079" t="str">
            <v>NatCapBk_CMS Support</v>
          </cell>
          <cell r="H5079">
            <v>5039397</v>
          </cell>
          <cell r="AK5079" t="str">
            <v>Kristina Slattery</v>
          </cell>
        </row>
        <row r="5080">
          <cell r="C5080" t="str">
            <v>MS_S&amp;A PMO MayDec 2020</v>
          </cell>
          <cell r="H5080">
            <v>5038162</v>
          </cell>
          <cell r="AK5080" t="str">
            <v>Rayna Gittelman</v>
          </cell>
        </row>
        <row r="5081">
          <cell r="C5081" t="str">
            <v>FMB-UDAAP Risk Assessment</v>
          </cell>
          <cell r="H5081">
            <v>5039135</v>
          </cell>
          <cell r="AK5081" t="str">
            <v>Bonita Riccaboni</v>
          </cell>
        </row>
        <row r="5082">
          <cell r="C5082" t="str">
            <v>MS_S&amp;A MayDec 2020</v>
          </cell>
          <cell r="H5082">
            <v>5038021</v>
          </cell>
          <cell r="AK5082" t="str">
            <v>Leah Watson</v>
          </cell>
        </row>
        <row r="5083">
          <cell r="C5083" t="str">
            <v>RBCUS Qlikview Dev</v>
          </cell>
          <cell r="H5083">
            <v>5037382</v>
          </cell>
          <cell r="AK5083" t="str">
            <v>Kirby Pulver</v>
          </cell>
        </row>
        <row r="5084">
          <cell r="C5084" t="str">
            <v>BRYN- CRA Data Integ Rvw 2020</v>
          </cell>
          <cell r="H5084">
            <v>5039206</v>
          </cell>
          <cell r="AK5084" t="str">
            <v>Juan Pimentel</v>
          </cell>
        </row>
        <row r="5085">
          <cell r="C5085" t="str">
            <v>DB Data Program Support</v>
          </cell>
          <cell r="H5085">
            <v>5039196</v>
          </cell>
          <cell r="AK5085" t="str">
            <v>David Roberts</v>
          </cell>
        </row>
        <row r="5086">
          <cell r="C5086" t="str">
            <v>MS FID Strats Pgrm Extension</v>
          </cell>
          <cell r="H5086">
            <v>5037292</v>
          </cell>
          <cell r="AK5086" t="str">
            <v>Mitali Drews</v>
          </cell>
        </row>
        <row r="5087">
          <cell r="C5087" t="str">
            <v>USAA-Closing Disclosure Rev</v>
          </cell>
          <cell r="H5087">
            <v>5038125</v>
          </cell>
          <cell r="AK5087" t="str">
            <v>Thuy Whitaker</v>
          </cell>
        </row>
        <row r="5088">
          <cell r="C5088" t="str">
            <v>ChainBridge-Loan Svcg Audit</v>
          </cell>
          <cell r="H5088">
            <v>5037579</v>
          </cell>
          <cell r="AK5088" t="str">
            <v>W. Annette Dredden</v>
          </cell>
        </row>
        <row r="5089">
          <cell r="C5089" t="str">
            <v>Peapack_CMS Support</v>
          </cell>
          <cell r="H5089">
            <v>5039342</v>
          </cell>
          <cell r="AK5089" t="str">
            <v>Gail Rassler</v>
          </cell>
        </row>
        <row r="5090">
          <cell r="C5090" t="str">
            <v>BRYN Compl RA &amp; Monitor</v>
          </cell>
          <cell r="H5090">
            <v>5039065</v>
          </cell>
          <cell r="AK5090" t="str">
            <v>Bonita Riccaboni</v>
          </cell>
        </row>
        <row r="5091">
          <cell r="C5091" t="str">
            <v>MS S&amp;A Iliquid Ext MayJun 2020</v>
          </cell>
          <cell r="H5091">
            <v>5038148</v>
          </cell>
          <cell r="AK5091" t="str">
            <v>Alexander Collyer</v>
          </cell>
        </row>
        <row r="5092">
          <cell r="C5092" t="str">
            <v>WM Ops_Tax 2020 Team Exten.</v>
          </cell>
          <cell r="H5092">
            <v>5038248</v>
          </cell>
          <cell r="AK5092" t="str">
            <v>Leah Watson</v>
          </cell>
        </row>
        <row r="5093">
          <cell r="C5093" t="str">
            <v>FIS GCS Boomerang</v>
          </cell>
          <cell r="H5093">
            <v>5039327</v>
          </cell>
          <cell r="AK5093" t="str">
            <v>John McCaffrey</v>
          </cell>
        </row>
        <row r="5094">
          <cell r="C5094" t="str">
            <v>Pennsylvania State Employe_RAS</v>
          </cell>
          <cell r="H5094">
            <v>5039540</v>
          </cell>
          <cell r="AK5094" t="str">
            <v>Diane Banks</v>
          </cell>
        </row>
        <row r="5095">
          <cell r="C5095" t="str">
            <v>Empire State Bank_RAS</v>
          </cell>
          <cell r="H5095">
            <v>5039483</v>
          </cell>
          <cell r="AK5095" t="str">
            <v>Diane Banks</v>
          </cell>
        </row>
        <row r="5096">
          <cell r="C5096" t="str">
            <v>BancorpSouth Bank_RAS</v>
          </cell>
          <cell r="H5096">
            <v>5039448</v>
          </cell>
          <cell r="AK5096" t="str">
            <v>Travis Peraza</v>
          </cell>
        </row>
        <row r="5097">
          <cell r="C5097" t="str">
            <v>UBS US BCBS</v>
          </cell>
          <cell r="H5097">
            <v>5039385</v>
          </cell>
          <cell r="AK5097" t="str">
            <v>Angela McGregor</v>
          </cell>
        </row>
        <row r="5098">
          <cell r="C5098" t="str">
            <v>Newton Federal Bank_RAS</v>
          </cell>
          <cell r="H5098">
            <v>5040354</v>
          </cell>
          <cell r="AK5098" t="str">
            <v>Diane Banks</v>
          </cell>
        </row>
        <row r="5099">
          <cell r="C5099" t="str">
            <v>RBCUS - MRA Planning Support</v>
          </cell>
          <cell r="H5099">
            <v>5039192</v>
          </cell>
          <cell r="AK5099" t="str">
            <v>Carl Repoli</v>
          </cell>
        </row>
        <row r="5100">
          <cell r="C5100" t="str">
            <v>Q2 2020 Extension US AFC KYC</v>
          </cell>
          <cell r="H5100">
            <v>5038106</v>
          </cell>
          <cell r="AK5100" t="str">
            <v>Ruby Cherian</v>
          </cell>
        </row>
        <row r="5101">
          <cell r="C5101" t="str">
            <v>Howard Bank-CMS</v>
          </cell>
          <cell r="H5101">
            <v>5039251</v>
          </cell>
          <cell r="AK5101" t="str">
            <v>Alice Judd</v>
          </cell>
        </row>
        <row r="5102">
          <cell r="C5102" t="str">
            <v>SVB_EPMO-Data Mod Del Ext 3</v>
          </cell>
          <cell r="H5102">
            <v>5037085</v>
          </cell>
          <cell r="AK5102" t="str">
            <v>Erik Johnson</v>
          </cell>
        </row>
        <row r="5103">
          <cell r="C5103" t="str">
            <v>FSBank_HMDA Data Validation</v>
          </cell>
          <cell r="H5103">
            <v>5039116</v>
          </cell>
          <cell r="AK5103" t="str">
            <v>Juan Pimentel</v>
          </cell>
        </row>
        <row r="5104">
          <cell r="C5104" t="str">
            <v>SVB_PR_SBA Program Agile Suppt</v>
          </cell>
          <cell r="H5104">
            <v>5039220</v>
          </cell>
          <cell r="AK5104" t="str">
            <v>Erik Johnson</v>
          </cell>
        </row>
        <row r="5105">
          <cell r="C5105" t="str">
            <v>Empire State Bank CMS</v>
          </cell>
          <cell r="H5105">
            <v>5039204</v>
          </cell>
          <cell r="AK5105" t="str">
            <v>Mariana Dumanovsky</v>
          </cell>
        </row>
        <row r="5106">
          <cell r="C5106" t="str">
            <v>Woodsboro MQC</v>
          </cell>
          <cell r="H5106">
            <v>5039119</v>
          </cell>
          <cell r="AK5106" t="str">
            <v>Keith Cole</v>
          </cell>
        </row>
        <row r="5107">
          <cell r="C5107" t="str">
            <v>UB_105_CBT MIA Sup Ph1</v>
          </cell>
          <cell r="H5107">
            <v>5039172</v>
          </cell>
          <cell r="AK5107" t="str">
            <v>Samuel Awsumb</v>
          </cell>
        </row>
        <row r="5108">
          <cell r="C5108" t="str">
            <v>xxx</v>
          </cell>
          <cell r="AK5108" t="str">
            <v>Kelsey Popplewell</v>
          </cell>
        </row>
        <row r="5109">
          <cell r="C5109" t="str">
            <v>Jeff Compliance Analyst Ext4</v>
          </cell>
          <cell r="H5109">
            <v>5039223</v>
          </cell>
          <cell r="AK5109" t="str">
            <v>Jeffrey Gheraldi</v>
          </cell>
        </row>
        <row r="5110">
          <cell r="C5110" t="str">
            <v>Jeff Emp Hierarchy Analy Ext4</v>
          </cell>
          <cell r="H5110">
            <v>5039263</v>
          </cell>
          <cell r="AK5110" t="str">
            <v>Jeffrey Gheraldi</v>
          </cell>
        </row>
        <row r="5111">
          <cell r="C5111" t="str">
            <v>NT_RTO p2</v>
          </cell>
          <cell r="H5111">
            <v>5039067</v>
          </cell>
          <cell r="AK5111" t="str">
            <v>Tulsi Mehta</v>
          </cell>
        </row>
        <row r="5112">
          <cell r="C5112" t="str">
            <v>Truist_BankCard Integrat Plan</v>
          </cell>
          <cell r="H5112">
            <v>5039182</v>
          </cell>
          <cell r="AK5112" t="str">
            <v>Daniela Hawkins</v>
          </cell>
        </row>
        <row r="5113">
          <cell r="C5113" t="str">
            <v>Truist_FDIC 370 BPO Oversight</v>
          </cell>
          <cell r="H5113">
            <v>5033736</v>
          </cell>
          <cell r="AK5113" t="str">
            <v>Kelsey Popplewell</v>
          </cell>
        </row>
        <row r="5114">
          <cell r="C5114" t="str">
            <v>Jeff_CAT Data Analyst Ext.</v>
          </cell>
          <cell r="H5114">
            <v>5036814</v>
          </cell>
          <cell r="AK5114" t="str">
            <v>Mike Drews</v>
          </cell>
        </row>
        <row r="5115">
          <cell r="C5115" t="str">
            <v>Peapack Gladstone Bank MQC</v>
          </cell>
          <cell r="H5115">
            <v>5039261</v>
          </cell>
          <cell r="AK5115" t="str">
            <v>Keith Cole</v>
          </cell>
        </row>
        <row r="5116">
          <cell r="C5116" t="str">
            <v>MS Settlements Exec Analytics</v>
          </cell>
          <cell r="H5116">
            <v>5039221</v>
          </cell>
          <cell r="AK5116" t="str">
            <v>Audra Schoenfeldt Furer</v>
          </cell>
        </row>
        <row r="5117">
          <cell r="C5117" t="str">
            <v>UB_106_Digital PSRA Sup Ext2</v>
          </cell>
          <cell r="H5117">
            <v>5039153</v>
          </cell>
          <cell r="AK5117" t="str">
            <v>Samuel Awsumb</v>
          </cell>
        </row>
        <row r="5118">
          <cell r="C5118" t="str">
            <v>SVB_DA_Data Agile Transform_P2</v>
          </cell>
          <cell r="H5118">
            <v>5039209</v>
          </cell>
          <cell r="AK5118" t="str">
            <v>Kyle Chavers</v>
          </cell>
        </row>
        <row r="5119">
          <cell r="C5119" t="str">
            <v>SVB_DA_ODP Agile Extension</v>
          </cell>
          <cell r="H5119">
            <v>5038809</v>
          </cell>
          <cell r="AK5119" t="str">
            <v>Kyle Chavers</v>
          </cell>
        </row>
        <row r="5120">
          <cell r="C5120" t="str">
            <v>WF_Servicing UI and UX</v>
          </cell>
          <cell r="H5120">
            <v>5039215</v>
          </cell>
          <cell r="AK5120" t="str">
            <v>James Kane</v>
          </cell>
        </row>
        <row r="5121">
          <cell r="C5121" t="str">
            <v>MS_Trading Ops_Synd Recon 2</v>
          </cell>
          <cell r="H5121">
            <v>5038685</v>
          </cell>
          <cell r="AK5121" t="str">
            <v>Ryan Savoca</v>
          </cell>
        </row>
        <row r="5122">
          <cell r="C5122" t="str">
            <v>USAA SCRA Amd 2</v>
          </cell>
          <cell r="H5122">
            <v>5037056</v>
          </cell>
          <cell r="AK5122" t="str">
            <v>Samuel Desta</v>
          </cell>
        </row>
        <row r="5123">
          <cell r="C5123" t="str">
            <v>Jeff_Reg IM Program Ext</v>
          </cell>
          <cell r="H5123">
            <v>5037284</v>
          </cell>
          <cell r="AK5123" t="str">
            <v>Chelsea Mattias</v>
          </cell>
        </row>
        <row r="5124">
          <cell r="C5124" t="str">
            <v>HB_FDIC 370 Extension</v>
          </cell>
          <cell r="H5124">
            <v>5035054</v>
          </cell>
          <cell r="AK5124" t="str">
            <v>Christopher Martines</v>
          </cell>
        </row>
        <row r="5125">
          <cell r="C5125" t="str">
            <v>MS_CFTC Remediation 2020 Ext</v>
          </cell>
          <cell r="H5125">
            <v>5038208</v>
          </cell>
          <cell r="AK5125" t="str">
            <v>Ruben Sooriya</v>
          </cell>
        </row>
        <row r="5126">
          <cell r="C5126" t="str">
            <v>MS Tech Data BA Ext</v>
          </cell>
          <cell r="H5126">
            <v>5038784</v>
          </cell>
          <cell r="AK5126" t="str">
            <v>Mitali Drews</v>
          </cell>
        </row>
        <row r="5127">
          <cell r="C5127" t="str">
            <v>CNB_VMO Reporting and Refresh</v>
          </cell>
          <cell r="H5127">
            <v>5038943</v>
          </cell>
          <cell r="AK5127" t="str">
            <v>Betsy Cherian</v>
          </cell>
        </row>
        <row r="5128">
          <cell r="C5128" t="str">
            <v>USAA Flood Review UFSB</v>
          </cell>
          <cell r="H5128">
            <v>5039316</v>
          </cell>
          <cell r="AK5128" t="str">
            <v>Thuy Whitaker</v>
          </cell>
        </row>
        <row r="5129">
          <cell r="C5129" t="str">
            <v>Parkersburg-BSA Ind Test</v>
          </cell>
          <cell r="H5129">
            <v>5038349</v>
          </cell>
          <cell r="AK5129" t="str">
            <v>Charles Mcwilliam</v>
          </cell>
        </row>
        <row r="5130">
          <cell r="C5130" t="str">
            <v>FM_Forbearance Support PM</v>
          </cell>
          <cell r="H5130">
            <v>5039253</v>
          </cell>
          <cell r="AK5130" t="str">
            <v>Mike Peretz</v>
          </cell>
        </row>
        <row r="5131">
          <cell r="C5131" t="str">
            <v>FrMc_MF Enterprise BTO</v>
          </cell>
          <cell r="H5131">
            <v>5039233</v>
          </cell>
          <cell r="AK5131" t="str">
            <v>Bharath Chikkamaranahalli Bhaskar</v>
          </cell>
        </row>
        <row r="5132">
          <cell r="C5132" t="str">
            <v>Jeff_eTrading</v>
          </cell>
          <cell r="H5132">
            <v>5039371</v>
          </cell>
          <cell r="AK5132" t="str">
            <v>Sarmistha Bhattacharjee</v>
          </cell>
        </row>
        <row r="5133">
          <cell r="C5133" t="str">
            <v>Jeff_Treasury Support</v>
          </cell>
          <cell r="H5133">
            <v>5039377</v>
          </cell>
          <cell r="AK5133" t="str">
            <v>Sarmistha Bhattacharjee</v>
          </cell>
        </row>
        <row r="5134">
          <cell r="C5134" t="str">
            <v>Jeff EBS Comp Analyst Ext2</v>
          </cell>
          <cell r="H5134">
            <v>5039331</v>
          </cell>
          <cell r="AK5134" t="str">
            <v>Jeffrey Gheraldi</v>
          </cell>
        </row>
        <row r="5135">
          <cell r="C5135" t="str">
            <v>Shoko-BSA Independent Testing</v>
          </cell>
          <cell r="H5135">
            <v>5039239</v>
          </cell>
          <cell r="AK5135" t="str">
            <v>William Sachs</v>
          </cell>
        </row>
        <row r="5136">
          <cell r="C5136" t="str">
            <v>Jeff_CRM Sfc Delivery Lead</v>
          </cell>
          <cell r="H5136">
            <v>5039278</v>
          </cell>
          <cell r="AK5136" t="str">
            <v>Jeffrey Gheraldi</v>
          </cell>
        </row>
        <row r="5137">
          <cell r="C5137" t="str">
            <v>HSBC-GBM-Reg Change PM Ext</v>
          </cell>
          <cell r="H5137">
            <v>5037657</v>
          </cell>
          <cell r="AK5137" t="str">
            <v>Kevin Sajdak</v>
          </cell>
        </row>
        <row r="5138">
          <cell r="C5138" t="str">
            <v>UB_108_CBT Jira Sup ph1</v>
          </cell>
          <cell r="H5138">
            <v>5039270</v>
          </cell>
          <cell r="AK5138" t="str">
            <v>Samuel Awsumb</v>
          </cell>
        </row>
        <row r="5139">
          <cell r="C5139" t="str">
            <v>WF_cib_reg&amp;risk_CO1</v>
          </cell>
          <cell r="H5139">
            <v>5038740</v>
          </cell>
          <cell r="AK5139" t="str">
            <v>Edward Kelley</v>
          </cell>
        </row>
        <row r="5140">
          <cell r="C5140" t="str">
            <v>SVB_PR_PSD2 TPP Compliance Sup</v>
          </cell>
          <cell r="H5140">
            <v>5039340</v>
          </cell>
          <cell r="AK5140" t="str">
            <v>Sam Larsen</v>
          </cell>
        </row>
        <row r="5141">
          <cell r="C5141" t="str">
            <v>DB_IB Operations Living Wills</v>
          </cell>
          <cell r="H5141">
            <v>5037588</v>
          </cell>
          <cell r="AK5141" t="str">
            <v>Sandra Paris</v>
          </cell>
        </row>
        <row r="5142">
          <cell r="C5142" t="str">
            <v>UBS WMAP Readiness Support_Ext</v>
          </cell>
          <cell r="H5142">
            <v>5038449</v>
          </cell>
          <cell r="AK5142" t="str">
            <v>James St. Jean</v>
          </cell>
        </row>
        <row r="5143">
          <cell r="C5143" t="str">
            <v>Truist_FDIC 370 BPO Support</v>
          </cell>
          <cell r="H5143">
            <v>5039277</v>
          </cell>
          <cell r="AK5143" t="str">
            <v>Kelsey Popplewell</v>
          </cell>
        </row>
        <row r="5144">
          <cell r="C5144" t="str">
            <v>SVB_IT_MDF Development</v>
          </cell>
          <cell r="H5144">
            <v>5039346</v>
          </cell>
          <cell r="AK5144" t="str">
            <v>Chinmoy Bhatiya</v>
          </cell>
        </row>
        <row r="5145">
          <cell r="C5145" t="str">
            <v>Jeff_CRM OneJef Surge Offshore</v>
          </cell>
          <cell r="H5145">
            <v>5039370</v>
          </cell>
          <cell r="AK5145" t="str">
            <v>Aoife Hogan</v>
          </cell>
        </row>
        <row r="5146">
          <cell r="C5146" t="str">
            <v>Jeff_CRM OneJef Surge 2020 Ext</v>
          </cell>
          <cell r="H5146">
            <v>5039368</v>
          </cell>
          <cell r="AK5146" t="str">
            <v>Aoife Hogan</v>
          </cell>
        </row>
        <row r="5147">
          <cell r="C5147" t="str">
            <v>BSA Alert Clearing</v>
          </cell>
          <cell r="H5147">
            <v>5036856</v>
          </cell>
          <cell r="AK5147" t="str">
            <v>Jonathan Hunt</v>
          </cell>
        </row>
        <row r="5148">
          <cell r="C5148" t="str">
            <v>RBCUS_IT Remediation Support</v>
          </cell>
          <cell r="H5148">
            <v>5039314</v>
          </cell>
          <cell r="AK5148" t="str">
            <v>Carl Repoli</v>
          </cell>
        </row>
        <row r="5149">
          <cell r="C5149" t="str">
            <v>Jeff_Legal &amp; Compliance BA</v>
          </cell>
          <cell r="H5149">
            <v>5037827</v>
          </cell>
          <cell r="AK5149" t="str">
            <v>Matthew Rodgers</v>
          </cell>
        </row>
        <row r="5150">
          <cell r="C5150" t="str">
            <v>SVB_DA_Data Quality Dashboard</v>
          </cell>
          <cell r="H5150">
            <v>5038809</v>
          </cell>
          <cell r="AK5150" t="str">
            <v>Kyle Chavers</v>
          </cell>
        </row>
        <row r="5151">
          <cell r="C5151" t="str">
            <v>FrMc_MF Keychain AMD 1</v>
          </cell>
          <cell r="H5151">
            <v>5038523</v>
          </cell>
          <cell r="AK5151" t="str">
            <v>David Williams</v>
          </cell>
        </row>
        <row r="5152">
          <cell r="C5152" t="str">
            <v>SVB_IT_Recruit Strat Jun Ext</v>
          </cell>
          <cell r="H5152">
            <v>5038756</v>
          </cell>
          <cell r="AK5152" t="str">
            <v>Chinmoy Bhatiya</v>
          </cell>
        </row>
        <row r="5153">
          <cell r="C5153" t="str">
            <v>FrMc_Ent Ops Analyst Support</v>
          </cell>
          <cell r="H5153">
            <v>5038377</v>
          </cell>
          <cell r="AK5153" t="str">
            <v>Christopher Martines</v>
          </cell>
        </row>
        <row r="5154">
          <cell r="C5154" t="str">
            <v>MS_IMOPS_Strat Trans_Ext2</v>
          </cell>
          <cell r="H5154">
            <v>5038015</v>
          </cell>
          <cell r="AK5154" t="str">
            <v>Angela McGregor</v>
          </cell>
        </row>
        <row r="5155">
          <cell r="C5155" t="str">
            <v>CSS- Performance PM extension</v>
          </cell>
          <cell r="H5155">
            <v>5037764</v>
          </cell>
          <cell r="AK5155" t="str">
            <v>Danny Boulos</v>
          </cell>
        </row>
        <row r="5156">
          <cell r="C5156" t="str">
            <v>WF_Retail Lending Trans Exec</v>
          </cell>
          <cell r="H5156">
            <v>5039347</v>
          </cell>
          <cell r="AK5156" t="str">
            <v>James Kane</v>
          </cell>
        </row>
        <row r="5157">
          <cell r="C5157" t="str">
            <v>SFG_Compliance Risk Assessment</v>
          </cell>
          <cell r="H5157">
            <v>5038920</v>
          </cell>
          <cell r="AK5157" t="str">
            <v>Kristina Slattery</v>
          </cell>
        </row>
        <row r="5158">
          <cell r="C5158" t="str">
            <v>Jeff_CRM OneJef PM Ext</v>
          </cell>
          <cell r="H5158">
            <v>5039357</v>
          </cell>
          <cell r="AK5158" t="str">
            <v>Joseph Yan</v>
          </cell>
        </row>
        <row r="5159">
          <cell r="C5159" t="str">
            <v>NatCapBk_BSA AML Sys Optim</v>
          </cell>
          <cell r="H5159">
            <v>5039396</v>
          </cell>
          <cell r="AK5159" t="str">
            <v>William Sachs</v>
          </cell>
        </row>
        <row r="5160">
          <cell r="C5160" t="str">
            <v>Parkside Financial Bank &amp; _RAS</v>
          </cell>
          <cell r="H5160">
            <v>5039536</v>
          </cell>
          <cell r="AK5160" t="str">
            <v>Diane Banks</v>
          </cell>
        </row>
        <row r="5161">
          <cell r="C5161" t="str">
            <v>US Bank_FICM Product Strategy</v>
          </cell>
          <cell r="H5161">
            <v>5039354</v>
          </cell>
          <cell r="AK5161" t="str">
            <v>Joshua Bloch</v>
          </cell>
        </row>
        <row r="5162">
          <cell r="C5162" t="str">
            <v>FIS_Site Strategy</v>
          </cell>
          <cell r="H5162">
            <v>5039356</v>
          </cell>
          <cell r="AK5162" t="str">
            <v>Matthew Faraone</v>
          </cell>
        </row>
        <row r="5163">
          <cell r="C5163" t="str">
            <v>UB_102_CBT Bus Risk Ph1</v>
          </cell>
          <cell r="H5163">
            <v>5039318</v>
          </cell>
          <cell r="AK5163" t="str">
            <v>Samuel Awsumb</v>
          </cell>
        </row>
        <row r="5164">
          <cell r="C5164" t="str">
            <v>Sunrise Bank_RAS</v>
          </cell>
          <cell r="H5164">
            <v>5039556</v>
          </cell>
          <cell r="AK5164" t="str">
            <v>Diane Banks</v>
          </cell>
        </row>
        <row r="5165">
          <cell r="C5165" t="str">
            <v>Community First National Bank_RAS</v>
          </cell>
          <cell r="H5165">
            <v>5040119</v>
          </cell>
          <cell r="AK5165" t="str">
            <v>Travis Peraza</v>
          </cell>
        </row>
        <row r="5166">
          <cell r="C5166" t="str">
            <v>Popular Bnk_nCino Validation</v>
          </cell>
          <cell r="H5166">
            <v>5039173</v>
          </cell>
          <cell r="AK5166" t="str">
            <v>Louvera Walden</v>
          </cell>
        </row>
        <row r="5167">
          <cell r="C5167" t="str">
            <v>CitizensRoma_BSA Training</v>
          </cell>
          <cell r="H5167">
            <v>5039300</v>
          </cell>
          <cell r="AK5167" t="str">
            <v>Diane Banks</v>
          </cell>
        </row>
        <row r="5168">
          <cell r="C5168" t="str">
            <v>Hyperion Bk Compliance Reviews</v>
          </cell>
          <cell r="H5168">
            <v>5039974</v>
          </cell>
          <cell r="AK5168" t="str">
            <v>Kristina Slattery</v>
          </cell>
        </row>
        <row r="5169">
          <cell r="C5169" t="str">
            <v>Jeff EQ Sup Control Ext4</v>
          </cell>
          <cell r="H5169">
            <v>5037499</v>
          </cell>
          <cell r="AK5169" t="str">
            <v>Jeffrey Gheraldi</v>
          </cell>
        </row>
        <row r="5170">
          <cell r="C5170" t="str">
            <v>HYPB_Risk Assessments</v>
          </cell>
          <cell r="H5170">
            <v>5039955</v>
          </cell>
          <cell r="AK5170" t="str">
            <v>Robert Farmer</v>
          </cell>
        </row>
        <row r="5171">
          <cell r="C5171" t="str">
            <v>MS_WM Advisory Tech PMO 20 2H</v>
          </cell>
          <cell r="H5171">
            <v>5038020</v>
          </cell>
          <cell r="AK5171" t="str">
            <v>Rohini Bhatia</v>
          </cell>
        </row>
        <row r="5172">
          <cell r="C5172" t="str">
            <v>SVB_IT_CIRO Strat Refresh Supp</v>
          </cell>
          <cell r="H5172">
            <v>5039338</v>
          </cell>
          <cell r="AK5172" t="str">
            <v>Ridha Mesli</v>
          </cell>
        </row>
        <row r="5173">
          <cell r="C5173" t="str">
            <v>Jeff_CRM Content Mgmt BA</v>
          </cell>
          <cell r="H5173">
            <v>5039355</v>
          </cell>
          <cell r="AK5173" t="str">
            <v>Scott Hanrahan</v>
          </cell>
        </row>
        <row r="5174">
          <cell r="C5174" t="str">
            <v>Jeff_CRM UI UX Ext</v>
          </cell>
          <cell r="H5174">
            <v>5039333</v>
          </cell>
          <cell r="AK5174" t="str">
            <v>Aoife Hogan</v>
          </cell>
        </row>
        <row r="5175">
          <cell r="C5175" t="str">
            <v>CNB_Financial Crime EDD</v>
          </cell>
          <cell r="H5175">
            <v>5039360</v>
          </cell>
          <cell r="AK5175" t="str">
            <v>Jonathan Hunt</v>
          </cell>
        </row>
        <row r="5176">
          <cell r="C5176" t="str">
            <v>Jeff_Transcend Analysis Role</v>
          </cell>
          <cell r="H5176">
            <v>5039334</v>
          </cell>
          <cell r="AK5176" t="str">
            <v>Matthew Rodgers</v>
          </cell>
        </row>
        <row r="5177">
          <cell r="C5177" t="str">
            <v>Jeff_CRB AT AH QA Lead</v>
          </cell>
          <cell r="H5177">
            <v>5039422</v>
          </cell>
          <cell r="AK5177" t="str">
            <v>John McCaffrey</v>
          </cell>
        </row>
        <row r="5178">
          <cell r="C5178" t="str">
            <v>WSFS-TRID Rvw (test engagemnt)</v>
          </cell>
          <cell r="H5178">
            <v>5039280</v>
          </cell>
          <cell r="AK5178" t="str">
            <v>Bonita Riccaboni</v>
          </cell>
        </row>
        <row r="5179">
          <cell r="C5179" t="str">
            <v>FM SF - AWS IT Resource 3</v>
          </cell>
          <cell r="H5179">
            <v>5039092</v>
          </cell>
          <cell r="AK5179" t="str">
            <v>Chad Bonadonna</v>
          </cell>
        </row>
        <row r="5180">
          <cell r="C5180" t="str">
            <v>Jeff Compliance Analyst Ext5</v>
          </cell>
          <cell r="H5180">
            <v>5039336</v>
          </cell>
          <cell r="AK5180" t="str">
            <v>Jeffrey Gheraldi</v>
          </cell>
        </row>
        <row r="5181">
          <cell r="C5181" t="str">
            <v>Jeff Emp Hierarchy Analy Ext5</v>
          </cell>
          <cell r="H5181">
            <v>5039364</v>
          </cell>
          <cell r="AK5181" t="str">
            <v>Jeffrey Gheraldi</v>
          </cell>
        </row>
        <row r="5182">
          <cell r="C5182" t="str">
            <v>Dean-BSA AML OFAC RA</v>
          </cell>
          <cell r="H5182">
            <v>5039326</v>
          </cell>
          <cell r="AK5182" t="str">
            <v>William Sachs</v>
          </cell>
        </row>
        <row r="5183">
          <cell r="C5183" t="str">
            <v>Citi Aqua Program Mgmt Ext</v>
          </cell>
          <cell r="H5183">
            <v>5039302</v>
          </cell>
          <cell r="AK5183" t="str">
            <v>Ervinas Janavicius</v>
          </cell>
        </row>
        <row r="5184">
          <cell r="C5184" t="str">
            <v>FrMc_ODS AMD 6</v>
          </cell>
          <cell r="H5184">
            <v>5038145</v>
          </cell>
          <cell r="AK5184" t="str">
            <v>David Williams</v>
          </cell>
        </row>
        <row r="5185">
          <cell r="C5185" t="str">
            <v>CNB_Alert Clearing</v>
          </cell>
          <cell r="H5185">
            <v>5036856</v>
          </cell>
          <cell r="AK5185" t="str">
            <v>Jonathan Hunt</v>
          </cell>
        </row>
        <row r="5186">
          <cell r="C5186" t="str">
            <v>Pru - Future of Work - Pt1</v>
          </cell>
          <cell r="H5186">
            <v>5039379</v>
          </cell>
          <cell r="AK5186" t="str">
            <v>Phil Kerkel</v>
          </cell>
        </row>
        <row r="5187">
          <cell r="C5187" t="str">
            <v>SVB_IT_Tech Recruit_CO2</v>
          </cell>
          <cell r="H5187">
            <v>5038974</v>
          </cell>
          <cell r="AK5187" t="str">
            <v>Lisa Lee</v>
          </cell>
        </row>
        <row r="5188">
          <cell r="C5188" t="str">
            <v>MS_FAST Field Rollout</v>
          </cell>
          <cell r="H5188">
            <v>5038201</v>
          </cell>
          <cell r="AK5188" t="str">
            <v>Leah Watson</v>
          </cell>
        </row>
        <row r="5189">
          <cell r="C5189" t="str">
            <v>UBS_Self-DirectedCards Program</v>
          </cell>
          <cell r="H5189">
            <v>5039310</v>
          </cell>
          <cell r="AK5189" t="str">
            <v>Season Man</v>
          </cell>
        </row>
        <row r="5190">
          <cell r="C5190" t="str">
            <v>SVB_IT_Org Design_CO1</v>
          </cell>
          <cell r="H5190">
            <v>5038946</v>
          </cell>
          <cell r="AK5190" t="str">
            <v>Aditya Taneja</v>
          </cell>
        </row>
        <row r="5191">
          <cell r="C5191" t="str">
            <v>GS CAT Extra support</v>
          </cell>
          <cell r="H5191">
            <v>5039391</v>
          </cell>
          <cell r="AK5191" t="str">
            <v>Parul Chowdhry</v>
          </cell>
        </row>
        <row r="5192">
          <cell r="C5192" t="str">
            <v>MS_RPA Pilot Innovation Office</v>
          </cell>
          <cell r="H5192">
            <v>5039378</v>
          </cell>
          <cell r="AK5192" t="str">
            <v>Jon Herna</v>
          </cell>
        </row>
        <row r="5193">
          <cell r="C5193" t="str">
            <v>Jeff_AML Support</v>
          </cell>
          <cell r="H5193">
            <v>5039409</v>
          </cell>
          <cell r="AK5193" t="str">
            <v>Jeffrey Gheraldi</v>
          </cell>
        </row>
        <row r="5194">
          <cell r="C5194" t="str">
            <v>CPB Investment Mgt Platform</v>
          </cell>
          <cell r="H5194">
            <v>5039339</v>
          </cell>
          <cell r="AK5194" t="str">
            <v>Robert Norris</v>
          </cell>
        </row>
        <row r="5195">
          <cell r="C5195" t="str">
            <v>BRYN Prvt Bkng&amp;Admin Acct Rvw</v>
          </cell>
          <cell r="H5195">
            <v>5039369</v>
          </cell>
          <cell r="AK5195" t="str">
            <v>David Stalnaker</v>
          </cell>
        </row>
        <row r="5196">
          <cell r="C5196" t="str">
            <v>Rockland-Mtg Lending Compl Rev</v>
          </cell>
          <cell r="H5196">
            <v>5038588</v>
          </cell>
          <cell r="AK5196" t="str">
            <v>Leigh Tribou</v>
          </cell>
        </row>
        <row r="5197">
          <cell r="C5197" t="str">
            <v>Jeff_ComplianceProgramManager</v>
          </cell>
          <cell r="H5197">
            <v>5039780</v>
          </cell>
          <cell r="AK5197" t="str">
            <v>Matthew Rodgers</v>
          </cell>
        </row>
        <row r="5198">
          <cell r="C5198" t="str">
            <v>JohnMBnk_Fair Lending Risk Ass</v>
          </cell>
          <cell r="H5198">
            <v>5039435</v>
          </cell>
          <cell r="AK5198" t="str">
            <v>Gail Rassler</v>
          </cell>
        </row>
        <row r="5199">
          <cell r="C5199" t="str">
            <v>FrMc_Change Management AMD 2</v>
          </cell>
          <cell r="H5199">
            <v>5038364</v>
          </cell>
          <cell r="AK5199" t="str">
            <v>Sabrina Amjad</v>
          </cell>
        </row>
        <row r="5200">
          <cell r="C5200" t="str">
            <v>Jeff_CRM Change Agent</v>
          </cell>
          <cell r="H5200">
            <v>5039410</v>
          </cell>
          <cell r="AK5200" t="str">
            <v>Aoife Hogan</v>
          </cell>
        </row>
        <row r="5201">
          <cell r="C5201" t="str">
            <v>MS_Classic Trading Scrum Mstr</v>
          </cell>
          <cell r="H5201">
            <v>5039771</v>
          </cell>
          <cell r="AK5201" t="str">
            <v>Rayna Gittelman</v>
          </cell>
        </row>
        <row r="5202">
          <cell r="C5202" t="str">
            <v>MS_SSBO 2020 EXTENSION</v>
          </cell>
          <cell r="H5202">
            <v>5038183</v>
          </cell>
          <cell r="AK5202" t="str">
            <v>Ruben Sooriya</v>
          </cell>
        </row>
        <row r="5203">
          <cell r="C5203" t="str">
            <v>WM Tech New NY Scrum</v>
          </cell>
          <cell r="H5203">
            <v>5038020</v>
          </cell>
          <cell r="AK5203" t="str">
            <v>Rohini Bhatia</v>
          </cell>
        </row>
        <row r="5204">
          <cell r="C5204" t="str">
            <v>WinTB_GRC Consulting_Training</v>
          </cell>
          <cell r="H5204">
            <v>5039805</v>
          </cell>
          <cell r="AK5204" t="str">
            <v>Tania Makuh</v>
          </cell>
        </row>
        <row r="5205">
          <cell r="C5205" t="str">
            <v>SVB_PR_Card Processor Ph3</v>
          </cell>
          <cell r="H5205">
            <v>5039839</v>
          </cell>
          <cell r="AK5205" t="str">
            <v>Gregory Mauro</v>
          </cell>
        </row>
        <row r="5206">
          <cell r="C5206" t="str">
            <v>Reg. E Trxn Test Augm'tn</v>
          </cell>
          <cell r="H5206">
            <v>5038601</v>
          </cell>
          <cell r="AK5206" t="str">
            <v>Randall Patton</v>
          </cell>
        </row>
        <row r="5207">
          <cell r="C5207" t="str">
            <v>FrdMc_IAM Modernization Ph II</v>
          </cell>
          <cell r="H5207">
            <v>5039773</v>
          </cell>
          <cell r="AK5207" t="str">
            <v>David Williams</v>
          </cell>
        </row>
        <row r="5208">
          <cell r="C5208" t="str">
            <v>WM Ops_AI RTB Spprt 2020 Ext2</v>
          </cell>
          <cell r="H5208">
            <v>5038207</v>
          </cell>
          <cell r="AK5208" t="str">
            <v>Leah Watson</v>
          </cell>
        </row>
        <row r="5209">
          <cell r="C5209" t="str">
            <v>Lakeland_Data Classification</v>
          </cell>
          <cell r="H5209">
            <v>5038405</v>
          </cell>
          <cell r="AK5209" t="str">
            <v>Aditya Udas</v>
          </cell>
        </row>
        <row r="5210">
          <cell r="C5210" t="str">
            <v>WM Ops_Escheatment 2020 Ext</v>
          </cell>
          <cell r="H5210">
            <v>5038205</v>
          </cell>
          <cell r="AK5210" t="str">
            <v>Leah Watson</v>
          </cell>
        </row>
        <row r="5211">
          <cell r="C5211" t="str">
            <v>UB_085_CBT Bus Jrnys CO1</v>
          </cell>
          <cell r="H5211">
            <v>5039809</v>
          </cell>
          <cell r="AK5211" t="str">
            <v>Samuel Awsumb</v>
          </cell>
        </row>
        <row r="5212">
          <cell r="C5212" t="str">
            <v>Marshal-BSAAML OFAC RiskUpdate</v>
          </cell>
          <cell r="H5212">
            <v>5038591</v>
          </cell>
          <cell r="AK5212" t="str">
            <v>William Sachs</v>
          </cell>
        </row>
        <row r="5213">
          <cell r="C5213" t="str">
            <v>UBS_US DMO 2020 Jul-Dec Ext</v>
          </cell>
          <cell r="H5213">
            <v>5037978</v>
          </cell>
          <cell r="AK5213" t="str">
            <v>Angela McGregor</v>
          </cell>
        </row>
        <row r="5214">
          <cell r="C5214" t="str">
            <v>BCU_Compliance Consulting</v>
          </cell>
          <cell r="H5214">
            <v>5040080</v>
          </cell>
          <cell r="AK5214" t="str">
            <v>Louvera Walden</v>
          </cell>
        </row>
        <row r="5215">
          <cell r="C5215" t="str">
            <v>Summit Financial Group In_RAS</v>
          </cell>
          <cell r="H5215">
            <v>5039554</v>
          </cell>
          <cell r="AK5215" t="str">
            <v>Rebecca Breland</v>
          </cell>
        </row>
        <row r="5216">
          <cell r="C5216" t="str">
            <v>Citi Data India (US Half)</v>
          </cell>
          <cell r="H5216">
            <v>5039769</v>
          </cell>
          <cell r="AK5216" t="str">
            <v>Robert Norris</v>
          </cell>
        </row>
        <row r="5217">
          <cell r="C5217" t="str">
            <v>EHMC_BSA Independent Testing</v>
          </cell>
          <cell r="H5217">
            <v>5039876</v>
          </cell>
          <cell r="AK5217" t="str">
            <v>Charles Mcwilliam</v>
          </cell>
        </row>
        <row r="5218">
          <cell r="C5218" t="str">
            <v>FM SF CDW analyst</v>
          </cell>
          <cell r="H5218">
            <v>5039411</v>
          </cell>
          <cell r="AK5218" t="str">
            <v>Ramnish Gupta</v>
          </cell>
        </row>
        <row r="5219">
          <cell r="C5219" t="str">
            <v>MSNL_BSA/AML IndepndentTesting</v>
          </cell>
          <cell r="H5219">
            <v>5040033</v>
          </cell>
          <cell r="AK5219" t="str">
            <v>Nancy Gregory</v>
          </cell>
        </row>
        <row r="5220">
          <cell r="C5220" t="str">
            <v>WilliamPenn_BSA_AML_OFAC_CIPRA</v>
          </cell>
          <cell r="H5220">
            <v>5039993</v>
          </cell>
          <cell r="AK5220" t="str">
            <v>William Sachs</v>
          </cell>
        </row>
        <row r="5221">
          <cell r="C5221" t="str">
            <v>Parkersburg_Yellow Hammer Rev</v>
          </cell>
          <cell r="H5221">
            <v>5039332</v>
          </cell>
          <cell r="AK5221" t="str">
            <v>William Sachs</v>
          </cell>
        </row>
        <row r="5222">
          <cell r="C5222" t="str">
            <v>FAB_BSA Independent Testing</v>
          </cell>
          <cell r="H5222">
            <v>5039781</v>
          </cell>
          <cell r="AK5222" t="str">
            <v>William Sachs</v>
          </cell>
        </row>
        <row r="5223">
          <cell r="C5223" t="str">
            <v>FrMc_MF RMT (T&amp;M)</v>
          </cell>
          <cell r="H5223">
            <v>5039317</v>
          </cell>
          <cell r="AK5223" t="str">
            <v>Poorna Bhimavarapu</v>
          </cell>
        </row>
        <row r="5224">
          <cell r="C5224" t="str">
            <v>SVB_PR_GW 2020 Implem Supt Q3</v>
          </cell>
          <cell r="H5224">
            <v>5039826</v>
          </cell>
          <cell r="AK5224" t="str">
            <v>Michael Tao</v>
          </cell>
        </row>
        <row r="5225">
          <cell r="C5225" t="str">
            <v>Ridgewood SB CMS Optimizer</v>
          </cell>
          <cell r="H5225">
            <v>5039832</v>
          </cell>
          <cell r="AK5225" t="str">
            <v>Mary Louise Radley</v>
          </cell>
        </row>
        <row r="5226">
          <cell r="C5226" t="str">
            <v>Jeff_GCTAC FI</v>
          </cell>
          <cell r="H5226">
            <v>5039794</v>
          </cell>
          <cell r="AK5226" t="str">
            <v>John McCaffrey</v>
          </cell>
        </row>
        <row r="5227">
          <cell r="C5227" t="str">
            <v>USAA-Re-disclosure Team Tasks</v>
          </cell>
          <cell r="H5227">
            <v>5039855</v>
          </cell>
          <cell r="AK5227" t="str">
            <v>Michael Austin</v>
          </cell>
        </row>
        <row r="5228">
          <cell r="C5228" t="str">
            <v>USAA-RMSC SCRT</v>
          </cell>
          <cell r="H5228">
            <v>5039837</v>
          </cell>
          <cell r="AK5228" t="str">
            <v>Michael Austin</v>
          </cell>
        </row>
        <row r="5229">
          <cell r="C5229" t="str">
            <v>USAA-Closing Disclosure Rev</v>
          </cell>
          <cell r="H5229">
            <v>5039838</v>
          </cell>
          <cell r="AK5229" t="str">
            <v>Michael Austin</v>
          </cell>
        </row>
        <row r="5230">
          <cell r="C5230" t="str">
            <v>UBS US Finance Taskforce H2-20</v>
          </cell>
          <cell r="H5230">
            <v>5040047</v>
          </cell>
          <cell r="AK5230" t="str">
            <v>Angela McGregor</v>
          </cell>
        </row>
        <row r="5231">
          <cell r="C5231" t="str">
            <v>CBSB_Independent BSA Audit</v>
          </cell>
          <cell r="H5231">
            <v>5039109</v>
          </cell>
          <cell r="AK5231" t="str">
            <v>Charles Mcwilliam</v>
          </cell>
        </row>
        <row r="5232">
          <cell r="C5232" t="str">
            <v>BDBA_2020 HMDA Reviews</v>
          </cell>
          <cell r="H5232">
            <v>5039963</v>
          </cell>
          <cell r="AK5232" t="str">
            <v>Juan Pimentel</v>
          </cell>
        </row>
        <row r="5233">
          <cell r="C5233" t="str">
            <v>SSBO-Single res.ext.(Sirius)</v>
          </cell>
          <cell r="H5233">
            <v>5038183</v>
          </cell>
          <cell r="AK5233" t="str">
            <v>Ruben Sooriya</v>
          </cell>
        </row>
        <row r="5234">
          <cell r="C5234" t="str">
            <v>FrMc_Big Data Operations Amd1</v>
          </cell>
          <cell r="H5234">
            <v>5037784</v>
          </cell>
          <cell r="AK5234" t="str">
            <v>Ramnish Gupta</v>
          </cell>
        </row>
        <row r="5235">
          <cell r="C5235" t="str">
            <v>GS CAT 2020 h2</v>
          </cell>
          <cell r="H5235">
            <v>5038159</v>
          </cell>
          <cell r="AK5235" t="str">
            <v>Parul Chowdhry</v>
          </cell>
        </row>
        <row r="5236">
          <cell r="C5236" t="str">
            <v>MS S&amp;A Iliquid Ext Q3 2020</v>
          </cell>
          <cell r="H5236">
            <v>5038148</v>
          </cell>
          <cell r="AK5236" t="str">
            <v>Alexander Collyer</v>
          </cell>
        </row>
        <row r="5237">
          <cell r="C5237" t="str">
            <v>MS_CAT Ext NS</v>
          </cell>
          <cell r="H5237">
            <v>5038186</v>
          </cell>
          <cell r="AK5237" t="str">
            <v>Ruben Sooriya</v>
          </cell>
        </row>
        <row r="5238">
          <cell r="C5238" t="str">
            <v>ILM MF Q3-Q4</v>
          </cell>
          <cell r="H5238">
            <v>5035055</v>
          </cell>
          <cell r="AK5238" t="str">
            <v>Thadi Murali</v>
          </cell>
        </row>
        <row r="5239">
          <cell r="C5239" t="str">
            <v>LKLD Contact Center Redesign</v>
          </cell>
          <cell r="H5239">
            <v>5039808</v>
          </cell>
          <cell r="AK5239" t="str">
            <v>Keshav Khanna</v>
          </cell>
        </row>
        <row r="5240">
          <cell r="C5240" t="str">
            <v>CCCU_Info Sec &amp; eCommerce RAs</v>
          </cell>
          <cell r="H5240">
            <v>5038921</v>
          </cell>
          <cell r="AK5240" t="str">
            <v>Robert Farmer</v>
          </cell>
        </row>
        <row r="5241">
          <cell r="C5241" t="str">
            <v>App Quality Review Extension</v>
          </cell>
          <cell r="H5241">
            <v>5039042</v>
          </cell>
          <cell r="AK5241" t="str">
            <v>Thuy Whitaker</v>
          </cell>
        </row>
        <row r="5242">
          <cell r="C5242" t="str">
            <v>DB Condor H2 2020 extension</v>
          </cell>
          <cell r="H5242">
            <v>5035800</v>
          </cell>
          <cell r="AK5242" t="str">
            <v>Phil Kerkel</v>
          </cell>
        </row>
        <row r="5243">
          <cell r="C5243" t="str">
            <v>HSBC-FIN-RAF PM</v>
          </cell>
          <cell r="H5243">
            <v>5039835</v>
          </cell>
          <cell r="AK5243" t="str">
            <v>Peter Brown</v>
          </cell>
        </row>
        <row r="5244">
          <cell r="C5244" t="str">
            <v>GS IMD Change 2020 H2</v>
          </cell>
          <cell r="H5244">
            <v>5039390</v>
          </cell>
          <cell r="AK5244" t="str">
            <v>Maximilian Mauro</v>
          </cell>
        </row>
        <row r="5245">
          <cell r="C5245" t="str">
            <v>CredAgri_Cyber Strategy</v>
          </cell>
          <cell r="H5245">
            <v>5038007</v>
          </cell>
          <cell r="AK5245" t="str">
            <v>Thanh Le Xuan</v>
          </cell>
        </row>
        <row r="5246">
          <cell r="C5246" t="str">
            <v>MS_S&amp;A - Trading JulDec 2020</v>
          </cell>
          <cell r="H5246">
            <v>5038018</v>
          </cell>
          <cell r="AK5246" t="str">
            <v>Rayna Gittelman</v>
          </cell>
        </row>
        <row r="5247">
          <cell r="C5247" t="str">
            <v>DB AFC Data T&amp;R</v>
          </cell>
          <cell r="H5247">
            <v>5039920</v>
          </cell>
          <cell r="AK5247" t="str">
            <v>David Roberts</v>
          </cell>
        </row>
        <row r="5248">
          <cell r="C5248" t="str">
            <v>BFCU_Compliance Consulting</v>
          </cell>
          <cell r="H5248">
            <v>5039933</v>
          </cell>
          <cell r="AK5248" t="str">
            <v>Louvera Walden</v>
          </cell>
        </row>
        <row r="5249">
          <cell r="C5249" t="str">
            <v>DB_CB T4O Team Extension</v>
          </cell>
          <cell r="H5249">
            <v>5039890</v>
          </cell>
          <cell r="AK5249" t="str">
            <v>Sandra Paris</v>
          </cell>
        </row>
        <row r="5250">
          <cell r="C5250" t="str">
            <v>EGM - Truist | Amex implem</v>
          </cell>
          <cell r="H5250">
            <v>5039747</v>
          </cell>
          <cell r="AK5250" t="str">
            <v>Bryan Olson</v>
          </cell>
        </row>
        <row r="5251">
          <cell r="C5251" t="str">
            <v>Jeff_CRM SF Program Mgmt Ext</v>
          </cell>
          <cell r="H5251">
            <v>5039895</v>
          </cell>
          <cell r="AK5251" t="str">
            <v>Ripple Bhullar</v>
          </cell>
        </row>
        <row r="5252">
          <cell r="C5252" t="str">
            <v>CNBOF_EDDReviews_AlertClearing</v>
          </cell>
          <cell r="H5252">
            <v>5039821</v>
          </cell>
          <cell r="AK5252" t="str">
            <v>Jonathan Hunt</v>
          </cell>
        </row>
        <row r="5253">
          <cell r="C5253" t="str">
            <v>FAB_Audit Consulting</v>
          </cell>
          <cell r="H5253">
            <v>5039782</v>
          </cell>
          <cell r="AK5253" t="str">
            <v>William Sachs</v>
          </cell>
        </row>
        <row r="5254">
          <cell r="C5254" t="str">
            <v>Jeff_Cloud PM</v>
          </cell>
          <cell r="H5254">
            <v>5039823</v>
          </cell>
          <cell r="AK5254" t="str">
            <v>John McCaffrey</v>
          </cell>
        </row>
        <row r="5255">
          <cell r="C5255" t="str">
            <v>MS Advisory Etrade Noon</v>
          </cell>
          <cell r="H5255">
            <v>5039850</v>
          </cell>
          <cell r="AK5255" t="str">
            <v>Adam Taneski</v>
          </cell>
        </row>
        <row r="5256">
          <cell r="C5256" t="str">
            <v>Hanover Bank_HMDA QC</v>
          </cell>
          <cell r="H5256">
            <v>5039914</v>
          </cell>
          <cell r="AK5256" t="str">
            <v>Juan Pimentel</v>
          </cell>
        </row>
        <row r="5257">
          <cell r="C5257" t="str">
            <v>SVR_PR_Cash Mgt Agile Support</v>
          </cell>
          <cell r="H5257">
            <v>5039810</v>
          </cell>
          <cell r="AK5257" t="str">
            <v>Erik Johnson</v>
          </cell>
        </row>
        <row r="5258">
          <cell r="C5258" t="str">
            <v>William Penn_CMS RA</v>
          </cell>
          <cell r="H5258">
            <v>5039992</v>
          </cell>
          <cell r="AK5258" t="str">
            <v>Gail Rassler</v>
          </cell>
        </row>
        <row r="5259">
          <cell r="C5259" t="str">
            <v>WilliamPenn_IT Risk Asessments</v>
          </cell>
          <cell r="H5259">
            <v>5039994</v>
          </cell>
          <cell r="AK5259" t="str">
            <v>Robert Farmer</v>
          </cell>
        </row>
        <row r="5260">
          <cell r="C5260" t="str">
            <v>USAA-Post-Closing TRID Review</v>
          </cell>
          <cell r="H5260">
            <v>5039836</v>
          </cell>
          <cell r="AK5260" t="str">
            <v>Michael Austin</v>
          </cell>
        </row>
        <row r="5261">
          <cell r="C5261" t="str">
            <v>USAA-Ad Hoc Consulting</v>
          </cell>
          <cell r="H5261">
            <v>5039840</v>
          </cell>
          <cell r="AK5261" t="str">
            <v>Michael Austin</v>
          </cell>
        </row>
        <row r="5262">
          <cell r="C5262" t="str">
            <v>WoodforestNB_Reg Data Feed</v>
          </cell>
          <cell r="H5262">
            <v>5039952</v>
          </cell>
          <cell r="AK5262" t="str">
            <v>Leah Robinson</v>
          </cell>
        </row>
        <row r="5263">
          <cell r="C5263" t="str">
            <v>CSS-SecOps BA/PM Role Ext1</v>
          </cell>
          <cell r="H5263">
            <v>5037764</v>
          </cell>
          <cell r="AK5263" t="str">
            <v>Danny Boulos</v>
          </cell>
        </row>
        <row r="5264">
          <cell r="C5264" t="str">
            <v>UBS US DMO Finance H2 2020</v>
          </cell>
          <cell r="H5264">
            <v>5040212</v>
          </cell>
          <cell r="AK5264" t="str">
            <v>Angela McGregor</v>
          </cell>
        </row>
        <row r="5265">
          <cell r="C5265" t="str">
            <v>SVP_PR_SBA Program Agile Spt_2</v>
          </cell>
          <cell r="H5265">
            <v>5039220</v>
          </cell>
          <cell r="AK5265" t="str">
            <v>Erik Johnson</v>
          </cell>
        </row>
        <row r="5266">
          <cell r="C5266" t="str">
            <v>FrMc_2020 CSP H2</v>
          </cell>
          <cell r="H5266">
            <v>5037633</v>
          </cell>
          <cell r="AK5266" t="str">
            <v>Thomas Wilson</v>
          </cell>
        </row>
        <row r="5267">
          <cell r="C5267" t="str">
            <v>SVB_PR_GDB UK 2020 Q3</v>
          </cell>
          <cell r="H5267">
            <v>5038065</v>
          </cell>
          <cell r="AK5267" t="str">
            <v>Michael Tao</v>
          </cell>
        </row>
        <row r="5268">
          <cell r="C5268" t="str">
            <v>MS WM Tax &amp; Client Rep 2H Ext</v>
          </cell>
          <cell r="H5268">
            <v>5038248</v>
          </cell>
          <cell r="AK5268" t="str">
            <v>Leah Watson</v>
          </cell>
        </row>
        <row r="5269">
          <cell r="C5269" t="str">
            <v>FredM_Payments Modernization A</v>
          </cell>
          <cell r="H5269">
            <v>5038088</v>
          </cell>
          <cell r="AK5269" t="str">
            <v>Chinmoy Bhatiya</v>
          </cell>
        </row>
        <row r="5270">
          <cell r="C5270" t="str">
            <v>Santander_Infosec Program Supp</v>
          </cell>
          <cell r="H5270">
            <v>5039917</v>
          </cell>
          <cell r="AK5270" t="str">
            <v>Ridha Mesli</v>
          </cell>
        </row>
        <row r="5271">
          <cell r="C5271" t="str">
            <v>MS_WM_PBO_2020 Ext</v>
          </cell>
          <cell r="H5271">
            <v>5038228</v>
          </cell>
          <cell r="AK5271" t="str">
            <v>Kaz Pattni</v>
          </cell>
        </row>
        <row r="5272">
          <cell r="C5272" t="str">
            <v>MS_PBO RTB Ext</v>
          </cell>
          <cell r="H5272">
            <v>5038228</v>
          </cell>
          <cell r="AK5272" t="str">
            <v>Kaz Pattni</v>
          </cell>
        </row>
        <row r="5273">
          <cell r="C5273" t="str">
            <v>Jeff Compliance Analyst Ext6</v>
          </cell>
          <cell r="H5273">
            <v>5039954</v>
          </cell>
          <cell r="AK5273" t="str">
            <v>Jeffrey Gheraldi</v>
          </cell>
        </row>
        <row r="5274">
          <cell r="C5274" t="str">
            <v>Jeff Emp Hierarchy Analy Ext6</v>
          </cell>
          <cell r="H5274">
            <v>5039935</v>
          </cell>
          <cell r="AK5274" t="str">
            <v>Jeffrey Gheraldi</v>
          </cell>
        </row>
        <row r="5275">
          <cell r="C5275" t="str">
            <v>GL - PO &amp; SA Agile Delivery</v>
          </cell>
          <cell r="H5275">
            <v>5039899</v>
          </cell>
          <cell r="AK5275" t="str">
            <v>Pete Grebus</v>
          </cell>
        </row>
        <row r="5276">
          <cell r="C5276" t="str">
            <v>TIAA_Advice Roadmap Ext</v>
          </cell>
          <cell r="H5276">
            <v>5039857</v>
          </cell>
          <cell r="AK5276" t="str">
            <v>Nikhil Sharma</v>
          </cell>
        </row>
        <row r="5277">
          <cell r="C5277" t="str">
            <v>FIS_MortgageServicingP&amp;PReview</v>
          </cell>
          <cell r="H5277">
            <v>5039283</v>
          </cell>
          <cell r="AK5277" t="str">
            <v>Randall Patton</v>
          </cell>
        </row>
        <row r="5278">
          <cell r="C5278" t="str">
            <v>SVB_PB_Client Segmentation</v>
          </cell>
          <cell r="H5278">
            <v>5039877</v>
          </cell>
          <cell r="AK5278" t="str">
            <v>Matthew Faraone</v>
          </cell>
        </row>
        <row r="5279">
          <cell r="C5279" t="str">
            <v>MS Alts New Ops</v>
          </cell>
          <cell r="H5279">
            <v>5039891</v>
          </cell>
          <cell r="AK5279" t="str">
            <v>Kevin Beyar</v>
          </cell>
        </row>
        <row r="5280">
          <cell r="C5280" t="str">
            <v>SVB_DA_ODP Clippy BA</v>
          </cell>
          <cell r="H5280">
            <v>5038809</v>
          </cell>
          <cell r="AK5280" t="str">
            <v>Kyle Chavers</v>
          </cell>
        </row>
        <row r="5281">
          <cell r="C5281" t="str">
            <v>Jeff_Central Compliance</v>
          </cell>
          <cell r="H5281">
            <v>5039897</v>
          </cell>
          <cell r="AK5281" t="str">
            <v>Jeffrey Gheraldi</v>
          </cell>
        </row>
        <row r="5282">
          <cell r="C5282" t="str">
            <v>ReVantage_Acnt prod dev</v>
          </cell>
          <cell r="H5282">
            <v>5038075</v>
          </cell>
          <cell r="AK5282" t="str">
            <v>John Power</v>
          </cell>
        </row>
        <row r="5283">
          <cell r="C5283" t="str">
            <v>WF_Speakerbus_Imp Ext1</v>
          </cell>
          <cell r="H5283">
            <v>5039145</v>
          </cell>
          <cell r="AK5283" t="str">
            <v>Richard Rhodes</v>
          </cell>
        </row>
        <row r="5284">
          <cell r="C5284" t="str">
            <v>HSBC-OPS-Strat Ex Ph1 (Sajdak)</v>
          </cell>
          <cell r="H5284">
            <v>5038839</v>
          </cell>
          <cell r="AK5284" t="str">
            <v>Peter Brown</v>
          </cell>
        </row>
        <row r="5285">
          <cell r="C5285" t="str">
            <v>FrMc_FHFA-SC Ph1</v>
          </cell>
          <cell r="H5285">
            <v>5037633</v>
          </cell>
          <cell r="AK5285" t="str">
            <v>Thomas Wilson</v>
          </cell>
        </row>
        <row r="5286">
          <cell r="C5286" t="str">
            <v>SVB_Vendor Relationship Mgmt</v>
          </cell>
          <cell r="H5286">
            <v>5039879</v>
          </cell>
          <cell r="AK5286" t="str">
            <v>Aditya Taneja</v>
          </cell>
        </row>
        <row r="5287">
          <cell r="C5287" t="str">
            <v>(CTNL) Reg E Consulting/Suppt</v>
          </cell>
          <cell r="H5287">
            <v>5038601</v>
          </cell>
          <cell r="AK5287" t="str">
            <v>Randall Patton</v>
          </cell>
        </row>
        <row r="5288">
          <cell r="C5288" t="str">
            <v>CNTL -Compliance Trxn Test'g</v>
          </cell>
          <cell r="H5288">
            <v>5039932</v>
          </cell>
          <cell r="AK5288" t="str">
            <v>Randall Patton</v>
          </cell>
        </row>
        <row r="5289">
          <cell r="C5289" t="str">
            <v>SVB_IT_MDF Development Ext</v>
          </cell>
          <cell r="H5289">
            <v>5039346</v>
          </cell>
          <cell r="AK5289" t="str">
            <v>Chinmoy Bhatiya</v>
          </cell>
        </row>
        <row r="5290">
          <cell r="C5290" t="str">
            <v>Jeff_CAT QA Extension 2021</v>
          </cell>
          <cell r="H5290">
            <v>5039421</v>
          </cell>
          <cell r="AK5290" t="str">
            <v>John McCaffrey</v>
          </cell>
        </row>
        <row r="5291">
          <cell r="C5291" t="str">
            <v>WF_Deposit Tech-Platform Amd1</v>
          </cell>
          <cell r="H5291">
            <v>5039110</v>
          </cell>
          <cell r="AK5291" t="str">
            <v>Michael Crumpler</v>
          </cell>
        </row>
        <row r="5292">
          <cell r="C5292" t="str">
            <v>FNB_South TRID Reviews 2020</v>
          </cell>
          <cell r="H5292">
            <v>5039973</v>
          </cell>
          <cell r="AK5292" t="str">
            <v>Juan Pimentel</v>
          </cell>
        </row>
        <row r="5293">
          <cell r="C5293" t="str">
            <v>Jeff_SF CRM PMO</v>
          </cell>
          <cell r="H5293">
            <v>5040042</v>
          </cell>
          <cell r="AK5293" t="str">
            <v>Aoife Hogan</v>
          </cell>
        </row>
        <row r="5294">
          <cell r="C5294" t="str">
            <v>Lazard_Data Protection</v>
          </cell>
          <cell r="H5294">
            <v>5039906</v>
          </cell>
          <cell r="AK5294" t="str">
            <v>Michelle Leon</v>
          </cell>
        </row>
        <row r="5295">
          <cell r="C5295" t="str">
            <v>Carver_SBA PPP Consulting</v>
          </cell>
          <cell r="H5295">
            <v>5039946</v>
          </cell>
          <cell r="AK5295" t="str">
            <v>Mariana Dumanovsky</v>
          </cell>
        </row>
        <row r="5296">
          <cell r="C5296" t="str">
            <v>MS_ISGPO_FID Trading Ops</v>
          </cell>
          <cell r="H5296">
            <v>5038156</v>
          </cell>
          <cell r="AK5296" t="str">
            <v>Mitali Drews</v>
          </cell>
        </row>
        <row r="5297">
          <cell r="C5297" t="str">
            <v>MS_CRS KYC Role</v>
          </cell>
          <cell r="H5297">
            <v>5039925</v>
          </cell>
          <cell r="AK5297" t="str">
            <v>Ruben Sooriya</v>
          </cell>
        </row>
        <row r="5298">
          <cell r="C5298" t="str">
            <v>HSBC-GBM-Arranged Finance Ph2</v>
          </cell>
          <cell r="H5298">
            <v>5039944</v>
          </cell>
          <cell r="AK5298" t="str">
            <v>Peter Brown</v>
          </cell>
        </row>
        <row r="5299">
          <cell r="C5299" t="str">
            <v>HB_ComplianceConsltng&amp;Training</v>
          </cell>
          <cell r="H5299">
            <v>5039986</v>
          </cell>
          <cell r="AK5299" t="str">
            <v>Mariana Dumanovsky</v>
          </cell>
        </row>
        <row r="5300">
          <cell r="C5300" t="str">
            <v>SVB_ERM_Oversight of Tech</v>
          </cell>
          <cell r="H5300">
            <v>5039975</v>
          </cell>
          <cell r="AK5300" t="str">
            <v>Adrian Ungureanu</v>
          </cell>
        </row>
        <row r="5301">
          <cell r="C5301" t="str">
            <v>Jeff_CRM IB Analytics</v>
          </cell>
          <cell r="H5301">
            <v>5039988</v>
          </cell>
          <cell r="AK5301" t="str">
            <v>Ripple Bhullar</v>
          </cell>
        </row>
        <row r="5302">
          <cell r="C5302" t="str">
            <v>CNB_VMO Backlog</v>
          </cell>
          <cell r="H5302">
            <v>5039956</v>
          </cell>
          <cell r="AK5302" t="str">
            <v>Betsy Cherian</v>
          </cell>
        </row>
        <row r="5303">
          <cell r="C5303" t="str">
            <v>Jeff_RPA Support &amp; Maintnce II</v>
          </cell>
          <cell r="H5303">
            <v>5039905</v>
          </cell>
          <cell r="AK5303" t="str">
            <v>Scott Kennedy</v>
          </cell>
        </row>
        <row r="5304">
          <cell r="C5304" t="str">
            <v>SECF_BSA_AML Rules Consulting</v>
          </cell>
          <cell r="H5304">
            <v>5039959</v>
          </cell>
          <cell r="AK5304" t="str">
            <v>William Sachs</v>
          </cell>
        </row>
        <row r="5305">
          <cell r="C5305" t="str">
            <v>SECF_BSA_AML Consulting</v>
          </cell>
          <cell r="H5305">
            <v>5039960</v>
          </cell>
          <cell r="AK5305" t="str">
            <v>Nancy Gregory</v>
          </cell>
        </row>
        <row r="5306">
          <cell r="C5306" t="str">
            <v>SVB_DA_ODP Clippy Sec</v>
          </cell>
          <cell r="H5306">
            <v>5040039</v>
          </cell>
          <cell r="AK5306" t="str">
            <v>Kyle Chavers</v>
          </cell>
        </row>
        <row r="5307">
          <cell r="C5307" t="str">
            <v>CNB_VMO Backlog</v>
          </cell>
          <cell r="H5307">
            <v>5039956</v>
          </cell>
          <cell r="AK5307" t="str">
            <v>Betsy Cherian</v>
          </cell>
        </row>
        <row r="5308">
          <cell r="C5308" t="str">
            <v>SVB_DA_Target Operating Model</v>
          </cell>
          <cell r="H5308">
            <v>5039968</v>
          </cell>
          <cell r="AK5308" t="str">
            <v>Kyle Chavers</v>
          </cell>
        </row>
        <row r="5309">
          <cell r="C5309" t="str">
            <v>HB_Digital Wealth Impl</v>
          </cell>
          <cell r="H5309">
            <v>5039969</v>
          </cell>
          <cell r="AK5309" t="str">
            <v>Nikhil Sharma</v>
          </cell>
        </row>
        <row r="5310">
          <cell r="C5310" t="str">
            <v>Jeff EBS Comp Analyst Ext3</v>
          </cell>
          <cell r="H5310">
            <v>5039953</v>
          </cell>
          <cell r="AK5310" t="str">
            <v>Jeffrey Gheraldi</v>
          </cell>
        </row>
        <row r="5311">
          <cell r="C5311" t="str">
            <v>Jeff_Eq Tech Desi and PM</v>
          </cell>
          <cell r="H5311">
            <v>5039991</v>
          </cell>
          <cell r="AK5311" t="str">
            <v>Jeffrey Gheraldi</v>
          </cell>
        </row>
        <row r="5312">
          <cell r="C5312" t="str">
            <v>MS_Syndicate Recon Ext</v>
          </cell>
          <cell r="H5312">
            <v>5038685</v>
          </cell>
          <cell r="AK5312" t="str">
            <v>Ryan Savoca</v>
          </cell>
        </row>
        <row r="5313">
          <cell r="C5313" t="str">
            <v>Data Accessbility &amp; API Dv</v>
          </cell>
          <cell r="H5313">
            <v>5040069</v>
          </cell>
          <cell r="AK5313" t="str">
            <v>Jak Hart</v>
          </cell>
        </row>
        <row r="5314">
          <cell r="C5314" t="str">
            <v>Lazard Remote Effectiveness</v>
          </cell>
          <cell r="H5314">
            <v>5040037</v>
          </cell>
          <cell r="AK5314" t="str">
            <v>Casey Schaffer</v>
          </cell>
        </row>
        <row r="5315">
          <cell r="C5315" t="str">
            <v>SVB_PR_Card RFP Ph2</v>
          </cell>
          <cell r="H5315">
            <v>5040074</v>
          </cell>
          <cell r="AK5315" t="str">
            <v>Gregory Mauro</v>
          </cell>
        </row>
        <row r="5316">
          <cell r="C5316" t="str">
            <v>Jeff_Transcend Front Office PM</v>
          </cell>
          <cell r="H5316">
            <v>5039907</v>
          </cell>
          <cell r="AK5316" t="str">
            <v>Antonio Paluseo</v>
          </cell>
        </row>
        <row r="5317">
          <cell r="C5317" t="str">
            <v>Farmers Merchants MQC Reviews</v>
          </cell>
          <cell r="H5317">
            <v>5039998</v>
          </cell>
          <cell r="AK5317" t="str">
            <v>Christian Maier</v>
          </cell>
        </row>
        <row r="5318">
          <cell r="C5318" t="str">
            <v>FIS_Site Strategy Ext</v>
          </cell>
          <cell r="H5318">
            <v>5039356</v>
          </cell>
          <cell r="AK5318" t="str">
            <v>Matthew Faraone</v>
          </cell>
        </row>
        <row r="5319">
          <cell r="C5319" t="str">
            <v>Jeff_IB Control Room Ext</v>
          </cell>
          <cell r="H5319">
            <v>5038589</v>
          </cell>
          <cell r="AK5319" t="str">
            <v>Ripple Bhullar</v>
          </cell>
        </row>
        <row r="5320">
          <cell r="C5320" t="str">
            <v>FrMc_Modern Delivery T&amp;M Amd 4</v>
          </cell>
          <cell r="H5320">
            <v>5038434</v>
          </cell>
          <cell r="AK5320" t="str">
            <v>Kalkidan Tedla</v>
          </cell>
        </row>
        <row r="5321">
          <cell r="C5321" t="str">
            <v>Unified FL File Review</v>
          </cell>
          <cell r="H5321">
            <v>5039107</v>
          </cell>
          <cell r="AK5321" t="str">
            <v>Kristina Slattery</v>
          </cell>
        </row>
        <row r="5322">
          <cell r="C5322" t="str">
            <v>Unqork Ext Aug 2020-Jan 2021</v>
          </cell>
          <cell r="H5322">
            <v>5038509</v>
          </cell>
          <cell r="AK5322" t="str">
            <v>Phil Kerkel</v>
          </cell>
        </row>
        <row r="5323">
          <cell r="C5323" t="str">
            <v>GS RegOps 2020 H2</v>
          </cell>
          <cell r="H5323">
            <v>5040084</v>
          </cell>
          <cell r="AK5323" t="str">
            <v>Parul Chowdhry</v>
          </cell>
        </row>
        <row r="5324">
          <cell r="C5324" t="str">
            <v>Carver_SBA PPP Loan File Rvw</v>
          </cell>
          <cell r="H5324">
            <v>5039945</v>
          </cell>
          <cell r="AK5324" t="str">
            <v>Juan Pimentel</v>
          </cell>
        </row>
        <row r="5325">
          <cell r="C5325" t="str">
            <v>WATB Marketing Lookback Test</v>
          </cell>
          <cell r="H5325">
            <v>5040362</v>
          </cell>
          <cell r="AK5325" t="str">
            <v>Tania Makuh</v>
          </cell>
        </row>
        <row r="5326">
          <cell r="C5326" t="str">
            <v>TBB_BSA Officer Support</v>
          </cell>
          <cell r="H5326">
            <v>5039965</v>
          </cell>
          <cell r="AK5326" t="str">
            <v>William Sachs</v>
          </cell>
        </row>
        <row r="5327">
          <cell r="C5327" t="str">
            <v>Cape Cod 5c-Call Center Audit</v>
          </cell>
          <cell r="H5327">
            <v>5038406</v>
          </cell>
          <cell r="AK5327" t="str">
            <v>Mary Louise Radley</v>
          </cell>
        </row>
        <row r="5328">
          <cell r="C5328" t="str">
            <v>CNTL - Reg. E Training</v>
          </cell>
          <cell r="H5328">
            <v>5040035</v>
          </cell>
          <cell r="AK5328" t="str">
            <v>Diane Banks</v>
          </cell>
        </row>
        <row r="5329">
          <cell r="C5329" t="str">
            <v>Preferred-Mtg Ops Audit</v>
          </cell>
          <cell r="H5329">
            <v>5039294</v>
          </cell>
          <cell r="AK5329" t="str">
            <v>Mary Louise Radley</v>
          </cell>
        </row>
        <row r="5330">
          <cell r="C5330" t="str">
            <v>NatCap_BSA_AML_OFAC Risk Asmnt</v>
          </cell>
          <cell r="H5330">
            <v>5039989</v>
          </cell>
          <cell r="AK5330" t="str">
            <v>William Sachs</v>
          </cell>
        </row>
        <row r="5331">
          <cell r="C5331" t="str">
            <v>Preferred-Reg Compl Audit</v>
          </cell>
          <cell r="H5331">
            <v>5039291</v>
          </cell>
          <cell r="AK5331" t="str">
            <v>Mary Louise Radley</v>
          </cell>
        </row>
        <row r="5332">
          <cell r="C5332" t="str">
            <v>Jeff_ION Support US</v>
          </cell>
          <cell r="H5332">
            <v>5040214</v>
          </cell>
          <cell r="AK5332" t="str">
            <v>Sarmistha Bhattacharjee</v>
          </cell>
        </row>
        <row r="5333">
          <cell r="C5333" t="str">
            <v>WilliamPenn_IT Security RA</v>
          </cell>
          <cell r="H5333">
            <v>5040000</v>
          </cell>
          <cell r="AK5333" t="str">
            <v>Robert Farmer</v>
          </cell>
        </row>
        <row r="5334">
          <cell r="C5334" t="str">
            <v>John Marshall_TRID Training</v>
          </cell>
          <cell r="H5334">
            <v>5040017</v>
          </cell>
          <cell r="AK5334" t="str">
            <v>Diane Banks</v>
          </cell>
        </row>
        <row r="5335">
          <cell r="C5335" t="str">
            <v>Jeff_SD Compliance-DTCC Recon</v>
          </cell>
          <cell r="H5335">
            <v>5039750</v>
          </cell>
          <cell r="AK5335" t="str">
            <v>Chelsea Mattias</v>
          </cell>
        </row>
        <row r="5336">
          <cell r="C5336" t="str">
            <v>Modern Bank, NA_RAS</v>
          </cell>
          <cell r="H5336">
            <v>5040355</v>
          </cell>
          <cell r="AK5336" t="str">
            <v>Diane Banks</v>
          </cell>
        </row>
        <row r="5337">
          <cell r="C5337" t="str">
            <v>UBS_Project-Tech PM Role Ext.</v>
          </cell>
          <cell r="H5337">
            <v>5038738</v>
          </cell>
          <cell r="AK5337" t="str">
            <v>Matthew Berkowitz</v>
          </cell>
        </row>
        <row r="5338">
          <cell r="C5338" t="str">
            <v>WF_Mtg Servicing LIBOR</v>
          </cell>
          <cell r="H5338">
            <v>5040064</v>
          </cell>
          <cell r="AK5338" t="str">
            <v>Justin Wellen</v>
          </cell>
        </row>
        <row r="5339">
          <cell r="C5339" t="str">
            <v>Jeff Compliance Analyst Ext7</v>
          </cell>
          <cell r="H5339">
            <v>5040210</v>
          </cell>
          <cell r="AK5339" t="str">
            <v>Jeffrey Gheraldi</v>
          </cell>
        </row>
        <row r="5340">
          <cell r="C5340" t="str">
            <v>WF_Speakerbus_phase 2</v>
          </cell>
          <cell r="H5340">
            <v>5040052</v>
          </cell>
          <cell r="AK5340" t="str">
            <v>Richard Rhodes</v>
          </cell>
        </row>
        <row r="5341">
          <cell r="C5341" t="str">
            <v>WF_cib_reg&amp;risk_TR</v>
          </cell>
          <cell r="H5341">
            <v>5038740</v>
          </cell>
          <cell r="AK5341" t="str">
            <v>Edward Kelley</v>
          </cell>
        </row>
        <row r="5342">
          <cell r="C5342" t="str">
            <v>1st Colonial MQC</v>
          </cell>
          <cell r="H5342">
            <v>5040224</v>
          </cell>
          <cell r="AK5342" t="str">
            <v>Keith Cole</v>
          </cell>
        </row>
        <row r="5343">
          <cell r="C5343" t="str">
            <v>UB_100_RB_BSA Proced Sup CO1</v>
          </cell>
          <cell r="H5343">
            <v>5039118</v>
          </cell>
          <cell r="AK5343" t="str">
            <v>Samuel Awsumb</v>
          </cell>
        </row>
        <row r="5344">
          <cell r="C5344" t="str">
            <v>FrdMc_ICM ILM GovernanceH12020</v>
          </cell>
          <cell r="H5344">
            <v>5039934</v>
          </cell>
          <cell r="AK5344" t="str">
            <v>Jeliaz Chtilianov</v>
          </cell>
        </row>
        <row r="5345">
          <cell r="C5345" t="str">
            <v>SVB_PR_Finance</v>
          </cell>
          <cell r="H5345">
            <v>5040059</v>
          </cell>
          <cell r="AK5345" t="str">
            <v>John McHugh</v>
          </cell>
        </row>
        <row r="5346">
          <cell r="C5346" t="str">
            <v>CNBF_EDD Reviews</v>
          </cell>
          <cell r="H5346">
            <v>5040013</v>
          </cell>
          <cell r="AK5346" t="str">
            <v>Jonathan Hunt</v>
          </cell>
        </row>
        <row r="5347">
          <cell r="C5347" t="str">
            <v>Cyber Tech / Strategy</v>
          </cell>
          <cell r="H5347">
            <v>5038007</v>
          </cell>
          <cell r="AK5347" t="str">
            <v>Thanh Le Xuan</v>
          </cell>
        </row>
        <row r="5348">
          <cell r="C5348" t="str">
            <v>WSFS- TRID Review</v>
          </cell>
          <cell r="H5348">
            <v>5040016</v>
          </cell>
          <cell r="AK5348" t="str">
            <v>Bonita Riccaboni</v>
          </cell>
        </row>
        <row r="5349">
          <cell r="C5349" t="str">
            <v>MS_Future of Work Design</v>
          </cell>
          <cell r="H5349">
            <v>5040015</v>
          </cell>
          <cell r="AK5349" t="str">
            <v>Casey Schaffer</v>
          </cell>
        </row>
        <row r="5350">
          <cell r="C5350" t="str">
            <v>WSFS- ERM Policy Mgmt Rvw</v>
          </cell>
          <cell r="H5350">
            <v>5040045</v>
          </cell>
          <cell r="AK5350" t="str">
            <v>Aiswarya Parameswaran</v>
          </cell>
        </row>
        <row r="5351">
          <cell r="C5351" t="str">
            <v>BankCard Int Ph1 Bridge</v>
          </cell>
          <cell r="H5351">
            <v>5039182</v>
          </cell>
          <cell r="AK5351" t="str">
            <v>Daniela Hawkins</v>
          </cell>
        </row>
        <row r="5352">
          <cell r="C5352" t="str">
            <v>Jeff Emp Hierarchy Analy Ext7</v>
          </cell>
          <cell r="H5352">
            <v>5040246</v>
          </cell>
          <cell r="AK5352" t="str">
            <v>Jeffrey Gheraldi</v>
          </cell>
        </row>
        <row r="5353">
          <cell r="C5353" t="str">
            <v>FrMc_FHFA AMD 1</v>
          </cell>
          <cell r="H5353">
            <v>5037633</v>
          </cell>
          <cell r="AK5353" t="str">
            <v>Thomas Wilson</v>
          </cell>
        </row>
        <row r="5354">
          <cell r="C5354" t="str">
            <v>BS_Cybersecurity N Resillency</v>
          </cell>
          <cell r="H5354">
            <v>5039979</v>
          </cell>
          <cell r="AK5354" t="str">
            <v>Julien Bonnay</v>
          </cell>
        </row>
        <row r="5355">
          <cell r="C5355" t="str">
            <v>SSB_RISC Consulting</v>
          </cell>
          <cell r="H5355">
            <v>5039980</v>
          </cell>
          <cell r="AK5355" t="str">
            <v>Pamela Acciardo</v>
          </cell>
        </row>
        <row r="5356">
          <cell r="C5356" t="str">
            <v>Brad_PDPJ Development INT</v>
          </cell>
          <cell r="H5356">
            <v>5040041</v>
          </cell>
          <cell r="AK5356" t="str">
            <v>Heslei da Silva</v>
          </cell>
        </row>
        <row r="5357">
          <cell r="C5357" t="str">
            <v>BRAD_Openbanking DS Imp INT</v>
          </cell>
          <cell r="H5357">
            <v>5040062</v>
          </cell>
          <cell r="AK5357" t="str">
            <v>Danilo Sekito</v>
          </cell>
        </row>
        <row r="5358">
          <cell r="C5358" t="str">
            <v>Jeff_AML Support 2</v>
          </cell>
          <cell r="H5358">
            <v>5040253</v>
          </cell>
          <cell r="AK5358" t="str">
            <v>Jeffrey Gheraldi</v>
          </cell>
        </row>
        <row r="5359">
          <cell r="C5359" t="str">
            <v>HB_Branch Tech Transformation</v>
          </cell>
          <cell r="H5359">
            <v>5040209</v>
          </cell>
          <cell r="AK5359" t="str">
            <v>Booker Vann</v>
          </cell>
        </row>
        <row r="5360">
          <cell r="C5360" t="str">
            <v>MS VMO Charles M. YE Extension</v>
          </cell>
          <cell r="H5360">
            <v>5038061</v>
          </cell>
          <cell r="AK5360" t="str">
            <v>Dan Schutzman</v>
          </cell>
        </row>
        <row r="5361">
          <cell r="C5361" t="str">
            <v>SVB_DA_Accelerated Agile</v>
          </cell>
          <cell r="H5361">
            <v>5040215</v>
          </cell>
          <cell r="AK5361" t="str">
            <v>Kyle Chavers</v>
          </cell>
        </row>
        <row r="5362">
          <cell r="C5362" t="str">
            <v>RISC Strategy Def&amp;Exec AMD1</v>
          </cell>
          <cell r="H5362">
            <v>5038676</v>
          </cell>
          <cell r="AK5362" t="str">
            <v>Jeanette Rodriguez</v>
          </cell>
        </row>
        <row r="5363">
          <cell r="C5363" t="str">
            <v>FrMc_SF Cloud Integration</v>
          </cell>
          <cell r="H5363">
            <v>5040088</v>
          </cell>
          <cell r="AK5363" t="str">
            <v>Ramnish Gupta</v>
          </cell>
        </row>
        <row r="5364">
          <cell r="C5364" t="str">
            <v>MS_TTRO IBOR Mumbai</v>
          </cell>
          <cell r="H5364">
            <v>5039913</v>
          </cell>
          <cell r="AK5364" t="str">
            <v>Mitali Drews</v>
          </cell>
        </row>
        <row r="5365">
          <cell r="C5365" t="str">
            <v>UB_110_RB PSRA Support</v>
          </cell>
          <cell r="H5365">
            <v>5040040</v>
          </cell>
          <cell r="AK5365" t="str">
            <v>Samuel Awsumb</v>
          </cell>
        </row>
        <row r="5366">
          <cell r="C5366" t="str">
            <v>UBS_Project Sagittarius</v>
          </cell>
          <cell r="H5366">
            <v>5039811</v>
          </cell>
          <cell r="AK5366" t="str">
            <v>Matthew Berkowitz</v>
          </cell>
        </row>
        <row r="5367">
          <cell r="C5367" t="str">
            <v>UBS WMAP-Readiness Support</v>
          </cell>
          <cell r="H5367">
            <v>5038449</v>
          </cell>
          <cell r="AK5367" t="str">
            <v>James St. Jean</v>
          </cell>
        </row>
        <row r="5368">
          <cell r="C5368" t="str">
            <v>FM_URLA PM Support</v>
          </cell>
          <cell r="H5368">
            <v>5040207</v>
          </cell>
          <cell r="AK5368" t="str">
            <v>Mike Peretz</v>
          </cell>
        </row>
        <row r="5369">
          <cell r="C5369" t="str">
            <v>CNB_TPRM</v>
          </cell>
          <cell r="H5369">
            <v>5040241</v>
          </cell>
          <cell r="AK5369" t="str">
            <v>Betsy Cherian</v>
          </cell>
        </row>
        <row r="5370">
          <cell r="C5370" t="str">
            <v>MS Data CoE</v>
          </cell>
          <cell r="H5370">
            <v>5040090</v>
          </cell>
          <cell r="AK5370" t="str">
            <v>Audra Schoenfeldt Furer</v>
          </cell>
        </row>
        <row r="5371">
          <cell r="C5371" t="str">
            <v>VNB- GRC Cnsltg- Comp RA Build</v>
          </cell>
          <cell r="H5371">
            <v>5040237</v>
          </cell>
          <cell r="AK5371" t="str">
            <v>Tania Makuh</v>
          </cell>
        </row>
        <row r="5372">
          <cell r="C5372" t="str">
            <v>FrdMc _2020 CSP ARMS Q3</v>
          </cell>
          <cell r="H5372">
            <v>5037633</v>
          </cell>
          <cell r="AK5372" t="str">
            <v>Thomas Wilson</v>
          </cell>
        </row>
        <row r="5373">
          <cell r="C5373" t="str">
            <v>Jeff_Compliance Central Assessment</v>
          </cell>
          <cell r="H5373">
            <v>5040348</v>
          </cell>
          <cell r="AK5373" t="str">
            <v>Mike Drews</v>
          </cell>
        </row>
        <row r="5374">
          <cell r="C5374" t="str">
            <v>Citi Business Lineage 2020</v>
          </cell>
          <cell r="H5374">
            <v>5040218</v>
          </cell>
          <cell r="AK5374" t="str">
            <v>Thomas Evans</v>
          </cell>
        </row>
        <row r="5375">
          <cell r="C5375" t="str">
            <v>SVB_DA_UK-DG</v>
          </cell>
          <cell r="H5375">
            <v>5040226</v>
          </cell>
          <cell r="AK5375" t="str">
            <v>Betsy Cherian</v>
          </cell>
        </row>
        <row r="5376">
          <cell r="C5376" t="str">
            <v>SVB_PR_Cash Mgmt Agile Supp 2</v>
          </cell>
          <cell r="H5376">
            <v>5039810</v>
          </cell>
          <cell r="AK5376" t="str">
            <v>Erik Johnson</v>
          </cell>
        </row>
        <row r="5377">
          <cell r="C5377" t="str">
            <v>Revantage Accntg DNA</v>
          </cell>
          <cell r="H5377">
            <v>5038075</v>
          </cell>
          <cell r="AK5377" t="str">
            <v>John Power</v>
          </cell>
        </row>
        <row r="5378">
          <cell r="C5378" t="str">
            <v>BNS_Trade Surveillance Roles</v>
          </cell>
          <cell r="H5378">
            <v>5040236</v>
          </cell>
          <cell r="AK5378" t="str">
            <v>Mike Drews</v>
          </cell>
        </row>
        <row r="5379">
          <cell r="C5379" t="str">
            <v>CTNL- Strat Marketing Plan</v>
          </cell>
          <cell r="H5379">
            <v>5040232</v>
          </cell>
          <cell r="AK5379" t="str">
            <v>Randall Patton</v>
          </cell>
        </row>
        <row r="5380">
          <cell r="C5380" t="str">
            <v>CTNL - Marketing Program</v>
          </cell>
          <cell r="H5380">
            <v>5040232</v>
          </cell>
          <cell r="AK5380" t="str">
            <v>Pamela Acciardo</v>
          </cell>
        </row>
        <row r="5381">
          <cell r="C5381" t="str">
            <v>FrMc_Modern Delivery AMD 5</v>
          </cell>
          <cell r="H5381">
            <v>5038434</v>
          </cell>
          <cell r="AK5381" t="str">
            <v>Kalkidan Tedla</v>
          </cell>
        </row>
        <row r="5382">
          <cell r="C5382" t="str">
            <v>SVB_PR_SBA Program Agile Sup 2</v>
          </cell>
          <cell r="H5382">
            <v>5039220</v>
          </cell>
          <cell r="AK5382" t="str">
            <v>Erik Johnson</v>
          </cell>
        </row>
        <row r="5383">
          <cell r="C5383" t="str">
            <v>HSBC-GPB Transf. BA/PM Ext</v>
          </cell>
          <cell r="H5383">
            <v>5038773</v>
          </cell>
          <cell r="AK5383" t="str">
            <v>Peter Brown</v>
          </cell>
        </row>
        <row r="5384">
          <cell r="C5384" t="str">
            <v>BRYN- HMDA Scrub- Comrcl loans</v>
          </cell>
          <cell r="H5384">
            <v>5040231</v>
          </cell>
          <cell r="AK5384" t="str">
            <v>David Stalnaker</v>
          </cell>
        </row>
        <row r="5385">
          <cell r="C5385" t="str">
            <v>CRA PE and FLRA</v>
          </cell>
          <cell r="H5385">
            <v>5040256</v>
          </cell>
          <cell r="AK5385" t="str">
            <v>Kristina Slattery</v>
          </cell>
        </row>
        <row r="5386">
          <cell r="C5386" t="str">
            <v>OceanFirst- BSA Audit- Addtnl</v>
          </cell>
          <cell r="H5386">
            <v>5040233</v>
          </cell>
          <cell r="AK5386" t="str">
            <v>Mary Louise Radley</v>
          </cell>
        </row>
        <row r="5387">
          <cell r="C5387" t="str">
            <v>HSBC-GBM-LIBOR RSK Anlst Ext 2</v>
          </cell>
          <cell r="H5387">
            <v>5037419</v>
          </cell>
          <cell r="AK5387" t="str">
            <v>Peter Brown</v>
          </cell>
        </row>
        <row r="5388">
          <cell r="C5388" t="str">
            <v>SVB_DA_ODP Agile Extension</v>
          </cell>
          <cell r="H5388">
            <v>5038809</v>
          </cell>
          <cell r="AK5388" t="str">
            <v>Kyle Chavers</v>
          </cell>
        </row>
        <row r="5389">
          <cell r="C5389" t="str">
            <v>MS WM Tech Mainframe Services</v>
          </cell>
          <cell r="H5389">
            <v>5039222</v>
          </cell>
          <cell r="AK5389" t="str">
            <v>Rohini Bhatia</v>
          </cell>
        </row>
        <row r="5390">
          <cell r="C5390" t="str">
            <v>CS_Enterprise Data Target St</v>
          </cell>
          <cell r="H5390">
            <v>5040217</v>
          </cell>
          <cell r="AK5390" t="str">
            <v>Anita Shankar</v>
          </cell>
        </row>
        <row r="5391">
          <cell r="C5391" t="str">
            <v>ANBTX HMDA &amp; CRA QC Review Change Order</v>
          </cell>
          <cell r="H5391">
            <v>5038771</v>
          </cell>
          <cell r="AK5391" t="str">
            <v>Juan Pimentel</v>
          </cell>
        </row>
        <row r="5392">
          <cell r="C5392" t="str">
            <v>Change Management AMD 3</v>
          </cell>
          <cell r="H5392">
            <v>5038364</v>
          </cell>
          <cell r="AK5392" t="str">
            <v>Sabrina Amjad</v>
          </cell>
        </row>
        <row r="5393">
          <cell r="C5393" t="str">
            <v>SVB_ERM_Oversight of Tech 2</v>
          </cell>
          <cell r="H5393">
            <v>5040270</v>
          </cell>
          <cell r="AK5393" t="str">
            <v>Carl Repoli</v>
          </cell>
        </row>
        <row r="5394">
          <cell r="C5394" t="str">
            <v>Patelco_Readiness Assessment</v>
          </cell>
          <cell r="H5394">
            <v>5040229</v>
          </cell>
          <cell r="AK5394" t="str">
            <v>Jeffrey Bordan</v>
          </cell>
        </row>
        <row r="5395">
          <cell r="C5395" t="str">
            <v>MS FID Strats Program Ext.</v>
          </cell>
          <cell r="H5395">
            <v>5037292</v>
          </cell>
          <cell r="AK5395" t="str">
            <v>Mitali Drews</v>
          </cell>
        </row>
        <row r="5396">
          <cell r="C5396" t="str">
            <v>SVB_IT_SVTO Extension</v>
          </cell>
          <cell r="H5396">
            <v>5039879</v>
          </cell>
          <cell r="AK5396" t="str">
            <v>Aditya Taneja</v>
          </cell>
        </row>
        <row r="5397">
          <cell r="C5397" t="str">
            <v>MS_TTRO - Third Party</v>
          </cell>
          <cell r="H5397">
            <v>5038208</v>
          </cell>
          <cell r="AK5397" t="str">
            <v>Ruben Sooriya</v>
          </cell>
        </row>
        <row r="5398">
          <cell r="C5398" t="str">
            <v>Jeff_FX IT JR BA</v>
          </cell>
          <cell r="H5398">
            <v>5040054</v>
          </cell>
          <cell r="AK5398" t="str">
            <v>Conor Dowling</v>
          </cell>
        </row>
        <row r="5399">
          <cell r="C5399" t="str">
            <v>Jeff _CAT Data Analyst Ext.3</v>
          </cell>
          <cell r="H5399">
            <v>5040261</v>
          </cell>
          <cell r="AK5399" t="str">
            <v>Mike Drews</v>
          </cell>
        </row>
        <row r="5400">
          <cell r="C5400" t="str">
            <v>SVB_DA_MDM</v>
          </cell>
          <cell r="H5400">
            <v>5040290</v>
          </cell>
          <cell r="AK5400" t="str">
            <v>Betsy Cherian</v>
          </cell>
        </row>
        <row r="5401">
          <cell r="C5401" t="str">
            <v>BB_Delivery Capacity Support 3</v>
          </cell>
          <cell r="H5401">
            <v>5039121</v>
          </cell>
          <cell r="AK5401" t="str">
            <v>Luke Penca</v>
          </cell>
        </row>
        <row r="5402">
          <cell r="C5402" t="str">
            <v>Trading Ops Workflow</v>
          </cell>
          <cell r="H5402">
            <v>5038156</v>
          </cell>
          <cell r="AK5402" t="str">
            <v>Mitali Drews</v>
          </cell>
        </row>
        <row r="5403">
          <cell r="C5403" t="str">
            <v>SVB_DA_Acceleration P2</v>
          </cell>
          <cell r="H5403">
            <v>5040284</v>
          </cell>
          <cell r="AK5403" t="str">
            <v>Ridha Mesli</v>
          </cell>
        </row>
        <row r="5404">
          <cell r="C5404" t="str">
            <v>ODS AMD 8</v>
          </cell>
          <cell r="H5404">
            <v>5038145</v>
          </cell>
          <cell r="AK5404" t="str">
            <v>David Williams</v>
          </cell>
        </row>
        <row r="5405">
          <cell r="C5405" t="str">
            <v>WF_MO Approval to Trade</v>
          </cell>
          <cell r="H5405">
            <v>5038740</v>
          </cell>
          <cell r="AK5405" t="str">
            <v>Edward Kelley</v>
          </cell>
        </row>
        <row r="5406">
          <cell r="C5406" t="str">
            <v>Jeff EQ Sup Control Ext5</v>
          </cell>
          <cell r="H5406">
            <v>5040089</v>
          </cell>
          <cell r="AK5406" t="str">
            <v>Chelsea Mattias</v>
          </cell>
        </row>
        <row r="5407">
          <cell r="C5407" t="str">
            <v>FrMc_Enterprise Ops Resilency</v>
          </cell>
          <cell r="H5407">
            <v>5040322</v>
          </cell>
          <cell r="AK5407" t="str">
            <v>Michael Mathew</v>
          </cell>
        </row>
        <row r="5408">
          <cell r="C5408" t="str">
            <v>HB_Omni Dist Agile Dev</v>
          </cell>
          <cell r="H5408">
            <v>5040347</v>
          </cell>
          <cell r="AK5408" t="str">
            <v>Tulsi Mehta</v>
          </cell>
        </row>
        <row r="5409">
          <cell r="C5409" t="str">
            <v>Jeff_Content Mgmt BA Ext</v>
          </cell>
          <cell r="H5409">
            <v>5040319</v>
          </cell>
          <cell r="AK5409" t="str">
            <v>Ripple Bhullar</v>
          </cell>
        </row>
        <row r="5410">
          <cell r="C5410" t="str">
            <v>First Heritage Mortgage QC</v>
          </cell>
          <cell r="H5410">
            <v>5040320</v>
          </cell>
          <cell r="AK5410" t="str">
            <v>Christian Maier</v>
          </cell>
        </row>
        <row r="5411">
          <cell r="C5411" t="str">
            <v>Artisan's Bank Mortgage QC</v>
          </cell>
          <cell r="H5411">
            <v>5040301</v>
          </cell>
          <cell r="AK5411" t="str">
            <v>Christian Maier</v>
          </cell>
        </row>
        <row r="5412">
          <cell r="C5412" t="str">
            <v>Unified Bank_Tech_Risk Asments</v>
          </cell>
          <cell r="H5412">
            <v>5038955</v>
          </cell>
          <cell r="AK5412" t="str">
            <v>Kristina Slattery</v>
          </cell>
        </row>
        <row r="5413">
          <cell r="C5413" t="str">
            <v>USAA SCRA AMD 3</v>
          </cell>
          <cell r="H5413">
            <v>5037056</v>
          </cell>
          <cell r="AK5413" t="str">
            <v>Samuel Desta</v>
          </cell>
        </row>
        <row r="5414">
          <cell r="C5414" t="str">
            <v>Envision 2020 HMDA Reviews</v>
          </cell>
          <cell r="H5414">
            <v>5040288</v>
          </cell>
          <cell r="AK5414" t="str">
            <v>Juan Pimentel</v>
          </cell>
        </row>
        <row r="5415">
          <cell r="C5415" t="str">
            <v>FIS_Worldpay Ext</v>
          </cell>
          <cell r="H5415">
            <v>5037211</v>
          </cell>
          <cell r="AK5415" t="str">
            <v>Matthew Faraone</v>
          </cell>
        </row>
        <row r="5416">
          <cell r="C5416" t="str">
            <v>Sura_MX_IC EXT</v>
          </cell>
          <cell r="H5416">
            <v>5038663</v>
          </cell>
          <cell r="AK5416" t="str">
            <v>Benjamin Kornblum</v>
          </cell>
        </row>
        <row r="5417">
          <cell r="C5417" t="str">
            <v>UFSB App Quality Rev Ext</v>
          </cell>
          <cell r="H5417">
            <v>5039042</v>
          </cell>
          <cell r="AK5417" t="str">
            <v>Thuy Whitaker</v>
          </cell>
        </row>
        <row r="5418">
          <cell r="C5418" t="str">
            <v>MS_FXEM SalesSupport-FID Ext</v>
          </cell>
          <cell r="H5418">
            <v>5038014</v>
          </cell>
          <cell r="AK5418" t="str">
            <v>Mitali Drews</v>
          </cell>
        </row>
        <row r="5419">
          <cell r="C5419" t="str">
            <v>CBTC - Vendor Management 2020</v>
          </cell>
          <cell r="H5419">
            <v>5040299</v>
          </cell>
          <cell r="AK5419" t="str">
            <v>Randall Patton</v>
          </cell>
        </row>
        <row r="5420">
          <cell r="C5420" t="str">
            <v>FIS_Site Strategy Ext 2</v>
          </cell>
          <cell r="H5420">
            <v>5039356</v>
          </cell>
          <cell r="AK5420" t="str">
            <v>Matthew Faraone</v>
          </cell>
        </row>
        <row r="5421">
          <cell r="C5421" t="str">
            <v>CrCorp_Vendor Due Diligence</v>
          </cell>
          <cell r="H5421">
            <v>5040296</v>
          </cell>
          <cell r="AK5421" t="str">
            <v>Robert Farmer</v>
          </cell>
        </row>
        <row r="5422">
          <cell r="C5422" t="str">
            <v>TCBCC_BSA Rules Tuning</v>
          </cell>
          <cell r="H5422">
            <v>5040026</v>
          </cell>
          <cell r="AK5422" t="str">
            <v>William Sachs</v>
          </cell>
        </row>
        <row r="5423">
          <cell r="C5423" t="str">
            <v>Jeff Emp Hierarchy Analy Ext8</v>
          </cell>
          <cell r="H5423">
            <v>5040246</v>
          </cell>
          <cell r="AK5423" t="str">
            <v>Jeffrey Gheraldi</v>
          </cell>
        </row>
        <row r="5424">
          <cell r="C5424" t="str">
            <v>Unified Bk OD Program Review</v>
          </cell>
          <cell r="H5424">
            <v>5038964</v>
          </cell>
          <cell r="AK5424" t="str">
            <v>Kristina Slattery</v>
          </cell>
        </row>
        <row r="5425">
          <cell r="C5425" t="str">
            <v>Alight Solutions Alert Clearing</v>
          </cell>
          <cell r="H5425">
            <v>5040275</v>
          </cell>
          <cell r="AK5425" t="str">
            <v>Jonathan Hunt</v>
          </cell>
        </row>
        <row r="5426">
          <cell r="C5426" t="str">
            <v>ESB BSA Staff Augmentation</v>
          </cell>
          <cell r="H5426">
            <v>5040247</v>
          </cell>
          <cell r="AK5426" t="str">
            <v>Mariana Dumanovsky</v>
          </cell>
        </row>
        <row r="5427">
          <cell r="C5427" t="str">
            <v>Compliance Audit</v>
          </cell>
          <cell r="H5427">
            <v>5040332</v>
          </cell>
          <cell r="AK5427" t="str">
            <v>Mary Louise Radley</v>
          </cell>
        </row>
        <row r="5428">
          <cell r="C5428" t="str">
            <v>SVB_PR_GW 2020 Implem Sup Q3/4</v>
          </cell>
          <cell r="H5428">
            <v>5039826</v>
          </cell>
          <cell r="AK5428" t="str">
            <v>Michael Tao</v>
          </cell>
        </row>
        <row r="5429">
          <cell r="C5429" t="str">
            <v>Apple Bank GRC Implementation</v>
          </cell>
          <cell r="H5429">
            <v>5038158</v>
          </cell>
          <cell r="AK5429" t="str">
            <v>Tania Makuh</v>
          </cell>
        </row>
        <row r="5430">
          <cell r="C5430" t="str">
            <v>FrMc_ODS AMD 7</v>
          </cell>
          <cell r="H5430">
            <v>5038145</v>
          </cell>
          <cell r="AK5430" t="str">
            <v>David Williams</v>
          </cell>
        </row>
        <row r="5431">
          <cell r="C5431" t="str">
            <v>Transcend Extension</v>
          </cell>
          <cell r="H5431">
            <v>5039334</v>
          </cell>
          <cell r="AK5431" t="str">
            <v>Matthew Rodgers</v>
          </cell>
        </row>
        <row r="5432">
          <cell r="C5432" t="str">
            <v>MS_Private Bank Value Prop</v>
          </cell>
          <cell r="H5432">
            <v>5040346</v>
          </cell>
          <cell r="AK5432" t="str">
            <v>Allison Kent</v>
          </cell>
        </row>
        <row r="5433">
          <cell r="C5433" t="str">
            <v>MS_RPA Tool Evaluation - Phase II</v>
          </cell>
          <cell r="H5433">
            <v>5039378</v>
          </cell>
          <cell r="AK5433" t="str">
            <v>Jon Herna</v>
          </cell>
        </row>
        <row r="5434">
          <cell r="C5434" t="str">
            <v>Truist SOW #8 CO#2_BankCard Ops Readiness Phase 2</v>
          </cell>
          <cell r="H5434">
            <v>5039182</v>
          </cell>
          <cell r="AK5434" t="str">
            <v>Daniela Hawkins</v>
          </cell>
        </row>
        <row r="5435">
          <cell r="C5435" t="str">
            <v>SVB_DA_ODP Acceleration_Cloud Infra Arch</v>
          </cell>
          <cell r="H5435">
            <v>5040324</v>
          </cell>
          <cell r="AK5435" t="str">
            <v>Kyle Chavers</v>
          </cell>
        </row>
        <row r="5436">
          <cell r="C5436" t="str">
            <v>Lakeland-Sales,Compensation</v>
          </cell>
          <cell r="H5436">
            <v>5040419</v>
          </cell>
          <cell r="AK5436" t="str">
            <v>Aditya Udas</v>
          </cell>
        </row>
        <row r="5437">
          <cell r="C5437" t="str">
            <v>Jeff_Central Compliance Ext</v>
          </cell>
          <cell r="H5437">
            <v>5039897</v>
          </cell>
          <cell r="AK5437" t="str">
            <v>Jeffrey Gheraldi</v>
          </cell>
        </row>
        <row r="5438">
          <cell r="C5438" t="str">
            <v>Jeff_LIBOR Program Manager</v>
          </cell>
          <cell r="H5438">
            <v>5040260</v>
          </cell>
          <cell r="AK5438" t="str">
            <v>Chelsea Mattias</v>
          </cell>
        </row>
        <row r="5439">
          <cell r="C5439" t="str">
            <v>Jeff Compliance Analyst Ext8</v>
          </cell>
          <cell r="H5439">
            <v>5040210</v>
          </cell>
          <cell r="AK5439" t="str">
            <v>Jeffrey Gheraldi</v>
          </cell>
        </row>
        <row r="5440">
          <cell r="C5440" t="str">
            <v>FrMc_AUA PM</v>
          </cell>
          <cell r="H5440">
            <v>5040302</v>
          </cell>
          <cell r="AK5440" t="str">
            <v>Christopher Martines</v>
          </cell>
        </row>
        <row r="5441">
          <cell r="C5441" t="str">
            <v>GS IMD Team Build Out</v>
          </cell>
          <cell r="H5441">
            <v>5040418</v>
          </cell>
          <cell r="AK5441" t="str">
            <v>Parul Chowdhry</v>
          </cell>
        </row>
        <row r="5442">
          <cell r="C5442" t="str">
            <v>GL Agile Delivery - POs Pt 2</v>
          </cell>
          <cell r="H5442">
            <v>5039899</v>
          </cell>
          <cell r="AK5442" t="str">
            <v>Pete Grebus</v>
          </cell>
        </row>
        <row r="5443">
          <cell r="C5443" t="str">
            <v>UB_097_RB_Cust Journ Aug CO1</v>
          </cell>
          <cell r="H5443">
            <v>5038080</v>
          </cell>
          <cell r="AK5443" t="str">
            <v>Samuel Awsumb</v>
          </cell>
        </row>
        <row r="5444">
          <cell r="C5444" t="str">
            <v>InvestCloud_PTier</v>
          </cell>
          <cell r="H5444">
            <v>5040336</v>
          </cell>
          <cell r="AK5444" t="str">
            <v>Benjamin Kornblum</v>
          </cell>
        </row>
        <row r="5445">
          <cell r="C5445" t="str">
            <v>MS_IMOPS_Leadership Workshop</v>
          </cell>
          <cell r="H5445">
            <v>5040335</v>
          </cell>
          <cell r="AK5445" t="str">
            <v>Casey Schaffer</v>
          </cell>
        </row>
        <row r="5446">
          <cell r="C5446" t="str">
            <v>BKU Digital Eng New 2020 Build</v>
          </cell>
          <cell r="H5446">
            <v>5037421</v>
          </cell>
          <cell r="AK5446" t="str">
            <v>Kevin Miologos</v>
          </cell>
        </row>
        <row r="5447">
          <cell r="C5447" t="str">
            <v>BSA Audit</v>
          </cell>
          <cell r="H5447">
            <v>5040333</v>
          </cell>
          <cell r="AK5447" t="str">
            <v>Charles Mcwilliam</v>
          </cell>
        </row>
        <row r="5448">
          <cell r="C5448" t="str">
            <v>Beacon MM Delivery Ext 1</v>
          </cell>
          <cell r="H5448">
            <v>5038883</v>
          </cell>
          <cell r="AK5448" t="str">
            <v>Phil Kerkel</v>
          </cell>
        </row>
        <row r="5449">
          <cell r="C5449" t="str">
            <v>WF_CID STACK_UAT</v>
          </cell>
          <cell r="H5449">
            <v>5038740</v>
          </cell>
          <cell r="AK5449" t="str">
            <v>Edward Kelley</v>
          </cell>
        </row>
        <row r="5450">
          <cell r="C5450" t="str">
            <v>MS_Future of Work Ops Design</v>
          </cell>
          <cell r="H5450">
            <v>5040367</v>
          </cell>
          <cell r="AK5450" t="str">
            <v>Casey Schaffer</v>
          </cell>
        </row>
        <row r="5451">
          <cell r="C5451" t="str">
            <v>MS_Innov - Design Thinking</v>
          </cell>
          <cell r="H5451">
            <v>5040334</v>
          </cell>
          <cell r="AK5451" t="str">
            <v>Meghan Byrnes-Borderan</v>
          </cell>
        </row>
        <row r="5452">
          <cell r="C5452" t="str">
            <v>MS_IMOPS_Strat Derivs Ops</v>
          </cell>
          <cell r="H5452">
            <v>5040350</v>
          </cell>
          <cell r="AK5452" t="str">
            <v>Marc Elkaim</v>
          </cell>
        </row>
        <row r="5453">
          <cell r="C5453" t="str">
            <v>CB&amp;TC_BSA Independent Testing</v>
          </cell>
          <cell r="H5453">
            <v>5040222</v>
          </cell>
          <cell r="AK5453" t="str">
            <v>Charles Mcwilliam</v>
          </cell>
        </row>
        <row r="5454">
          <cell r="C5454" t="str">
            <v>BB_Delivery Capacity Support 4</v>
          </cell>
          <cell r="H5454">
            <v>5039121</v>
          </cell>
          <cell r="AK5454" t="str">
            <v>Luke Penca</v>
          </cell>
        </row>
        <row r="5455">
          <cell r="C5455" t="str">
            <v>SVB_IT_MDF Development Ext3</v>
          </cell>
          <cell r="H5455">
            <v>5039346</v>
          </cell>
          <cell r="AK5455" t="str">
            <v>Chinmoy Bhatiya</v>
          </cell>
        </row>
        <row r="5456">
          <cell r="C5456" t="str">
            <v>MS_Future of eX MS IT</v>
          </cell>
          <cell r="H5456">
            <v>5040356</v>
          </cell>
          <cell r="AK5456" t="str">
            <v>Casey Schaffer</v>
          </cell>
        </row>
        <row r="5457">
          <cell r="C5457" t="str">
            <v>FrdMc_SF Data Dev Team</v>
          </cell>
          <cell r="H5457">
            <v>5040364</v>
          </cell>
          <cell r="AK5457" t="str">
            <v>Ramnish Gupta</v>
          </cell>
        </row>
        <row r="5458">
          <cell r="C5458" t="str">
            <v>SVB_ERM_Product_Risk_Cntls</v>
          </cell>
          <cell r="H5458">
            <v>5040493</v>
          </cell>
          <cell r="AK5458" t="str">
            <v>Karl Augenstein</v>
          </cell>
        </row>
        <row r="5459">
          <cell r="C5459" t="str">
            <v>KB_Mortgage Process Review</v>
          </cell>
          <cell r="H5459">
            <v>5040409</v>
          </cell>
          <cell r="AK5459" t="str">
            <v>Mike Peretz</v>
          </cell>
        </row>
        <row r="5460">
          <cell r="C5460" t="str">
            <v>CS_Enterprise Data Target Ext</v>
          </cell>
          <cell r="H5460">
            <v>5040217</v>
          </cell>
          <cell r="AK5460" t="str">
            <v>Anita Shankar</v>
          </cell>
        </row>
        <row r="5461">
          <cell r="C5461" t="str">
            <v>Jeff_Agile&amp;Devops Ext</v>
          </cell>
          <cell r="H5461">
            <v>5036985</v>
          </cell>
          <cell r="AK5461" t="str">
            <v>Nicholas Perkins</v>
          </cell>
        </row>
        <row r="5462">
          <cell r="C5462" t="str">
            <v>Jeff_IB Data Analyst_Developer - September Extension</v>
          </cell>
          <cell r="H5462">
            <v>5039988</v>
          </cell>
          <cell r="AK5462" t="str">
            <v>Ripple Bhullar</v>
          </cell>
        </row>
        <row r="5463">
          <cell r="C5463" t="str">
            <v>Popular - HMDA Data Validation</v>
          </cell>
          <cell r="H5463">
            <v>5040389</v>
          </cell>
          <cell r="AK5463" t="str">
            <v>Juan Pimentel</v>
          </cell>
        </row>
        <row r="5464">
          <cell r="C5464" t="str">
            <v>IC P-Tier Additional</v>
          </cell>
          <cell r="H5464">
            <v>5040403</v>
          </cell>
          <cell r="AK5464" t="str">
            <v>Benjamin Kornblum</v>
          </cell>
        </row>
        <row r="5465">
          <cell r="C5465" t="str">
            <v>Jeff_Murex Project Manager</v>
          </cell>
          <cell r="H5465">
            <v>5040443</v>
          </cell>
          <cell r="AK5465" t="str">
            <v>Chelsea Mattias</v>
          </cell>
        </row>
        <row r="5466">
          <cell r="C5466" t="str">
            <v>HB_Omni Consumer&amp;Business Dev Adtl Devs</v>
          </cell>
          <cell r="H5466">
            <v>5039037</v>
          </cell>
          <cell r="AK5466" t="str">
            <v>Bryan Olson</v>
          </cell>
        </row>
        <row r="5467">
          <cell r="C5467" t="str">
            <v>Revantage JP ext</v>
          </cell>
          <cell r="H5467">
            <v>5038075</v>
          </cell>
          <cell r="AK5467" t="str">
            <v>John Power</v>
          </cell>
        </row>
        <row r="5468">
          <cell r="C5468" t="str">
            <v>FID Strats Program Ext</v>
          </cell>
          <cell r="H5468">
            <v>5037292</v>
          </cell>
          <cell r="AK5468" t="str">
            <v>Mitali Drews</v>
          </cell>
        </row>
        <row r="5469">
          <cell r="C5469" t="str">
            <v>MACU ModelValidation</v>
          </cell>
          <cell r="H5469">
            <v>5040458</v>
          </cell>
          <cell r="AK5469" t="str">
            <v>Aiswarya Parameswaran</v>
          </cell>
        </row>
        <row r="5470">
          <cell r="C5470" t="str">
            <v>Bernkshire Bank_PaymentTesting</v>
          </cell>
          <cell r="H5470">
            <v>5040504</v>
          </cell>
          <cell r="AK5470" t="str">
            <v>Mariana Dumanovsky</v>
          </cell>
        </row>
        <row r="5471">
          <cell r="C5471" t="str">
            <v>Truist SOW #8 CO#3_BankCard Ops Readiness Phase 2</v>
          </cell>
          <cell r="H5471">
            <v>5039182</v>
          </cell>
          <cell r="AK5471" t="str">
            <v>Daniela Hawkins</v>
          </cell>
        </row>
        <row r="5472">
          <cell r="C5472" t="str">
            <v>UB_107_RB_MRA Reg PM CO1</v>
          </cell>
          <cell r="H5472">
            <v>5039051</v>
          </cell>
          <cell r="AK5472" t="str">
            <v>Samuel Awsumb</v>
          </cell>
        </row>
        <row r="5473">
          <cell r="C5473" t="str">
            <v>FHFA_SC Phase 2</v>
          </cell>
          <cell r="H5473">
            <v>5037633</v>
          </cell>
          <cell r="AK5473" t="str">
            <v>Thomas Wilson</v>
          </cell>
        </row>
        <row r="5474">
          <cell r="C5474" t="str">
            <v>RBCUS_Finance Change Q4 2020</v>
          </cell>
          <cell r="H5474">
            <v>5028724</v>
          </cell>
          <cell r="AK5474" t="str">
            <v>Carl Repoli</v>
          </cell>
        </row>
        <row r="5475">
          <cell r="C5475" t="str">
            <v>Ms_WM Ops_Tax &amp; Client Rep 2020 Ext.</v>
          </cell>
          <cell r="H5475">
            <v>5038248</v>
          </cell>
          <cell r="AK5475" t="str">
            <v>Leah Watson</v>
          </cell>
        </row>
        <row r="5476">
          <cell r="C5476" t="str">
            <v>RBCUS - CNB PMO Support (Ext)</v>
          </cell>
          <cell r="H5476">
            <v>5038707</v>
          </cell>
          <cell r="AK5476" t="str">
            <v>Carl Repoli</v>
          </cell>
        </row>
        <row r="5477">
          <cell r="C5477" t="str">
            <v>Mo Bilal Ext</v>
          </cell>
          <cell r="H5477">
            <v>5038183</v>
          </cell>
          <cell r="AK5477" t="str">
            <v>Ruben Sooriya</v>
          </cell>
        </row>
        <row r="5478">
          <cell r="C5478" t="str">
            <v>AFC KYC T&amp;R Q4 2020 Extension</v>
          </cell>
          <cell r="H5478">
            <v>5038106</v>
          </cell>
          <cell r="AK5478" t="str">
            <v>Ruby Cherian</v>
          </cell>
        </row>
        <row r="5479">
          <cell r="C5479" t="str">
            <v>Santander_GRC Support Ext</v>
          </cell>
          <cell r="H5479">
            <v>5038972</v>
          </cell>
          <cell r="AK5479" t="str">
            <v>Ridha Mesli</v>
          </cell>
        </row>
        <row r="5480">
          <cell r="C5480" t="str">
            <v>UBS Project Tech PM Role Ext. 2</v>
          </cell>
          <cell r="H5480">
            <v>5038738</v>
          </cell>
          <cell r="AK5480" t="str">
            <v>Matthew Berkowitz</v>
          </cell>
        </row>
        <row r="5481">
          <cell r="C5481" t="str">
            <v>MS_CTB_ISGPO_2020 Ext</v>
          </cell>
          <cell r="H5481">
            <v>5038156</v>
          </cell>
          <cell r="AK5481" t="str">
            <v>Mitali Drews</v>
          </cell>
        </row>
        <row r="5482">
          <cell r="C5482" t="str">
            <v>FredM_Payments Modernization Ext2</v>
          </cell>
          <cell r="H5482">
            <v>5038088</v>
          </cell>
          <cell r="AK5482" t="str">
            <v>Chinmoy Bhatiya</v>
          </cell>
        </row>
        <row r="5483">
          <cell r="C5483" t="str">
            <v>VyStar - Risk &amp; Compliance Diagnostic/Roadmap</v>
          </cell>
          <cell r="H5483">
            <v>5040416</v>
          </cell>
          <cell r="AK5483" t="str">
            <v>Tania Makuh</v>
          </cell>
        </row>
        <row r="5484">
          <cell r="C5484" t="str">
            <v>FrMc_Modern Delivery (AMD 6)</v>
          </cell>
          <cell r="H5484">
            <v>5038434</v>
          </cell>
          <cell r="AK5484" t="str">
            <v>Kalkidan Tedla</v>
          </cell>
        </row>
        <row r="5485">
          <cell r="C5485" t="str">
            <v>BerkshireBank_BusinessLineCompliance</v>
          </cell>
          <cell r="H5485">
            <v>5040508</v>
          </cell>
          <cell r="AK5485" t="str">
            <v>Delsys Salas</v>
          </cell>
        </row>
        <row r="5486">
          <cell r="C5486" t="str">
            <v>HSBC-GBM-Arranged Finance Ph3</v>
          </cell>
          <cell r="H5486">
            <v>5040494</v>
          </cell>
          <cell r="AK5486" t="str">
            <v>Peter Brown</v>
          </cell>
        </row>
        <row r="5487">
          <cell r="C5487" t="str">
            <v>JEF Central Compliance Employee Trading Analyst</v>
          </cell>
          <cell r="H5487">
            <v>5040552</v>
          </cell>
          <cell r="AK5487" t="str">
            <v>Jeffrey Gheraldi</v>
          </cell>
        </row>
        <row r="5488">
          <cell r="C5488" t="str">
            <v>Pen Fed_UW Cert</v>
          </cell>
          <cell r="H5488">
            <v>5040556</v>
          </cell>
          <cell r="AK5488" t="str">
            <v>Willis Leitner</v>
          </cell>
        </row>
        <row r="5489">
          <cell r="C5489" t="str">
            <v>Centennial Bank - RegB Loan Applications</v>
          </cell>
          <cell r="H5489">
            <v>5040509</v>
          </cell>
          <cell r="AK5489" t="str">
            <v>Randall Patton</v>
          </cell>
        </row>
        <row r="5490">
          <cell r="C5490" t="str">
            <v>SVB_PR_GW 2020 Core UI-UX Q4</v>
          </cell>
          <cell r="H5490">
            <v>5040535</v>
          </cell>
          <cell r="AK5490" t="str">
            <v>Arin LoPrete</v>
          </cell>
        </row>
        <row r="5491">
          <cell r="C5491" t="str">
            <v>FNB SiouxFalls_FLSA</v>
          </cell>
          <cell r="H5491">
            <v>5040038</v>
          </cell>
          <cell r="AK5491" t="str">
            <v>Elanna Kooistra</v>
          </cell>
        </row>
        <row r="5492">
          <cell r="C5492" t="str">
            <v>CentennialBnk_Reg E Consulting</v>
          </cell>
          <cell r="H5492">
            <v>5041797</v>
          </cell>
          <cell r="AK5492" t="str">
            <v>Mary Louise Radley</v>
          </cell>
        </row>
        <row r="5493">
          <cell r="C5493" t="str">
            <v>Lazard Tessian Implementation</v>
          </cell>
          <cell r="H5493">
            <v>5039906</v>
          </cell>
          <cell r="AK5493" t="str">
            <v>Michelle Leon</v>
          </cell>
        </row>
        <row r="5494">
          <cell r="C5494" t="str">
            <v>MS Alts Ops - Resource #2</v>
          </cell>
          <cell r="H5494">
            <v>5039891</v>
          </cell>
          <cell r="AK5494" t="str">
            <v>Kevin Beyar</v>
          </cell>
        </row>
        <row r="5495">
          <cell r="C5495" t="str">
            <v>CNB_ITSM Uplift</v>
          </cell>
          <cell r="H5495">
            <v>5040548</v>
          </cell>
          <cell r="AK5495" t="str">
            <v>Betsy Cherian</v>
          </cell>
        </row>
        <row r="5496">
          <cell r="C5496" t="str">
            <v>Patelco_IA Risk Assessment</v>
          </cell>
          <cell r="H5496">
            <v>5040229</v>
          </cell>
          <cell r="AK5496" t="str">
            <v>Jeffrey Bordan</v>
          </cell>
        </row>
        <row r="5497">
          <cell r="C5497" t="str">
            <v>IC_CapGroupSupport</v>
          </cell>
          <cell r="H5497">
            <v>5040512</v>
          </cell>
          <cell r="AK5497" t="str">
            <v>Maura Riley</v>
          </cell>
        </row>
        <row r="5498">
          <cell r="C5498" t="str">
            <v>Enigma - Truist EOY Ext (Ken and Mark)</v>
          </cell>
          <cell r="H5498">
            <v>5039747</v>
          </cell>
          <cell r="AK5498" t="str">
            <v>Bryan Olson</v>
          </cell>
        </row>
        <row r="5499">
          <cell r="C5499" t="str">
            <v>SVB_DA_Agile Coaching Extension</v>
          </cell>
          <cell r="H5499">
            <v>5040570</v>
          </cell>
          <cell r="AK5499" t="str">
            <v>Kyle Chavers</v>
          </cell>
        </row>
        <row r="5500">
          <cell r="C5500" t="str">
            <v>Jeff _Tech PMO-Reg IM_Capital</v>
          </cell>
          <cell r="H5500">
            <v>5040507</v>
          </cell>
          <cell r="AK5500" t="str">
            <v>Kaley Pomerantz</v>
          </cell>
        </row>
        <row r="5501">
          <cell r="C5501" t="str">
            <v>Jeff_Central PMO - Reg IM/Capital</v>
          </cell>
          <cell r="H5501">
            <v>5040513</v>
          </cell>
          <cell r="AK5501" t="str">
            <v>Kaley Pomerantz</v>
          </cell>
        </row>
        <row r="5502">
          <cell r="C5502" t="str">
            <v>MS WM Tech Mainframe Services - Mumbai Role</v>
          </cell>
          <cell r="H5502">
            <v>5039222</v>
          </cell>
          <cell r="AK5502" t="str">
            <v>Rohini Bhatia</v>
          </cell>
        </row>
        <row r="5503">
          <cell r="C5503" t="str">
            <v>JDOE Swap Dealer Compliance Developer</v>
          </cell>
          <cell r="H5503">
            <v>5039022</v>
          </cell>
          <cell r="AK5503" t="str">
            <v>Chelsea Mattias</v>
          </cell>
        </row>
        <row r="5504">
          <cell r="C5504" t="str">
            <v>Jeff_II Campaign Ext</v>
          </cell>
          <cell r="H5504">
            <v>5038585</v>
          </cell>
          <cell r="AK5504" t="str">
            <v>Aoife Hogan</v>
          </cell>
        </row>
        <row r="5505">
          <cell r="C5505" t="str">
            <v>Sunstate FCU/Comprehensive Disclosure Review</v>
          </cell>
          <cell r="H5505">
            <v>5038241</v>
          </cell>
          <cell r="AK5505" t="str">
            <v>Louvera Walden</v>
          </cell>
        </row>
        <row r="5506">
          <cell r="C5506" t="str">
            <v>MS_VMO Data Analysis YE Ext.</v>
          </cell>
          <cell r="H5506">
            <v>5038385</v>
          </cell>
          <cell r="AK5506" t="str">
            <v>Dan Schutzman</v>
          </cell>
        </row>
        <row r="5507">
          <cell r="C5507" t="str">
            <v>Jeff Compliance Analyst Ext9</v>
          </cell>
          <cell r="H5507">
            <v>5040210</v>
          </cell>
          <cell r="AK5507" t="str">
            <v>Jeffrey Gheraldi</v>
          </cell>
        </row>
        <row r="5508">
          <cell r="C5508" t="str">
            <v>HB_Rewards Replatform &amp; Unsecured Credit</v>
          </cell>
          <cell r="H5508">
            <v>5041295</v>
          </cell>
          <cell r="AK5508" t="str">
            <v>Andrew Radka</v>
          </cell>
        </row>
        <row r="5509">
          <cell r="C5509" t="str">
            <v>HB_Omni Agile Dev 2021</v>
          </cell>
          <cell r="H5509">
            <v>5041295</v>
          </cell>
          <cell r="AK5509" t="str">
            <v>Andrew Radka</v>
          </cell>
        </row>
        <row r="5510">
          <cell r="C5510" t="str">
            <v>HB_Digital Wealth Impl Planning</v>
          </cell>
          <cell r="H5510">
            <v>5040674</v>
          </cell>
          <cell r="AK5510" t="str">
            <v>Nikhil Sharma</v>
          </cell>
        </row>
        <row r="5511">
          <cell r="C5511" t="str">
            <v>Unqork - Style Team UX Engineering &amp; Design</v>
          </cell>
          <cell r="H5511">
            <v>5040583</v>
          </cell>
          <cell r="AK5511" t="str">
            <v>Phil Kerkel</v>
          </cell>
        </row>
        <row r="5512">
          <cell r="C5512" t="str">
            <v>BB_Delivery Capacity Support 6</v>
          </cell>
          <cell r="H5512">
            <v>5039121</v>
          </cell>
          <cell r="AK5512" t="str">
            <v>Luke Penca</v>
          </cell>
        </row>
        <row r="5513">
          <cell r="C5513" t="str">
            <v>DB_CB T4O Team Extension</v>
          </cell>
          <cell r="H5513">
            <v>5039890</v>
          </cell>
          <cell r="AK5513" t="str">
            <v>Sandra Paris</v>
          </cell>
        </row>
        <row r="5514">
          <cell r="C5514" t="str">
            <v>WM Ops_AI RTB Support 2020 Ext.</v>
          </cell>
          <cell r="H5514">
            <v>5038207</v>
          </cell>
          <cell r="AK5514" t="str">
            <v>Leah Watson</v>
          </cell>
        </row>
        <row r="5515">
          <cell r="C5515" t="str">
            <v>UB_114_CBT Adv Team Ph1</v>
          </cell>
          <cell r="H5515">
            <v>5040591</v>
          </cell>
          <cell r="AK5515" t="str">
            <v>Samuel Awsumb</v>
          </cell>
        </row>
        <row r="5516">
          <cell r="C5516" t="str">
            <v>UB_111_CBT Deploy Operations Ph1</v>
          </cell>
          <cell r="H5516">
            <v>5040590</v>
          </cell>
          <cell r="AK5516" t="str">
            <v>Samuel Awsumb</v>
          </cell>
        </row>
        <row r="5517">
          <cell r="C5517" t="str">
            <v>Jeff_SD Compliance IT BA</v>
          </cell>
          <cell r="H5517">
            <v>5039750</v>
          </cell>
          <cell r="AK5517" t="str">
            <v>Chelsea Mattias</v>
          </cell>
        </row>
        <row r="5518">
          <cell r="C5518" t="str">
            <v>Jeff_Murex Reporting BA/Developer</v>
          </cell>
          <cell r="H5518">
            <v>5039127</v>
          </cell>
          <cell r="AK5518" t="str">
            <v>Chelsea Mattias</v>
          </cell>
        </row>
        <row r="5519">
          <cell r="C5519" t="str">
            <v>Citi_Data Tracing 2020 Amd 1</v>
          </cell>
          <cell r="H5519">
            <v>5038193</v>
          </cell>
          <cell r="AK5519" t="str">
            <v>Robert Norris</v>
          </cell>
        </row>
        <row r="5520">
          <cell r="C5520" t="str">
            <v>FrdMc_2020 CSP ARMS Q4</v>
          </cell>
          <cell r="H5520">
            <v>5037633</v>
          </cell>
          <cell r="AK5520" t="str">
            <v>Thomas Wilson</v>
          </cell>
        </row>
        <row r="5521">
          <cell r="C5521" t="str">
            <v>SVB_IT_MDF_Development_Ext4</v>
          </cell>
          <cell r="H5521">
            <v>5039346</v>
          </cell>
          <cell r="AK5521" t="str">
            <v>Chinmoy Bhatiya</v>
          </cell>
        </row>
        <row r="5522">
          <cell r="C5522" t="str">
            <v>HSBC-CMB-Digital Comms Ext 2</v>
          </cell>
          <cell r="H5522">
            <v>5037274</v>
          </cell>
          <cell r="AK5522" t="str">
            <v>Peter Brown</v>
          </cell>
        </row>
        <row r="5523">
          <cell r="C5523" t="str">
            <v>RPA BA Support</v>
          </cell>
          <cell r="H5523">
            <v>5039905</v>
          </cell>
          <cell r="AK5523" t="str">
            <v>Scott Kennedy</v>
          </cell>
        </row>
        <row r="5524">
          <cell r="C5524" t="str">
            <v>MS_Future of eX IT Sprints 3 and 4</v>
          </cell>
          <cell r="H5524">
            <v>5040596</v>
          </cell>
          <cell r="AK5524" t="str">
            <v>Casey Schaffer</v>
          </cell>
        </row>
        <row r="5525">
          <cell r="C5525" t="str">
            <v>Jeff_AML Support 3</v>
          </cell>
          <cell r="H5525">
            <v>5040253</v>
          </cell>
          <cell r="AK5525" t="str">
            <v>Jeffrey Gheraldi</v>
          </cell>
        </row>
        <row r="5526">
          <cell r="C5526" t="str">
            <v>Pamoja_Cyber Security Review</v>
          </cell>
          <cell r="H5526">
            <v>5040571</v>
          </cell>
          <cell r="AK5526" t="str">
            <v>Jayadevan Vijayakrishnan</v>
          </cell>
        </row>
        <row r="5527">
          <cell r="C5527" t="str">
            <v>SVB_IT_SVTO Extension</v>
          </cell>
          <cell r="H5527">
            <v>5039879</v>
          </cell>
          <cell r="AK5527" t="str">
            <v>Aditya Taneja</v>
          </cell>
        </row>
        <row r="5528">
          <cell r="C5528" t="str">
            <v>ICBC Data Feed/RAS</v>
          </cell>
          <cell r="H5528">
            <v>5034379</v>
          </cell>
          <cell r="AK5528" t="str">
            <v>Leah Robinson</v>
          </cell>
        </row>
        <row r="5529">
          <cell r="C5529" t="str">
            <v>SVB_PR_Gateway Design Q4 Expansion</v>
          </cell>
          <cell r="H5529">
            <v>5040649</v>
          </cell>
          <cell r="AK5529" t="str">
            <v>Arin LoPrete</v>
          </cell>
        </row>
        <row r="5530">
          <cell r="C5530" t="str">
            <v>Centennial Bank RegB - Loan Applications</v>
          </cell>
          <cell r="H5530">
            <v>5040509</v>
          </cell>
          <cell r="AK5530" t="str">
            <v>Randall Patton</v>
          </cell>
        </row>
        <row r="5531">
          <cell r="C5531" t="str">
            <v>SVB_IT_Cloud Awareness</v>
          </cell>
          <cell r="H5531">
            <v>5040671</v>
          </cell>
          <cell r="AK5531" t="str">
            <v>Sebastian Beebee</v>
          </cell>
        </row>
        <row r="5532">
          <cell r="C5532" t="str">
            <v>SVB_UKSub_Agile Progam Mgmt</v>
          </cell>
          <cell r="H5532">
            <v>5040650</v>
          </cell>
          <cell r="AK5532" t="str">
            <v>Emily Clark</v>
          </cell>
        </row>
        <row r="5533">
          <cell r="C5533" t="str">
            <v>CNB_EA Strategy</v>
          </cell>
          <cell r="H5533">
            <v>5040633</v>
          </cell>
          <cell r="AK5533" t="str">
            <v>Betsy Cherian</v>
          </cell>
        </row>
        <row r="5534">
          <cell r="C5534" t="str">
            <v>Broker Dealer Independent Test</v>
          </cell>
          <cell r="H5534">
            <v>5040551</v>
          </cell>
          <cell r="AK5534" t="str">
            <v>William Sachs</v>
          </cell>
        </row>
        <row r="5535">
          <cell r="C5535" t="str">
            <v>Co-Sourced BSA Independent Testing</v>
          </cell>
          <cell r="H5535">
            <v>5040549</v>
          </cell>
          <cell r="AK5535" t="str">
            <v>William Sachs</v>
          </cell>
        </row>
        <row r="5536">
          <cell r="C5536" t="str">
            <v>Jeff EBS Comp Analyst Ext4</v>
          </cell>
          <cell r="H5536">
            <v>5039953</v>
          </cell>
          <cell r="AK5536" t="str">
            <v>Jeffrey Gheraldi</v>
          </cell>
        </row>
        <row r="5537">
          <cell r="C5537" t="str">
            <v>UBS AML/KYC Staff Aug RISC</v>
          </cell>
          <cell r="H5537">
            <v>5040768</v>
          </cell>
          <cell r="AK5537" t="str">
            <v>Kristi Hegert</v>
          </cell>
        </row>
        <row r="5538">
          <cell r="C5538" t="str">
            <v>SVB_PR_TAG Pod Product Manager</v>
          </cell>
          <cell r="H5538">
            <v>5040669</v>
          </cell>
          <cell r="AK5538" t="str">
            <v>Kyle Chavers</v>
          </cell>
        </row>
        <row r="5539">
          <cell r="C5539" t="str">
            <v>DFEA_Reg Compliance School</v>
          </cell>
          <cell r="H5539">
            <v>5040737</v>
          </cell>
          <cell r="AK5539" t="str">
            <v>Robert Cardwell</v>
          </cell>
        </row>
        <row r="5540">
          <cell r="C5540" t="str">
            <v>Jeff _Capital Program IT PM</v>
          </cell>
          <cell r="H5540">
            <v>5040601</v>
          </cell>
          <cell r="AK5540" t="str">
            <v>Chelsea Mattias</v>
          </cell>
        </row>
        <row r="5541">
          <cell r="C5541" t="str">
            <v>Sabal Trust Annual Audits</v>
          </cell>
          <cell r="H5541">
            <v>5040490</v>
          </cell>
          <cell r="AK5541" t="str">
            <v>Mary Louise Radley</v>
          </cell>
        </row>
        <row r="5542">
          <cell r="C5542" t="str">
            <v>Rules Tuning/ BSA Patriot Officer</v>
          </cell>
          <cell r="H5542">
            <v>5040702</v>
          </cell>
          <cell r="AK5542" t="str">
            <v>William Sachs</v>
          </cell>
        </row>
        <row r="5543">
          <cell r="C5543" t="str">
            <v>ICB China RCM Monitoring Renewal (Auto)</v>
          </cell>
          <cell r="H5543">
            <v>5034487</v>
          </cell>
          <cell r="AK5543" t="str">
            <v>Leah Robinson</v>
          </cell>
        </row>
        <row r="5544">
          <cell r="C5544" t="str">
            <v>Shoko_BSA/AML Process Review</v>
          </cell>
          <cell r="H5544">
            <v>5040646</v>
          </cell>
          <cell r="AK5544" t="str">
            <v>William Sachs</v>
          </cell>
        </row>
        <row r="5545">
          <cell r="C5545" t="str">
            <v>NETFCU_Info Sec RA</v>
          </cell>
          <cell r="H5545">
            <v>5038830</v>
          </cell>
          <cell r="AK5545" t="str">
            <v>Robert Farmer</v>
          </cell>
        </row>
        <row r="5546">
          <cell r="C5546" t="str">
            <v>Alight Sol- OFAC Alert Clearing</v>
          </cell>
          <cell r="H5546">
            <v>5040578</v>
          </cell>
          <cell r="AK5546" t="str">
            <v>Jonathan Hunt</v>
          </cell>
        </row>
        <row r="5547">
          <cell r="C5547" t="str">
            <v>USAA SCRA AMD 4</v>
          </cell>
          <cell r="H5547">
            <v>5037056</v>
          </cell>
          <cell r="AK5547" t="str">
            <v>Samuel Desta</v>
          </cell>
        </row>
        <row r="5548">
          <cell r="C5548" t="str">
            <v>Jeff_Transcend BA Application Support</v>
          </cell>
          <cell r="H5548">
            <v>5040694</v>
          </cell>
          <cell r="AK5548" t="str">
            <v>John McCaffrey</v>
          </cell>
        </row>
        <row r="5549">
          <cell r="C5549" t="str">
            <v>Centennial Bank - RESPA/Escrow 2020</v>
          </cell>
          <cell r="H5549">
            <v>5040510</v>
          </cell>
          <cell r="AK5549" t="str">
            <v>Randall Patton</v>
          </cell>
        </row>
        <row r="5550">
          <cell r="C5550" t="str">
            <v>First National Com Bank_PA_RAS</v>
          </cell>
          <cell r="H5550">
            <v>5039650</v>
          </cell>
          <cell r="AK5550" t="str">
            <v>Diane Banks</v>
          </cell>
        </row>
        <row r="5551">
          <cell r="C5551" t="str">
            <v>Mitsui RMSC - OFAC -addendum</v>
          </cell>
          <cell r="H5551">
            <v>5039137</v>
          </cell>
          <cell r="AK5551" t="str">
            <v>Jonathan Hunt</v>
          </cell>
        </row>
        <row r="5552">
          <cell r="C5552" t="str">
            <v>SVB_IT_SVTO Extension 2</v>
          </cell>
          <cell r="H5552">
            <v>5039879</v>
          </cell>
          <cell r="AK5552" t="str">
            <v>Aditya Taneja</v>
          </cell>
        </row>
        <row r="5553">
          <cell r="C5553" t="str">
            <v>Beacon Q4 2020 extension</v>
          </cell>
          <cell r="H5553">
            <v>5038883</v>
          </cell>
          <cell r="AK5553" t="str">
            <v>Phil Kerkel</v>
          </cell>
        </row>
        <row r="5554">
          <cell r="C5554" t="str">
            <v>MS_CTB_GPG_Ext 2020</v>
          </cell>
          <cell r="H5554">
            <v>5038387</v>
          </cell>
          <cell r="AK5554" t="str">
            <v>Mitali Drews</v>
          </cell>
        </row>
        <row r="5555">
          <cell r="C5555" t="str">
            <v>UB_099_RB_CBT JiRA PM CO3</v>
          </cell>
          <cell r="H5555">
            <v>5039014</v>
          </cell>
          <cell r="AK5555" t="str">
            <v>Samuel Awsumb</v>
          </cell>
        </row>
        <row r="5556">
          <cell r="C5556" t="str">
            <v>RMT AMD 1</v>
          </cell>
          <cell r="H5556">
            <v>5039317</v>
          </cell>
          <cell r="AK5556" t="str">
            <v>Poorna Bhimavarapu</v>
          </cell>
        </row>
        <row r="5557">
          <cell r="C5557" t="str">
            <v>FIS_Site Strategy Ext 3</v>
          </cell>
          <cell r="H5557">
            <v>5039356</v>
          </cell>
          <cell r="AK5557" t="str">
            <v>Matthew Faraone</v>
          </cell>
        </row>
        <row r="5558">
          <cell r="C5558" t="str">
            <v>RBCUS Qlikview Dev</v>
          </cell>
          <cell r="H5558">
            <v>5037382</v>
          </cell>
          <cell r="AK5558" t="str">
            <v>Kirby Pulver</v>
          </cell>
        </row>
        <row r="5559">
          <cell r="C5559" t="str">
            <v>IC_HB_BA Support</v>
          </cell>
          <cell r="H5559">
            <v>5040637</v>
          </cell>
          <cell r="AK5559" t="str">
            <v>Maura Riley</v>
          </cell>
        </row>
        <row r="5560">
          <cell r="C5560" t="str">
            <v>API_Direct Bank Continuation</v>
          </cell>
          <cell r="H5560">
            <v>5040693</v>
          </cell>
          <cell r="AK5560" t="str">
            <v>Kevin Miologos</v>
          </cell>
        </row>
        <row r="5561">
          <cell r="C5561" t="str">
            <v>MS Data CoE - PC role</v>
          </cell>
          <cell r="H5561">
            <v>5040090</v>
          </cell>
          <cell r="AK5561" t="str">
            <v>Audra Schoenfeldt Furer</v>
          </cell>
        </row>
        <row r="5562">
          <cell r="C5562" t="str">
            <v>CS_Enterprise Data Target Ext2</v>
          </cell>
          <cell r="H5562">
            <v>5040217</v>
          </cell>
          <cell r="AK5562" t="str">
            <v>Anita Shankar</v>
          </cell>
        </row>
        <row r="5563">
          <cell r="C5563" t="str">
            <v>HNB Cash Back Consumer Card</v>
          </cell>
          <cell r="H5563">
            <v>5041295</v>
          </cell>
          <cell r="AK5563" t="str">
            <v>Andrew Radka</v>
          </cell>
        </row>
        <row r="5564">
          <cell r="C5564" t="str">
            <v>FID Strats Extension</v>
          </cell>
          <cell r="H5564">
            <v>5037292</v>
          </cell>
          <cell r="AK5564" t="str">
            <v>Mitali Drews</v>
          </cell>
        </row>
        <row r="5565">
          <cell r="C5565" t="str">
            <v>Jeff EQ FI Flow Monitor Junior Dev</v>
          </cell>
          <cell r="H5565">
            <v>5041011</v>
          </cell>
          <cell r="AK5565" t="str">
            <v>Taylor Mason</v>
          </cell>
        </row>
        <row r="5566">
          <cell r="C5566" t="str">
            <v>HSBC-OPS Strat Ex Ph1 November Ext</v>
          </cell>
          <cell r="H5566">
            <v>5038839</v>
          </cell>
          <cell r="AK5566" t="str">
            <v>Peter Brown</v>
          </cell>
        </row>
        <row r="5567">
          <cell r="C5567" t="str">
            <v>HMDA/CFPB Mock Test</v>
          </cell>
          <cell r="H5567">
            <v>5040711</v>
          </cell>
          <cell r="AK5567" t="str">
            <v>Juan Pimentel</v>
          </cell>
        </row>
        <row r="5568">
          <cell r="C5568" t="str">
            <v>C2C Reconciliation</v>
          </cell>
          <cell r="H5568">
            <v>5038208</v>
          </cell>
          <cell r="AK5568" t="str">
            <v>Ruben Sooriya</v>
          </cell>
        </row>
        <row r="5569">
          <cell r="C5569" t="str">
            <v>Jeff_CRM Salesfrc Dev 2021 Ext</v>
          </cell>
          <cell r="H5569">
            <v>5035964</v>
          </cell>
          <cell r="AK5569" t="str">
            <v>Aoife Hogan</v>
          </cell>
        </row>
        <row r="5570">
          <cell r="C5570" t="str">
            <v>OceanFirst- BSA/AML Model Validation (Country Bank operation)</v>
          </cell>
          <cell r="H5570">
            <v>5040622</v>
          </cell>
          <cell r="AK5570" t="str">
            <v>Aiswarya Parameswaran</v>
          </cell>
        </row>
        <row r="5571">
          <cell r="C5571" t="str">
            <v>F&amp;G OpEx Phase I</v>
          </cell>
          <cell r="H5571">
            <v>5041268</v>
          </cell>
          <cell r="AK5571" t="str">
            <v>Darrell Ponzio</v>
          </cell>
        </row>
        <row r="5572">
          <cell r="C5572" t="str">
            <v>Jeff_Central Compliance Ext2</v>
          </cell>
          <cell r="H5572">
            <v>5039897</v>
          </cell>
          <cell r="AK5572" t="str">
            <v>Jeffrey Gheraldi</v>
          </cell>
        </row>
        <row r="5573">
          <cell r="C5573" t="str">
            <v>Re-Imagine Servicing IT</v>
          </cell>
          <cell r="H5573">
            <v>5039092</v>
          </cell>
          <cell r="AK5573" t="str">
            <v>Chad Bonadonna</v>
          </cell>
        </row>
        <row r="5574">
          <cell r="C5574" t="str">
            <v>Board Review</v>
          </cell>
          <cell r="H5574">
            <v>5040595</v>
          </cell>
          <cell r="AK5574" t="str">
            <v>Jeffrey Bordan</v>
          </cell>
        </row>
        <row r="5575">
          <cell r="C5575" t="str">
            <v>SVB_IT_DevOps_Platform_Adoption</v>
          </cell>
          <cell r="H5575">
            <v>5040738</v>
          </cell>
          <cell r="AK5575" t="str">
            <v>Chinmoy Bhatiya</v>
          </cell>
        </row>
        <row r="5576">
          <cell r="C5576" t="str">
            <v>Lazard Architecture Review Board &amp; Data Labeling</v>
          </cell>
          <cell r="H5576">
            <v>5040713</v>
          </cell>
          <cell r="AK5576" t="str">
            <v>John Hamrick</v>
          </cell>
        </row>
        <row r="5577">
          <cell r="C5577" t="str">
            <v>UBS_WMAP Data Governance - Ext</v>
          </cell>
          <cell r="H5577">
            <v>5041047</v>
          </cell>
          <cell r="AK5577" t="str">
            <v>Varenya Prasad</v>
          </cell>
        </row>
        <row r="5578">
          <cell r="C5578" t="str">
            <v>MAGIA BSA/AML</v>
          </cell>
          <cell r="H5578">
            <v>5040716</v>
          </cell>
          <cell r="AK5578" t="str">
            <v>Spencer Schulten</v>
          </cell>
        </row>
        <row r="5579">
          <cell r="C5579" t="str">
            <v>Stifel MQC Reviews</v>
          </cell>
          <cell r="H5579">
            <v>5041415</v>
          </cell>
          <cell r="AK5579" t="str">
            <v>Christian Maier</v>
          </cell>
        </row>
        <row r="5580">
          <cell r="C5580" t="str">
            <v>HSBC-OPS Strat Ex Ph1 November Ext 2</v>
          </cell>
          <cell r="H5580">
            <v>5038839</v>
          </cell>
          <cell r="AK5580" t="str">
            <v>Peter Brown</v>
          </cell>
        </row>
        <row r="5581">
          <cell r="C5581" t="str">
            <v>Jeff_Capital Program Office</v>
          </cell>
          <cell r="H5581">
            <v>5040712</v>
          </cell>
          <cell r="AK5581" t="str">
            <v>Sri Nonabur Srinivasamurthy</v>
          </cell>
        </row>
        <row r="5582">
          <cell r="C5582" t="str">
            <v>TIAA_Retire Plus Assessment</v>
          </cell>
          <cell r="H5582">
            <v>5040745</v>
          </cell>
          <cell r="AK5582" t="str">
            <v>Nikhil Sharma</v>
          </cell>
        </row>
        <row r="5583">
          <cell r="C5583" t="str">
            <v>Unqork Solution Architecture</v>
          </cell>
          <cell r="H5583">
            <v>5040880</v>
          </cell>
          <cell r="AK5583" t="str">
            <v>Phil Kerkel</v>
          </cell>
        </row>
        <row r="5584">
          <cell r="C5584" t="str">
            <v>URLA Extension</v>
          </cell>
          <cell r="H5584">
            <v>5040207</v>
          </cell>
          <cell r="AK5584" t="str">
            <v>Mike Peretz</v>
          </cell>
        </row>
        <row r="5585">
          <cell r="C5585" t="str">
            <v>Lazard Tessian Extension</v>
          </cell>
          <cell r="H5585">
            <v>5040692</v>
          </cell>
          <cell r="AK5585" t="str">
            <v>Michelle Leon</v>
          </cell>
        </row>
        <row r="5586">
          <cell r="C5586" t="str">
            <v>WSFS Pre Close CD Review</v>
          </cell>
          <cell r="H5586">
            <v>5040773</v>
          </cell>
          <cell r="AK5586" t="str">
            <v>Michael Austin</v>
          </cell>
        </row>
        <row r="5587">
          <cell r="C5587" t="str">
            <v>DW - UI Path Developer</v>
          </cell>
          <cell r="H5587">
            <v>5040879</v>
          </cell>
          <cell r="AK5587" t="str">
            <v>Cody Lange</v>
          </cell>
        </row>
        <row r="5588">
          <cell r="C5588" t="str">
            <v>MS Control Framework</v>
          </cell>
          <cell r="H5588">
            <v>5039913</v>
          </cell>
          <cell r="AK5588" t="str">
            <v>Mitali Drews</v>
          </cell>
        </row>
        <row r="5589">
          <cell r="C5589" t="str">
            <v>MS Data CoE PMO support</v>
          </cell>
          <cell r="H5589">
            <v>5040090</v>
          </cell>
          <cell r="AK5589" t="str">
            <v>Audra Schoenfeldt Furer</v>
          </cell>
        </row>
        <row r="5590">
          <cell r="C5590" t="str">
            <v>UB_108_CBT Jira Sup CO1</v>
          </cell>
          <cell r="H5590">
            <v>5039270</v>
          </cell>
          <cell r="AK5590" t="str">
            <v>Samuel Awsumb</v>
          </cell>
        </row>
        <row r="5591">
          <cell r="C5591" t="str">
            <v>Jeff Compliance Analyst Ext10</v>
          </cell>
          <cell r="H5591">
            <v>5040210</v>
          </cell>
          <cell r="AK5591" t="str">
            <v>Jeffrey Gheraldi</v>
          </cell>
        </row>
        <row r="5592">
          <cell r="C5592" t="str">
            <v>MF ODS R9 (AMD 9)</v>
          </cell>
          <cell r="H5592">
            <v>5038145</v>
          </cell>
          <cell r="AK5592" t="str">
            <v>David Williams</v>
          </cell>
        </row>
        <row r="5593">
          <cell r="C5593" t="str">
            <v>MS Data CoE analysis</v>
          </cell>
          <cell r="H5593">
            <v>5040090</v>
          </cell>
          <cell r="AK5593" t="str">
            <v>Audra Schoenfeldt Furer</v>
          </cell>
        </row>
        <row r="5594">
          <cell r="C5594" t="str">
            <v>SSBO - TSY - Mumbai Res.</v>
          </cell>
          <cell r="H5594">
            <v>5039913</v>
          </cell>
          <cell r="AK5594" t="str">
            <v>Mitali Drews</v>
          </cell>
        </row>
        <row r="5595">
          <cell r="C5595" t="str">
            <v>SVB_PR_Finance 3</v>
          </cell>
          <cell r="H5595">
            <v>5040775</v>
          </cell>
          <cell r="AK5595" t="str">
            <v>John McHugh</v>
          </cell>
        </row>
        <row r="5596">
          <cell r="C5596" t="str">
            <v>Financial Resources FCU</v>
          </cell>
          <cell r="H5596">
            <v>5038513</v>
          </cell>
          <cell r="AK5596" t="str">
            <v>Anna Proleika</v>
          </cell>
        </row>
        <row r="5597">
          <cell r="C5597" t="str">
            <v>HSBC-FIN-RAF PM Ext</v>
          </cell>
          <cell r="H5597">
            <v>5039835</v>
          </cell>
          <cell r="AK5597" t="str">
            <v>Peter Brown</v>
          </cell>
        </row>
        <row r="5598">
          <cell r="C5598" t="str">
            <v>Jeff_CRM SF UI UX 2021 Ext</v>
          </cell>
          <cell r="H5598">
            <v>5039333</v>
          </cell>
          <cell r="AK5598" t="str">
            <v>Aoife Hogan</v>
          </cell>
        </row>
        <row r="5599">
          <cell r="C5599" t="str">
            <v>HSBC-OPS Strat Ex Ph1 November Ext 3</v>
          </cell>
          <cell r="H5599">
            <v>5038839</v>
          </cell>
          <cell r="AK5599" t="str">
            <v>Peter Brown</v>
          </cell>
        </row>
        <row r="5600">
          <cell r="C5600" t="str">
            <v>HSBC_CMB LIBOR 2020 Ext</v>
          </cell>
          <cell r="H5600">
            <v>5038045</v>
          </cell>
          <cell r="AK5600" t="str">
            <v>Peter Brown</v>
          </cell>
        </row>
        <row r="5601">
          <cell r="C5601" t="str">
            <v>ACI - Digital Roadmap Initiative</v>
          </cell>
          <cell r="H5601">
            <v>5040968</v>
          </cell>
          <cell r="AK5601" t="str">
            <v>Brigitte Diebold</v>
          </cell>
        </row>
        <row r="5602">
          <cell r="C5602" t="str">
            <v>CS_Enterprise Data Target St</v>
          </cell>
          <cell r="H5602">
            <v>5040217</v>
          </cell>
          <cell r="AK5602" t="str">
            <v>Anita Shankar</v>
          </cell>
        </row>
        <row r="5603">
          <cell r="C5603" t="str">
            <v>TTRO Extension of resource</v>
          </cell>
          <cell r="H5603">
            <v>5038208</v>
          </cell>
          <cell r="AK5603" t="str">
            <v>Ruben Sooriya</v>
          </cell>
        </row>
        <row r="5604">
          <cell r="C5604" t="str">
            <v>MS_VMO Extensions</v>
          </cell>
          <cell r="H5604">
            <v>5038385</v>
          </cell>
          <cell r="AK5604" t="str">
            <v>Dan Schutzman</v>
          </cell>
        </row>
        <row r="5605">
          <cell r="C5605" t="str">
            <v>OneJef Surge - Offshore 2021 Extension</v>
          </cell>
          <cell r="H5605">
            <v>5039370</v>
          </cell>
          <cell r="AK5605" t="str">
            <v>Aoife Hogan</v>
          </cell>
        </row>
        <row r="5606">
          <cell r="C5606" t="str">
            <v>Jeff_OneJef Onshore Surge 2021 Ext</v>
          </cell>
          <cell r="H5606">
            <v>5039368</v>
          </cell>
          <cell r="AK5606" t="str">
            <v>Aoife Hogan</v>
          </cell>
        </row>
        <row r="5607">
          <cell r="C5607" t="str">
            <v>ICG US Custody BaNCS Mig</v>
          </cell>
          <cell r="H5607">
            <v>5040760</v>
          </cell>
          <cell r="AK5607" t="str">
            <v>Andrew Dearman</v>
          </cell>
        </row>
        <row r="5608">
          <cell r="C5608" t="str">
            <v>WF_Libor Arm Ext</v>
          </cell>
          <cell r="H5608">
            <v>5040064</v>
          </cell>
          <cell r="AK5608" t="str">
            <v>Justin Wellen</v>
          </cell>
        </row>
        <row r="5609">
          <cell r="C5609" t="str">
            <v>FrMc_Enterprise Ops Resiliency (AMD 1)</v>
          </cell>
          <cell r="H5609">
            <v>5040322</v>
          </cell>
          <cell r="AK5609" t="str">
            <v>Michael Mathew</v>
          </cell>
        </row>
        <row r="5610">
          <cell r="C5610" t="str">
            <v>Jeff EQ Sup Control Ext6</v>
          </cell>
          <cell r="H5610">
            <v>5040089</v>
          </cell>
          <cell r="AK5610" t="str">
            <v>Chelsea Mattias</v>
          </cell>
        </row>
        <row r="5611">
          <cell r="C5611" t="str">
            <v>SVB_IT_IAM Engineer</v>
          </cell>
          <cell r="H5611">
            <v>5040909</v>
          </cell>
          <cell r="AK5611" t="str">
            <v>Ridha Mesli</v>
          </cell>
        </row>
        <row r="5612">
          <cell r="C5612" t="str">
            <v>SVB PB_Int'l Expansion</v>
          </cell>
          <cell r="H5612">
            <v>5040782</v>
          </cell>
          <cell r="AK5612" t="str">
            <v>Matthew Faraone</v>
          </cell>
        </row>
        <row r="5613">
          <cell r="C5613" t="str">
            <v>Revantage JP Ext 7</v>
          </cell>
          <cell r="H5613">
            <v>5041335</v>
          </cell>
          <cell r="AK5613" t="str">
            <v>John Power</v>
          </cell>
        </row>
        <row r="5614">
          <cell r="C5614" t="str">
            <v>GLIC - ESD Train-Team Optimization &amp; Process Imrpovement</v>
          </cell>
          <cell r="H5614">
            <v>5040908</v>
          </cell>
          <cell r="AK5614" t="str">
            <v>Alexander Hamlin</v>
          </cell>
        </row>
        <row r="5615">
          <cell r="C5615" t="str">
            <v>Jeff_CRM SF PMO 2021 Ext</v>
          </cell>
          <cell r="H5615">
            <v>5040042</v>
          </cell>
          <cell r="AK5615" t="str">
            <v>Aoife Hogan</v>
          </cell>
        </row>
        <row r="5616">
          <cell r="C5616" t="str">
            <v>SECF - EDD Reviews</v>
          </cell>
          <cell r="H5616">
            <v>5040933</v>
          </cell>
          <cell r="AK5616" t="str">
            <v>Nancy Gregory</v>
          </cell>
        </row>
        <row r="5617">
          <cell r="C5617" t="str">
            <v>Jeff_CRM BI Tech BA 2021 Ext</v>
          </cell>
          <cell r="H5617">
            <v>5037734</v>
          </cell>
          <cell r="AK5617" t="str">
            <v>Aoife Hogan</v>
          </cell>
        </row>
        <row r="5618">
          <cell r="C5618" t="str">
            <v>DB Condor Extension</v>
          </cell>
          <cell r="H5618">
            <v>5035800</v>
          </cell>
          <cell r="AK5618" t="str">
            <v>Phil Kerkel</v>
          </cell>
        </row>
        <row r="5619">
          <cell r="C5619" t="str">
            <v>HSBC-OPS Strat Ex Ph 1 December Extension</v>
          </cell>
          <cell r="H5619">
            <v>5038839</v>
          </cell>
          <cell r="AK5619" t="str">
            <v>Peter Brown</v>
          </cell>
        </row>
        <row r="5620">
          <cell r="C5620" t="str">
            <v>Rockland Trust Servicing 2020</v>
          </cell>
          <cell r="H5620">
            <v>5040807</v>
          </cell>
          <cell r="AK5620" t="str">
            <v>Keith Cole</v>
          </cell>
        </row>
        <row r="5621">
          <cell r="C5621" t="str">
            <v>Jeff_CRM II Campaign - 2021 Extension</v>
          </cell>
          <cell r="H5621">
            <v>5038585</v>
          </cell>
          <cell r="AK5621" t="str">
            <v>Aoife Hogan</v>
          </cell>
        </row>
        <row r="5622">
          <cell r="C5622" t="str">
            <v>1st Colonial MQC Pre-funding Reviews</v>
          </cell>
          <cell r="H5622">
            <v>5040224</v>
          </cell>
          <cell r="AK5622" t="str">
            <v>Keith Cole</v>
          </cell>
        </row>
        <row r="5623">
          <cell r="C5623" t="str">
            <v>Jeff_CRM Program Mgmt 2021</v>
          </cell>
          <cell r="H5623">
            <v>5039895</v>
          </cell>
          <cell r="AK5623" t="str">
            <v>Ripple Bhullar</v>
          </cell>
        </row>
        <row r="5624">
          <cell r="C5624" t="str">
            <v>SVB_PR_GW 2020 Implem Supt Q4</v>
          </cell>
          <cell r="H5624">
            <v>5039826</v>
          </cell>
          <cell r="AK5624" t="str">
            <v>Michael Tao</v>
          </cell>
        </row>
        <row r="5625">
          <cell r="C5625" t="str">
            <v>MS_WM Ops_Governance 2020 Ext</v>
          </cell>
          <cell r="H5625">
            <v>5038204</v>
          </cell>
          <cell r="AK5625" t="str">
            <v>Leah Watson</v>
          </cell>
        </row>
        <row r="5626">
          <cell r="C5626" t="str">
            <v>WM_Ops_FAST 2020 Ext</v>
          </cell>
          <cell r="H5626">
            <v>5038201</v>
          </cell>
          <cell r="AK5626" t="str">
            <v>Leah Watson</v>
          </cell>
        </row>
        <row r="5627">
          <cell r="C5627" t="str">
            <v>Freedom CU MQC</v>
          </cell>
          <cell r="H5627">
            <v>5040891</v>
          </cell>
          <cell r="AK5627" t="str">
            <v>Christian Maier</v>
          </cell>
        </row>
        <row r="5628">
          <cell r="C5628" t="str">
            <v>MS_WM Ops_KM 2020 Ext</v>
          </cell>
          <cell r="H5628">
            <v>5038206</v>
          </cell>
          <cell r="AK5628" t="str">
            <v>Leah Watson</v>
          </cell>
        </row>
        <row r="5629">
          <cell r="C5629" t="str">
            <v>SSBO Extension to EOY 2020</v>
          </cell>
          <cell r="H5629">
            <v>5038183</v>
          </cell>
          <cell r="AK5629" t="str">
            <v>Ruben Sooriya</v>
          </cell>
        </row>
        <row r="5630">
          <cell r="C5630" t="str">
            <v>MS_WM Ops_Digital and WF 2020 Ext</v>
          </cell>
          <cell r="H5630">
            <v>5038202</v>
          </cell>
          <cell r="AK5630" t="str">
            <v>Leah Watson</v>
          </cell>
        </row>
        <row r="5631">
          <cell r="C5631" t="str">
            <v>CUST- CFPB Gap Analysis/CMS Review</v>
          </cell>
          <cell r="H5631">
            <v>5040932</v>
          </cell>
          <cell r="AK5631" t="str">
            <v>David Stalnaker</v>
          </cell>
        </row>
        <row r="5632">
          <cell r="C5632" t="str">
            <v>MS_CTB_ISGPO_Steven Smith</v>
          </cell>
          <cell r="H5632">
            <v>5038156</v>
          </cell>
          <cell r="AK5632" t="str">
            <v>Mitali Drews</v>
          </cell>
        </row>
        <row r="5633">
          <cell r="C5633" t="str">
            <v>5th3rd Alt Lending Strategy</v>
          </cell>
          <cell r="H5633">
            <v>5040910</v>
          </cell>
          <cell r="AK5633" t="str">
            <v>Tulsi Mehta</v>
          </cell>
        </row>
        <row r="5634">
          <cell r="C5634" t="str">
            <v>RegIntel Data Feed</v>
          </cell>
          <cell r="H5634">
            <v>5040979</v>
          </cell>
          <cell r="AK5634" t="str">
            <v>Leah Robinson</v>
          </cell>
        </row>
        <row r="5635">
          <cell r="C5635" t="str">
            <v>Lazard Charles River Security Review</v>
          </cell>
          <cell r="H5635">
            <v>5040945</v>
          </cell>
          <cell r="AK5635" t="str">
            <v>Michelle Leon</v>
          </cell>
        </row>
        <row r="5636">
          <cell r="C5636" t="str">
            <v>Jeff_IT PM Sourcing 2021</v>
          </cell>
          <cell r="H5636">
            <v>5041186</v>
          </cell>
          <cell r="AK5636" t="str">
            <v>Chelsea Mattias</v>
          </cell>
        </row>
        <row r="5637">
          <cell r="C5637" t="str">
            <v>FrMc_InfoSec Support</v>
          </cell>
          <cell r="H5637">
            <v>5039002</v>
          </cell>
          <cell r="AK5637" t="str">
            <v>Christopher Martines</v>
          </cell>
        </row>
        <row r="5638">
          <cell r="C5638" t="str">
            <v>Key Paperless Strategy</v>
          </cell>
          <cell r="H5638">
            <v>5040981</v>
          </cell>
          <cell r="AK5638" t="str">
            <v>Adrian Ungureanu</v>
          </cell>
        </row>
        <row r="5639">
          <cell r="C5639" t="str">
            <v>SVB_IT_Portfolio Management and Delivery Strategy</v>
          </cell>
          <cell r="H5639">
            <v>5040962</v>
          </cell>
          <cell r="AK5639" t="str">
            <v>Aditya Taneja</v>
          </cell>
        </row>
        <row r="5640">
          <cell r="C5640" t="str">
            <v>IC_CapGroupSupport_Extension</v>
          </cell>
          <cell r="H5640">
            <v>5040512</v>
          </cell>
          <cell r="AK5640" t="str">
            <v>Maura Riley</v>
          </cell>
        </row>
        <row r="5641">
          <cell r="C5641" t="str">
            <v>GL_Short Term Product Owner/Business Analyst</v>
          </cell>
          <cell r="H5641">
            <v>5039899</v>
          </cell>
          <cell r="AK5641" t="str">
            <v>Pete Grebus</v>
          </cell>
        </row>
        <row r="5642">
          <cell r="C5642" t="str">
            <v>Goldman - HMDA Review</v>
          </cell>
          <cell r="H5642">
            <v>5040980</v>
          </cell>
          <cell r="AK5642" t="str">
            <v>Christian Maier</v>
          </cell>
        </row>
        <row r="5643">
          <cell r="C5643" t="str">
            <v>EWCRA Walden Savings Bank</v>
          </cell>
          <cell r="H5643">
            <v>5040915</v>
          </cell>
          <cell r="AK5643" t="str">
            <v>Mariana Dumanovsky</v>
          </cell>
        </row>
        <row r="5644">
          <cell r="C5644" t="str">
            <v>Jefferies UK ION Support</v>
          </cell>
          <cell r="H5644">
            <v>5040957</v>
          </cell>
          <cell r="AK5644" t="str">
            <v>John McCaffrey</v>
          </cell>
        </row>
        <row r="5645">
          <cell r="C5645" t="str">
            <v>MVB BSA Audit</v>
          </cell>
          <cell r="H5645">
            <v>5040917</v>
          </cell>
          <cell r="AK5645" t="str">
            <v>Nancy Gregory</v>
          </cell>
        </row>
        <row r="5646">
          <cell r="C5646" t="str">
            <v>ICG 2021 Financial Resource Management Q1 (EJ)</v>
          </cell>
          <cell r="H5646">
            <v>5039302</v>
          </cell>
          <cell r="AK5646" t="str">
            <v>Ervinas Janavicius</v>
          </cell>
        </row>
        <row r="5647">
          <cell r="C5647" t="str">
            <v>Info Sec - AUA PM (AMD 1)</v>
          </cell>
          <cell r="H5647">
            <v>5040302</v>
          </cell>
          <cell r="AK5647" t="str">
            <v>Christopher Martines</v>
          </cell>
        </row>
        <row r="5648">
          <cell r="C5648" t="str">
            <v>Popular_Staff Aug/Popular NY Lending</v>
          </cell>
          <cell r="H5648">
            <v>5041179</v>
          </cell>
          <cell r="AK5648" t="str">
            <v>Delsys Salas</v>
          </cell>
        </row>
        <row r="5649">
          <cell r="C5649" t="str">
            <v>MS_WM_CIS_eTrade Analytical Support</v>
          </cell>
          <cell r="H5649">
            <v>5041051</v>
          </cell>
          <cell r="AK5649" t="str">
            <v>Robin Williams</v>
          </cell>
        </row>
        <row r="5650">
          <cell r="C5650" t="str">
            <v>Jeff_SD Compliance Program Manager</v>
          </cell>
          <cell r="H5650">
            <v>5039780</v>
          </cell>
          <cell r="AK5650" t="str">
            <v>Matthew Rodgers</v>
          </cell>
        </row>
        <row r="5651">
          <cell r="C5651" t="str">
            <v>HSBC-GBM-LIBOR GB 2020 Ext 2</v>
          </cell>
          <cell r="H5651">
            <v>5041439</v>
          </cell>
          <cell r="AK5651" t="str">
            <v>Peter Brown</v>
          </cell>
        </row>
        <row r="5652">
          <cell r="C5652" t="str">
            <v>NFCU- GRC Support</v>
          </cell>
          <cell r="H5652">
            <v>5041347</v>
          </cell>
          <cell r="AK5652" t="str">
            <v>Tania Makuh</v>
          </cell>
        </row>
        <row r="5653">
          <cell r="C5653" t="str">
            <v>MS_Innovation Design Thinking Extension</v>
          </cell>
          <cell r="H5653">
            <v>5041320</v>
          </cell>
          <cell r="AK5653" t="str">
            <v>Allison Kent</v>
          </cell>
        </row>
        <row r="5654">
          <cell r="C5654" t="str">
            <v>FIS IMO 2021 Q1 Extension</v>
          </cell>
          <cell r="H5654">
            <v>5041180</v>
          </cell>
          <cell r="AK5654" t="str">
            <v>Michelle Leon</v>
          </cell>
        </row>
        <row r="5655">
          <cell r="C5655" t="str">
            <v>TBOD - CMS Support</v>
          </cell>
          <cell r="H5655">
            <v>5041655</v>
          </cell>
          <cell r="AK5655" t="str">
            <v>Steve Manitzas</v>
          </cell>
        </row>
        <row r="5656">
          <cell r="C5656" t="str">
            <v>CBB_ Compliance Audits</v>
          </cell>
          <cell r="H5656">
            <v>5041616</v>
          </cell>
          <cell r="AK5656" t="str">
            <v>W. Annette Dredden</v>
          </cell>
        </row>
        <row r="5657">
          <cell r="C5657" t="str">
            <v>Community Bank Delaware - Consulting</v>
          </cell>
          <cell r="H5657">
            <v>5041410</v>
          </cell>
          <cell r="AK5657" t="str">
            <v>Robert Farmer</v>
          </cell>
        </row>
        <row r="5658">
          <cell r="C5658" t="str">
            <v>CNB WV CMSO</v>
          </cell>
          <cell r="H5658">
            <v>5041605</v>
          </cell>
          <cell r="AK5658" t="str">
            <v>Kristina Slattery</v>
          </cell>
        </row>
        <row r="5659">
          <cell r="C5659" t="str">
            <v>PenFed_Post Closing TRID Review</v>
          </cell>
          <cell r="H5659">
            <v>5040955</v>
          </cell>
          <cell r="AK5659" t="str">
            <v>Tuong Huy Ha</v>
          </cell>
        </row>
        <row r="5660">
          <cell r="C5660" t="str">
            <v>Jeff_Qlikview Support 2021</v>
          </cell>
          <cell r="H5660">
            <v>5041381</v>
          </cell>
          <cell r="AK5660" t="str">
            <v>John McCaffrey</v>
          </cell>
        </row>
        <row r="5661">
          <cell r="C5661" t="str">
            <v>Pentagon Federal- TRID Disclosure Desk</v>
          </cell>
          <cell r="H5661">
            <v>5040961</v>
          </cell>
          <cell r="AK5661" t="str">
            <v>Ricardo Julio</v>
          </cell>
        </row>
        <row r="5662">
          <cell r="C5662" t="str">
            <v>MS_WM_Ops_FAST 2021</v>
          </cell>
          <cell r="H5662">
            <v>5041319</v>
          </cell>
          <cell r="AK5662" t="str">
            <v>Robin Williams</v>
          </cell>
        </row>
        <row r="5663">
          <cell r="C5663" t="str">
            <v>MS_WM_AdvisoryTechnology_NY</v>
          </cell>
          <cell r="H5663">
            <v>5041310</v>
          </cell>
          <cell r="AK5663" t="str">
            <v>Balaji Ramamurthy</v>
          </cell>
        </row>
        <row r="5664">
          <cell r="C5664" t="str">
            <v>UBS US DMP | DMO 2021</v>
          </cell>
          <cell r="H5664">
            <v>5041138</v>
          </cell>
          <cell r="AK5664" t="str">
            <v>Maximilian Mauro</v>
          </cell>
        </row>
        <row r="5665">
          <cell r="C5665" t="str">
            <v>ICG 2021 Private Bank Program Management Jan Feb</v>
          </cell>
          <cell r="H5665">
            <v>5041520</v>
          </cell>
          <cell r="AK5665" t="str">
            <v>Robert Norris</v>
          </cell>
        </row>
        <row r="5666">
          <cell r="C5666" t="str">
            <v>MS_ISG_SSBO 2021</v>
          </cell>
          <cell r="H5666">
            <v>5041284</v>
          </cell>
          <cell r="AK5666" t="str">
            <v>Ruben Sooriya</v>
          </cell>
        </row>
        <row r="5667">
          <cell r="C5667" t="str">
            <v>Payment Modernization (AMD 8)</v>
          </cell>
          <cell r="H5667">
            <v>5041126</v>
          </cell>
          <cell r="AK5667" t="str">
            <v>David Williams</v>
          </cell>
        </row>
        <row r="5668">
          <cell r="C5668" t="str">
            <v>Guardian Agile Delivery Ph1 - EXT</v>
          </cell>
          <cell r="H5668">
            <v>5041462</v>
          </cell>
          <cell r="AK5668" t="str">
            <v>Casey Schaffer</v>
          </cell>
        </row>
        <row r="5669">
          <cell r="C5669" t="str">
            <v>MS_WM_Ops_Digital 2021</v>
          </cell>
          <cell r="H5669">
            <v>5041059</v>
          </cell>
          <cell r="AK5669" t="str">
            <v>Robin Williams</v>
          </cell>
        </row>
        <row r="5670">
          <cell r="C5670" t="str">
            <v>Oracle NetSuite Impl Sup</v>
          </cell>
          <cell r="H5670">
            <v>5041275</v>
          </cell>
          <cell r="AK5670" t="str">
            <v>Darrell Ponzio</v>
          </cell>
        </row>
        <row r="5671">
          <cell r="C5671" t="str">
            <v>MS_WM_Ops_Workflow 2021</v>
          </cell>
          <cell r="H5671">
            <v>5041057</v>
          </cell>
          <cell r="AK5671" t="str">
            <v>Robin Williams</v>
          </cell>
        </row>
        <row r="5672">
          <cell r="C5672" t="str">
            <v>Patriot Bank NA CMS</v>
          </cell>
          <cell r="H5672">
            <v>5040952</v>
          </cell>
          <cell r="AK5672" t="str">
            <v>Mariana Dumanovsky</v>
          </cell>
        </row>
        <row r="5673">
          <cell r="C5673" t="str">
            <v>MS_Wealth_UAT_Field Strategic Services</v>
          </cell>
          <cell r="H5673">
            <v>5041056</v>
          </cell>
          <cell r="AK5673" t="str">
            <v>Balaji Ramamurthy</v>
          </cell>
        </row>
        <row r="5674">
          <cell r="C5674" t="str">
            <v>MS_ISG_GPG: GPG 2021</v>
          </cell>
          <cell r="H5674">
            <v>5040923</v>
          </cell>
          <cell r="AK5674" t="str">
            <v>Mitali Drews</v>
          </cell>
        </row>
        <row r="5675">
          <cell r="C5675" t="str">
            <v>MS_ISG_India_Bangalore NY 2021</v>
          </cell>
          <cell r="H5675">
            <v>5041368</v>
          </cell>
          <cell r="AK5675" t="str">
            <v>Mitali Drews</v>
          </cell>
        </row>
        <row r="5676">
          <cell r="C5676" t="str">
            <v>Goldman Sachs TRID</v>
          </cell>
          <cell r="H5676">
            <v>5041432</v>
          </cell>
          <cell r="AK5676" t="str">
            <v>Christian Maier</v>
          </cell>
        </row>
        <row r="5677">
          <cell r="C5677" t="str">
            <v>MS_Wealth_Advisory Technology_INDIA</v>
          </cell>
          <cell r="H5677">
            <v>5041380</v>
          </cell>
          <cell r="AK5677" t="str">
            <v>Balaji Ramamurthy</v>
          </cell>
        </row>
        <row r="5678">
          <cell r="C5678" t="str">
            <v>MS_ISG_TTRO 2021</v>
          </cell>
          <cell r="H5678">
            <v>5041109</v>
          </cell>
          <cell r="AK5678" t="str">
            <v>Salim Modi</v>
          </cell>
        </row>
        <row r="5679">
          <cell r="C5679" t="str">
            <v>MS_WM_Escheatment_2021</v>
          </cell>
          <cell r="H5679">
            <v>5041054</v>
          </cell>
          <cell r="AK5679" t="str">
            <v>Robin Williams</v>
          </cell>
        </row>
        <row r="5680">
          <cell r="C5680" t="str">
            <v>Century Bank &amp; Trust Company - Info Security Officer Support</v>
          </cell>
          <cell r="H5680">
            <v>5040784</v>
          </cell>
          <cell r="AK5680" t="str">
            <v>Robert Farmer</v>
          </cell>
        </row>
        <row r="5681">
          <cell r="C5681" t="str">
            <v>EGM - Amex Support &amp; Maintenance</v>
          </cell>
          <cell r="H5681">
            <v>5041318</v>
          </cell>
          <cell r="AK5681" t="str">
            <v>Brett Knickle</v>
          </cell>
        </row>
        <row r="5682">
          <cell r="C5682" t="str">
            <v>Cape Cod Five CMSO</v>
          </cell>
          <cell r="H5682">
            <v>5041208</v>
          </cell>
          <cell r="AK5682" t="str">
            <v>Leigh Tribou</v>
          </cell>
        </row>
        <row r="5683">
          <cell r="C5683" t="str">
            <v>FIS Systematics Consulting</v>
          </cell>
          <cell r="H5683">
            <v>5040756</v>
          </cell>
          <cell r="AK5683" t="str">
            <v>Anna Proleika</v>
          </cell>
        </row>
        <row r="5684">
          <cell r="C5684" t="str">
            <v>FrMc_ODS R9 (AMD 10)-2021 Ext</v>
          </cell>
          <cell r="H5684">
            <v>5041156</v>
          </cell>
          <cell r="AK5684" t="str">
            <v>Jairaj Gaur</v>
          </cell>
        </row>
        <row r="5685">
          <cell r="C5685" t="str">
            <v>Dean Bank/CMS Optimizer</v>
          </cell>
          <cell r="H5685">
            <v>5040786</v>
          </cell>
          <cell r="AK5685" t="str">
            <v>Louvera Walden</v>
          </cell>
        </row>
        <row r="5686">
          <cell r="C5686" t="str">
            <v>Blue Foundry Bank - Fair Lending Statistical Analysis</v>
          </cell>
          <cell r="H5686">
            <v>5041457</v>
          </cell>
          <cell r="AK5686" t="str">
            <v>Pamela Acciardo</v>
          </cell>
        </row>
        <row r="5687">
          <cell r="C5687" t="str">
            <v>Capital Bank- HMDA Reviews</v>
          </cell>
          <cell r="H5687">
            <v>5041532</v>
          </cell>
          <cell r="AK5687" t="str">
            <v>Juan Pimentel</v>
          </cell>
        </row>
        <row r="5688">
          <cell r="C5688" t="str">
            <v>SVB_PR_GW 2021 Implem Supt Q1</v>
          </cell>
          <cell r="H5688">
            <v>5040895</v>
          </cell>
          <cell r="AK5688" t="str">
            <v>Michael Tao</v>
          </cell>
        </row>
        <row r="5689">
          <cell r="C5689" t="str">
            <v>Jeff_Murex Reporting BA &amp; Developer</v>
          </cell>
          <cell r="H5689">
            <v>5041355</v>
          </cell>
          <cell r="AK5689" t="str">
            <v>Chelsea Mattias</v>
          </cell>
        </row>
        <row r="5690">
          <cell r="C5690" t="str">
            <v>Goldman MQC</v>
          </cell>
          <cell r="H5690">
            <v>5041431</v>
          </cell>
          <cell r="AK5690" t="str">
            <v>Christian Maier</v>
          </cell>
        </row>
        <row r="5691">
          <cell r="C5691" t="str">
            <v>MB&amp;T Annual Compliance Program Review and Gap Analysis</v>
          </cell>
          <cell r="H5691">
            <v>5041008</v>
          </cell>
          <cell r="AK5691" t="str">
            <v>Louvera Walden</v>
          </cell>
        </row>
        <row r="5692">
          <cell r="C5692" t="str">
            <v>MS_ISG_FID: FXEM Strats 2021</v>
          </cell>
          <cell r="H5692">
            <v>5040922</v>
          </cell>
          <cell r="AK5692" t="str">
            <v>Mitali Drews</v>
          </cell>
        </row>
        <row r="5693">
          <cell r="C5693" t="str">
            <v>MS_ISG_FID_FID Strats 2021</v>
          </cell>
          <cell r="H5693">
            <v>5041052</v>
          </cell>
          <cell r="AK5693" t="str">
            <v>Mitali Drews</v>
          </cell>
        </row>
        <row r="5694">
          <cell r="C5694" t="str">
            <v>Goldman MQC Orlando 2021</v>
          </cell>
          <cell r="H5694">
            <v>5042059</v>
          </cell>
          <cell r="AK5694" t="str">
            <v>Juan Pimentel</v>
          </cell>
        </row>
        <row r="5695">
          <cell r="C5695" t="str">
            <v>New Millennium Bank CMS</v>
          </cell>
          <cell r="H5695">
            <v>5040902</v>
          </cell>
          <cell r="AK5695" t="str">
            <v>Anna Proleika</v>
          </cell>
        </row>
        <row r="5696">
          <cell r="C5696" t="str">
            <v>B of Monroe - CMSO</v>
          </cell>
          <cell r="H5696">
            <v>5041239</v>
          </cell>
          <cell r="AK5696" t="str">
            <v>Steve Manitzas</v>
          </cell>
        </row>
        <row r="5697">
          <cell r="C5697" t="str">
            <v>Argent FCU - CMSO</v>
          </cell>
          <cell r="H5697">
            <v>5041485</v>
          </cell>
          <cell r="AK5697" t="str">
            <v>Steve Manitzas</v>
          </cell>
        </row>
        <row r="5698">
          <cell r="C5698" t="str">
            <v>FNB Absecon - CMS Support</v>
          </cell>
          <cell r="H5698">
            <v>5041760</v>
          </cell>
          <cell r="AK5698" t="str">
            <v>Elizabeth Rozsa</v>
          </cell>
        </row>
        <row r="5699">
          <cell r="C5699" t="str">
            <v>WF_CIB REG and RISK_2021</v>
          </cell>
          <cell r="H5699">
            <v>5041307</v>
          </cell>
          <cell r="AK5699" t="str">
            <v>Edward Kelley</v>
          </cell>
        </row>
        <row r="5700">
          <cell r="C5700" t="str">
            <v>MS_WM_Ops_Tax &amp; Client Reporting 2021</v>
          </cell>
          <cell r="H5700">
            <v>5041440</v>
          </cell>
          <cell r="AK5700" t="str">
            <v>Robin Williams</v>
          </cell>
        </row>
        <row r="5701">
          <cell r="C5701" t="str">
            <v>SVB_PR_GW 2021 Core UI-UX Q1</v>
          </cell>
          <cell r="H5701">
            <v>5041327</v>
          </cell>
          <cell r="AK5701" t="str">
            <v>Thomas Wendt</v>
          </cell>
        </row>
        <row r="5702">
          <cell r="C5702" t="str">
            <v>First North - CMSO</v>
          </cell>
          <cell r="H5702">
            <v>5041517</v>
          </cell>
          <cell r="AK5702" t="str">
            <v>Gail Rassler</v>
          </cell>
        </row>
        <row r="5703">
          <cell r="C5703" t="str">
            <v>FrMc_ILM Q1</v>
          </cell>
          <cell r="H5703">
            <v>5041141</v>
          </cell>
          <cell r="AK5703" t="str">
            <v>Thadi Murali</v>
          </cell>
        </row>
        <row r="5704">
          <cell r="C5704" t="str">
            <v>FrMc_SF Data Lake Dev Team</v>
          </cell>
          <cell r="H5704">
            <v>5041154</v>
          </cell>
          <cell r="AK5704" t="str">
            <v>Ramnish Gupta</v>
          </cell>
        </row>
        <row r="5705">
          <cell r="C5705" t="str">
            <v>Citi_ICG 2021 Business Lineage</v>
          </cell>
          <cell r="H5705">
            <v>5041313</v>
          </cell>
          <cell r="AK5705" t="str">
            <v>Thomas Evans</v>
          </cell>
        </row>
        <row r="5706">
          <cell r="C5706" t="str">
            <v>WF_CIB_Reg and Risk_eOne</v>
          </cell>
          <cell r="H5706">
            <v>5041352</v>
          </cell>
          <cell r="AK5706" t="str">
            <v>Edward Kelley</v>
          </cell>
        </row>
        <row r="5707">
          <cell r="C5707" t="str">
            <v>HaddonSvg - CMS Support</v>
          </cell>
          <cell r="H5707">
            <v>5041643</v>
          </cell>
          <cell r="AK5707" t="str">
            <v>Anna Proleika</v>
          </cell>
        </row>
        <row r="5708">
          <cell r="C5708" t="str">
            <v>PS Bank_CMS Optimizer</v>
          </cell>
          <cell r="H5708">
            <v>5040943</v>
          </cell>
          <cell r="AK5708" t="str">
            <v>Gail Rassler</v>
          </cell>
        </row>
        <row r="5709">
          <cell r="C5709" t="str">
            <v>1st Exchange - CMSO</v>
          </cell>
          <cell r="H5709">
            <v>5041446</v>
          </cell>
          <cell r="AK5709" t="str">
            <v>Jeanette Wampler</v>
          </cell>
        </row>
        <row r="5710">
          <cell r="C5710" t="str">
            <v>Chesapeake - CMSO</v>
          </cell>
          <cell r="H5710">
            <v>5041269</v>
          </cell>
          <cell r="AK5710" t="str">
            <v>W. Annette Dredden</v>
          </cell>
        </row>
        <row r="5711">
          <cell r="C5711" t="str">
            <v>Cecil Bank_CMS Optimizer</v>
          </cell>
          <cell r="H5711">
            <v>5041862</v>
          </cell>
          <cell r="AK5711" t="str">
            <v>David Stalnaker</v>
          </cell>
        </row>
        <row r="5712">
          <cell r="C5712" t="str">
            <v>FNB CMS Support</v>
          </cell>
          <cell r="H5712">
            <v>5041367</v>
          </cell>
          <cell r="AK5712" t="str">
            <v>Jeanette Wampler</v>
          </cell>
        </row>
        <row r="5713">
          <cell r="C5713" t="str">
            <v>Jeff_IB Control Room 2021 Ext (Jan-Mar)</v>
          </cell>
          <cell r="H5713">
            <v>5041544</v>
          </cell>
          <cell r="AK5713" t="str">
            <v>Ripple Bhullar</v>
          </cell>
        </row>
        <row r="5714">
          <cell r="C5714" t="str">
            <v>Blue Foundry Bank CMS Support</v>
          </cell>
          <cell r="H5714">
            <v>5041456</v>
          </cell>
          <cell r="AK5714" t="str">
            <v>Anna Proleika</v>
          </cell>
        </row>
        <row r="5715">
          <cell r="C5715" t="str">
            <v>Advisor 360</v>
          </cell>
          <cell r="H5715">
            <v>5041274</v>
          </cell>
          <cell r="AK5715" t="str">
            <v>Christopher Dickinson</v>
          </cell>
        </row>
        <row r="5716">
          <cell r="C5716" t="str">
            <v>HBT Implementation</v>
          </cell>
          <cell r="H5716">
            <v>5041276</v>
          </cell>
          <cell r="AK5716" t="str">
            <v>Eric Fairchild</v>
          </cell>
        </row>
        <row r="5717">
          <cell r="C5717" t="str">
            <v>PMO Support</v>
          </cell>
          <cell r="H5717">
            <v>5041294</v>
          </cell>
          <cell r="AK5717" t="str">
            <v>Eric Fairchild</v>
          </cell>
        </row>
        <row r="5718">
          <cell r="C5718" t="str">
            <v>Integration Planning Pt 7</v>
          </cell>
          <cell r="H5718">
            <v>5041502</v>
          </cell>
          <cell r="AK5718" t="str">
            <v>Eric Fairchild</v>
          </cell>
        </row>
        <row r="5719">
          <cell r="C5719" t="str">
            <v>USAA_Flood</v>
          </cell>
          <cell r="H5719">
            <v>5041620</v>
          </cell>
          <cell r="AK5719" t="str">
            <v>Michael Austin</v>
          </cell>
        </row>
        <row r="5720">
          <cell r="C5720" t="str">
            <v>CMS Optimizer</v>
          </cell>
          <cell r="H5720">
            <v>5041801</v>
          </cell>
          <cell r="AK5720" t="str">
            <v>Pamela Acciardo</v>
          </cell>
        </row>
        <row r="5721">
          <cell r="C5721" t="str">
            <v>Purefy_Consulting &amp; Advertising Reviews</v>
          </cell>
          <cell r="H5721">
            <v>5041591</v>
          </cell>
          <cell r="AK5721" t="str">
            <v>Steve Manitzas</v>
          </cell>
        </row>
        <row r="5722">
          <cell r="C5722" t="str">
            <v>MS_ISG_Mumbai 2021</v>
          </cell>
          <cell r="H5722">
            <v>5041458</v>
          </cell>
          <cell r="AK5722" t="str">
            <v>Mitali Drews</v>
          </cell>
        </row>
        <row r="5723">
          <cell r="C5723" t="str">
            <v>Santander_GRC Strategy and Standards</v>
          </cell>
          <cell r="H5723">
            <v>5041143</v>
          </cell>
          <cell r="AK5723" t="str">
            <v>Ridha Mesli</v>
          </cell>
        </row>
        <row r="5724">
          <cell r="C5724" t="str">
            <v>MS_WM_PBO: 2021</v>
          </cell>
          <cell r="H5724">
            <v>5041379</v>
          </cell>
          <cell r="AK5724" t="str">
            <v>Vishal Vyas</v>
          </cell>
        </row>
        <row r="5725">
          <cell r="C5725" t="str">
            <v>Ironworkers Bank - Consulting</v>
          </cell>
          <cell r="H5725">
            <v>5040877</v>
          </cell>
          <cell r="AK5725" t="str">
            <v>Robert Farmer</v>
          </cell>
        </row>
        <row r="5726">
          <cell r="C5726" t="str">
            <v>Watertown SB - Compliance Consulting</v>
          </cell>
          <cell r="H5726">
            <v>5041136</v>
          </cell>
          <cell r="AK5726" t="str">
            <v>Leigh Tribou</v>
          </cell>
        </row>
        <row r="5727">
          <cell r="C5727" t="str">
            <v>Net Federal CU - Information Security RA</v>
          </cell>
          <cell r="H5727">
            <v>5041012</v>
          </cell>
          <cell r="AK5727" t="str">
            <v>Robert Farmer</v>
          </cell>
        </row>
        <row r="5728">
          <cell r="C5728" t="str">
            <v>First S&amp;L - Compliance Review</v>
          </cell>
          <cell r="H5728">
            <v>5041334</v>
          </cell>
          <cell r="AK5728" t="str">
            <v>Amanda Pickering</v>
          </cell>
        </row>
        <row r="5729">
          <cell r="C5729" t="str">
            <v>MS_WM_Ops_AI RTB 2021</v>
          </cell>
          <cell r="H5729">
            <v>5041083</v>
          </cell>
          <cell r="AK5729" t="str">
            <v>Robin Williams</v>
          </cell>
        </row>
        <row r="5730">
          <cell r="C5730" t="str">
            <v>MS_WM_Ops_Knowledge Management 2021</v>
          </cell>
          <cell r="H5730">
            <v>5041055</v>
          </cell>
          <cell r="AK5730" t="str">
            <v>Robin Williams</v>
          </cell>
        </row>
        <row r="5731">
          <cell r="C5731" t="str">
            <v>MS_WM_Ops: Governance &amp; MSSN 2021</v>
          </cell>
          <cell r="H5731">
            <v>5041332</v>
          </cell>
          <cell r="AK5731" t="str">
            <v>Robin Williams</v>
          </cell>
        </row>
        <row r="5732">
          <cell r="C5732" t="str">
            <v>MS_ISG_TTRO: CFTC Back Remediation 2021</v>
          </cell>
          <cell r="H5732">
            <v>5041356</v>
          </cell>
          <cell r="AK5732" t="str">
            <v>Ruben Sooriya</v>
          </cell>
        </row>
        <row r="5733">
          <cell r="C5733" t="str">
            <v>MS_Wealth_UAT_Investment Platforms (IP)</v>
          </cell>
          <cell r="H5733">
            <v>5041387</v>
          </cell>
          <cell r="AK5733" t="str">
            <v>Balaji Ramamurthy</v>
          </cell>
        </row>
        <row r="5734">
          <cell r="C5734" t="str">
            <v>FPP - Encompass Implementation</v>
          </cell>
          <cell r="H5734">
            <v>5040998</v>
          </cell>
          <cell r="AK5734" t="str">
            <v>Mariana Dumanovsky</v>
          </cell>
        </row>
        <row r="5735">
          <cell r="C5735" t="str">
            <v>CMS/Savings Bank of Danbury</v>
          </cell>
          <cell r="H5735">
            <v>5041312</v>
          </cell>
          <cell r="AK5735" t="str">
            <v>Mariana Dumanovsky</v>
          </cell>
        </row>
        <row r="5736">
          <cell r="C5736" t="str">
            <v>WSB - CMS Optimizer</v>
          </cell>
          <cell r="H5736">
            <v>5041032</v>
          </cell>
          <cell r="AK5736" t="str">
            <v>Mariana Dumanovsky</v>
          </cell>
        </row>
        <row r="5737">
          <cell r="C5737" t="str">
            <v>Dime Bank - CMSO</v>
          </cell>
          <cell r="H5737">
            <v>5041535</v>
          </cell>
          <cell r="AK5737" t="str">
            <v>Gail Rassler</v>
          </cell>
        </row>
        <row r="5738">
          <cell r="C5738" t="str">
            <v>RFSLA_CMS Optimizer</v>
          </cell>
          <cell r="H5738">
            <v>5041476</v>
          </cell>
          <cell r="AK5738" t="str">
            <v>W. Annette Dredden</v>
          </cell>
        </row>
        <row r="5739">
          <cell r="C5739" t="str">
            <v>Noah Bank - CMS Support</v>
          </cell>
          <cell r="H5739">
            <v>5041293</v>
          </cell>
          <cell r="AK5739" t="str">
            <v>Anna Proleika</v>
          </cell>
        </row>
        <row r="5740">
          <cell r="C5740" t="str">
            <v>MSB - CMS Support 2021</v>
          </cell>
          <cell r="H5740">
            <v>5041836</v>
          </cell>
          <cell r="AK5740" t="str">
            <v>David Stalnaker</v>
          </cell>
        </row>
        <row r="5741">
          <cell r="C5741" t="str">
            <v>Leader Bank - CMS</v>
          </cell>
          <cell r="H5741">
            <v>5041682</v>
          </cell>
          <cell r="AK5741" t="str">
            <v>Mary Louise Radley</v>
          </cell>
        </row>
        <row r="5742">
          <cell r="C5742" t="str">
            <v>HAR-CO - CMS Support</v>
          </cell>
          <cell r="H5742">
            <v>5041263</v>
          </cell>
          <cell r="AK5742" t="str">
            <v>W. Annette Dredden</v>
          </cell>
        </row>
        <row r="5743">
          <cell r="C5743" t="str">
            <v>FRFCU_FinancialR - CMS Support</v>
          </cell>
          <cell r="H5743">
            <v>5041459</v>
          </cell>
          <cell r="AK5743" t="str">
            <v>Robert Farmer</v>
          </cell>
        </row>
        <row r="5744">
          <cell r="C5744" t="str">
            <v>Farmers - CMSO</v>
          </cell>
          <cell r="H5744">
            <v>5041671</v>
          </cell>
          <cell r="AK5744" t="str">
            <v>David Stalnaker</v>
          </cell>
        </row>
        <row r="5745">
          <cell r="C5745" t="str">
            <v>Parkersburg - CMSO</v>
          </cell>
          <cell r="H5745">
            <v>5041455</v>
          </cell>
          <cell r="AK5745" t="str">
            <v>Jeanette Wampler</v>
          </cell>
        </row>
        <row r="5746">
          <cell r="C5746" t="str">
            <v>FrMc_Data Lake CDO Advisory</v>
          </cell>
          <cell r="H5746">
            <v>5041155</v>
          </cell>
          <cell r="AK5746" t="str">
            <v>Ramnish Gupta</v>
          </cell>
        </row>
        <row r="5747">
          <cell r="C5747" t="str">
            <v>FUBT_Verafin Optimization</v>
          </cell>
          <cell r="H5747">
            <v>5042270</v>
          </cell>
          <cell r="AK5747" t="str">
            <v>William Sachs</v>
          </cell>
        </row>
        <row r="5748">
          <cell r="C5748" t="str">
            <v>Unified CMS</v>
          </cell>
          <cell r="H5748">
            <v>5040736</v>
          </cell>
          <cell r="AK5748" t="str">
            <v>Kristina Slattery</v>
          </cell>
        </row>
        <row r="5749">
          <cell r="C5749" t="str">
            <v>Jeff_BBG MARS PM</v>
          </cell>
          <cell r="H5749">
            <v>5038121</v>
          </cell>
          <cell r="AK5749" t="str">
            <v>Chelsea Mattias</v>
          </cell>
        </row>
        <row r="5750">
          <cell r="C5750" t="str">
            <v>MS_ISG_ISGPO_IBOR 2021</v>
          </cell>
          <cell r="H5750">
            <v>5041125</v>
          </cell>
          <cell r="AK5750" t="str">
            <v>Mitali Drews</v>
          </cell>
        </row>
        <row r="5751">
          <cell r="C5751" t="str">
            <v>MS_ISG_ISGPO_ISGPO 2021</v>
          </cell>
          <cell r="H5751">
            <v>5041107</v>
          </cell>
          <cell r="AK5751" t="str">
            <v>Mitali Drews</v>
          </cell>
        </row>
        <row r="5752">
          <cell r="C5752" t="str">
            <v>Sunstate FCU CMS</v>
          </cell>
          <cell r="H5752">
            <v>5040953</v>
          </cell>
          <cell r="AK5752" t="str">
            <v>Louvera Walden</v>
          </cell>
        </row>
        <row r="5753">
          <cell r="C5753" t="str">
            <v>Avidia Bank CMSO</v>
          </cell>
          <cell r="H5753">
            <v>5041137</v>
          </cell>
          <cell r="AK5753" t="str">
            <v>Delsys Salas</v>
          </cell>
        </row>
        <row r="5754">
          <cell r="C5754" t="str">
            <v>CooperativeBCC-CMS Enhancer</v>
          </cell>
          <cell r="H5754">
            <v>5041117</v>
          </cell>
          <cell r="AK5754" t="str">
            <v>Leigh Tribou</v>
          </cell>
        </row>
        <row r="5755">
          <cell r="C5755" t="str">
            <v>MS_REM_TPPM_Bangalore Extension</v>
          </cell>
          <cell r="H5755">
            <v>5041436</v>
          </cell>
          <cell r="AK5755" t="str">
            <v>Dan Schutzman</v>
          </cell>
        </row>
        <row r="5756">
          <cell r="C5756" t="str">
            <v>Capital Bank - Mortgage QC Reviews</v>
          </cell>
          <cell r="H5756">
            <v>5041519</v>
          </cell>
          <cell r="AK5756" t="str">
            <v>Christian Maier</v>
          </cell>
        </row>
        <row r="5757">
          <cell r="C5757" t="str">
            <v>Capital Bank - Mortgage QC Consulting</v>
          </cell>
          <cell r="H5757">
            <v>5041536</v>
          </cell>
          <cell r="AK5757" t="str">
            <v>Juan Pimentel</v>
          </cell>
        </row>
        <row r="5758">
          <cell r="C5758" t="str">
            <v>JMB CMS and Risk Assessments</v>
          </cell>
          <cell r="H5758">
            <v>5040781</v>
          </cell>
          <cell r="AK5758" t="str">
            <v>Kristina Slattery</v>
          </cell>
        </row>
        <row r="5759">
          <cell r="C5759" t="str">
            <v>ICBC USA - 2021 CMS SOW</v>
          </cell>
          <cell r="H5759">
            <v>5040744</v>
          </cell>
          <cell r="AK5759" t="str">
            <v>David Belfer</v>
          </cell>
        </row>
        <row r="5760">
          <cell r="C5760" t="str">
            <v>TWB - 2021 SOW CMS Optimizer</v>
          </cell>
          <cell r="H5760">
            <v>5040747</v>
          </cell>
          <cell r="AK5760" t="str">
            <v>David Belfer</v>
          </cell>
        </row>
        <row r="5761">
          <cell r="C5761" t="str">
            <v>Connecticut Community Bank CMS</v>
          </cell>
          <cell r="H5761">
            <v>5040667</v>
          </cell>
          <cell r="AK5761" t="str">
            <v>Mary Louise Radley</v>
          </cell>
        </row>
        <row r="5762">
          <cell r="C5762" t="str">
            <v>Cyber | Tech Strategy 2021</v>
          </cell>
          <cell r="H5762">
            <v>5041441</v>
          </cell>
          <cell r="AK5762" t="str">
            <v>Sergey Karlin</v>
          </cell>
        </row>
        <row r="5763">
          <cell r="C5763" t="str">
            <v>Jeff_FX IT Project Manager</v>
          </cell>
          <cell r="H5763">
            <v>5041245</v>
          </cell>
          <cell r="AK5763" t="str">
            <v>Conor Dowling</v>
          </cell>
        </row>
        <row r="5764">
          <cell r="C5764" t="str">
            <v>FrMc_CSP H1 - 2021</v>
          </cell>
          <cell r="H5764">
            <v>5041142</v>
          </cell>
          <cell r="AK5764" t="str">
            <v>Thomas Wilson</v>
          </cell>
        </row>
        <row r="5765">
          <cell r="C5765" t="str">
            <v>MS_REM_TPPM_Third Party Risk 2021</v>
          </cell>
          <cell r="H5765">
            <v>5041371</v>
          </cell>
          <cell r="AK5765" t="str">
            <v>Dan Schutzman</v>
          </cell>
        </row>
        <row r="5766">
          <cell r="C5766" t="str">
            <v>Underwriting Quality Review</v>
          </cell>
          <cell r="H5766">
            <v>5040556</v>
          </cell>
          <cell r="AK5766" t="str">
            <v>Willis Leitner</v>
          </cell>
        </row>
        <row r="5767">
          <cell r="C5767" t="str">
            <v>Jefferies GCTAC FI QA Lead</v>
          </cell>
          <cell r="H5767">
            <v>5039794</v>
          </cell>
          <cell r="AK5767" t="str">
            <v>John McCaffrey</v>
          </cell>
        </row>
        <row r="5768">
          <cell r="C5768" t="str">
            <v>HSBC-RSK-FRB DMA Extension</v>
          </cell>
          <cell r="H5768">
            <v>5038104</v>
          </cell>
          <cell r="AK5768" t="str">
            <v>Peter Brown</v>
          </cell>
        </row>
        <row r="5769">
          <cell r="C5769" t="str">
            <v>MS_WM_Integration_Etrade 2021</v>
          </cell>
          <cell r="H5769">
            <v>5041437</v>
          </cell>
          <cell r="AK5769" t="str">
            <v>Leah Watson</v>
          </cell>
        </row>
        <row r="5770">
          <cell r="C5770" t="str">
            <v>BMT Monitoring Reviews</v>
          </cell>
          <cell r="H5770">
            <v>5041072</v>
          </cell>
          <cell r="AK5770" t="str">
            <v>Bonita Riccaboni</v>
          </cell>
        </row>
        <row r="5771">
          <cell r="C5771" t="str">
            <v>Jefferies Australia QA Lead</v>
          </cell>
          <cell r="H5771">
            <v>5038632</v>
          </cell>
          <cell r="AK5771" t="str">
            <v>John McCaffrey</v>
          </cell>
        </row>
        <row r="5772">
          <cell r="C5772" t="str">
            <v>Compliance &amp; Legal BA</v>
          </cell>
          <cell r="H5772">
            <v>5037827</v>
          </cell>
          <cell r="AK5772" t="str">
            <v>Matthew Rodgers</v>
          </cell>
        </row>
        <row r="5773">
          <cell r="C5773" t="str">
            <v>RBCUS - CNB PMO Support</v>
          </cell>
          <cell r="H5773">
            <v>5038707</v>
          </cell>
          <cell r="AK5773" t="str">
            <v>Carl Repoli</v>
          </cell>
        </row>
        <row r="5774">
          <cell r="C5774" t="str">
            <v>Jefferies Risk IT Environment 2021</v>
          </cell>
          <cell r="H5774">
            <v>5038126</v>
          </cell>
          <cell r="AK5774" t="str">
            <v>John McCaffrey</v>
          </cell>
        </row>
        <row r="5775">
          <cell r="C5775" t="str">
            <v>Jeff_Murex Team 2021</v>
          </cell>
          <cell r="H5775">
            <v>5038113</v>
          </cell>
          <cell r="AK5775" t="str">
            <v>Chelsea Mattias</v>
          </cell>
        </row>
        <row r="5776">
          <cell r="C5776" t="str">
            <v>5236 AMD 2</v>
          </cell>
          <cell r="H5776">
            <v>5039002</v>
          </cell>
          <cell r="AK5776" t="str">
            <v>Christopher Martines</v>
          </cell>
        </row>
        <row r="5777">
          <cell r="C5777" t="str">
            <v>Jeff_CRM Salesfrc Sol Arc 2021</v>
          </cell>
          <cell r="H5777">
            <v>5038123</v>
          </cell>
          <cell r="AK5777" t="str">
            <v>Aoife Hogan</v>
          </cell>
        </row>
        <row r="5778">
          <cell r="C5778" t="str">
            <v>CTCB BSA/AML Risk Assessment</v>
          </cell>
          <cell r="H5778">
            <v>5040810</v>
          </cell>
          <cell r="AK5778" t="str">
            <v>Mary Louise Radley</v>
          </cell>
        </row>
        <row r="5779">
          <cell r="C5779" t="str">
            <v>Centennial Bank Appraisal Review 2021</v>
          </cell>
          <cell r="H5779">
            <v>5040779</v>
          </cell>
          <cell r="AK5779" t="str">
            <v>Randall Patton</v>
          </cell>
        </row>
        <row r="5780">
          <cell r="C5780" t="str">
            <v>CC5C Internal Audits</v>
          </cell>
          <cell r="H5780">
            <v>5041661</v>
          </cell>
          <cell r="AK5780" t="str">
            <v>Mary Louise Radley</v>
          </cell>
        </row>
        <row r="5781">
          <cell r="C5781" t="str">
            <v>National Bank of Malvern - Consulting</v>
          </cell>
          <cell r="H5781">
            <v>5041633</v>
          </cell>
          <cell r="AK5781" t="str">
            <v>Robert Farmer</v>
          </cell>
        </row>
        <row r="5782">
          <cell r="C5782" t="str">
            <v>Centennial Bank - Flood Review 2021</v>
          </cell>
          <cell r="H5782">
            <v>5040750</v>
          </cell>
          <cell r="AK5782" t="str">
            <v>Randall Patton</v>
          </cell>
        </row>
        <row r="5783">
          <cell r="C5783" t="str">
            <v>CentennialBnk_BOD Presentation</v>
          </cell>
          <cell r="H5783">
            <v>5041114</v>
          </cell>
          <cell r="AK5783" t="str">
            <v>Randall Patton</v>
          </cell>
        </row>
        <row r="5784">
          <cell r="C5784" t="str">
            <v>FrMc_Investor Reporting II (T&amp;M)</v>
          </cell>
          <cell r="H5784">
            <v>5034285</v>
          </cell>
          <cell r="AK5784" t="str">
            <v>David Williams</v>
          </cell>
        </row>
        <row r="5785">
          <cell r="C5785" t="str">
            <v>SVB_CDO Program Support</v>
          </cell>
          <cell r="H5785">
            <v>5041271</v>
          </cell>
          <cell r="AK5785" t="str">
            <v>Ridha Mesli</v>
          </cell>
        </row>
        <row r="5786">
          <cell r="C5786" t="str">
            <v>MS_WM_PB_Digital Bank Implementation Work</v>
          </cell>
          <cell r="H5786">
            <v>5041413</v>
          </cell>
          <cell r="AK5786" t="str">
            <v>Nic Parmaksizian</v>
          </cell>
        </row>
        <row r="5787">
          <cell r="C5787" t="str">
            <v>HSBC-GBM-LIBOR RSK Anlst Ext Q1 2021</v>
          </cell>
          <cell r="H5787">
            <v>5037419</v>
          </cell>
          <cell r="AK5787" t="str">
            <v>Peter Brown</v>
          </cell>
        </row>
        <row r="5788">
          <cell r="C5788" t="str">
            <v>BOT_Part 504 Compliance Review</v>
          </cell>
          <cell r="H5788">
            <v>5040805</v>
          </cell>
          <cell r="AK5788" t="str">
            <v>William Sachs</v>
          </cell>
        </row>
        <row r="5789">
          <cell r="C5789" t="str">
            <v>FrMc_SF CDW Analyst 2021 H1 Ext</v>
          </cell>
          <cell r="H5789">
            <v>5039411</v>
          </cell>
          <cell r="AK5789" t="str">
            <v>Ramnish Gupta</v>
          </cell>
        </row>
        <row r="5790">
          <cell r="C5790" t="str">
            <v>Jeff_LIBOR Tech Analysis</v>
          </cell>
          <cell r="H5790">
            <v>5041449</v>
          </cell>
          <cell r="AK5790" t="str">
            <v>Conor Dowling</v>
          </cell>
        </row>
        <row r="5791">
          <cell r="C5791" t="str">
            <v>SVB_Data Quality Support</v>
          </cell>
          <cell r="H5791">
            <v>5041124</v>
          </cell>
          <cell r="AK5791" t="str">
            <v>Ridha Mesli</v>
          </cell>
        </row>
        <row r="5792">
          <cell r="C5792" t="str">
            <v>Jeff_Cloud PM Ext</v>
          </cell>
          <cell r="H5792">
            <v>5039823</v>
          </cell>
          <cell r="AK5792" t="str">
            <v>John McCaffrey</v>
          </cell>
        </row>
        <row r="5793">
          <cell r="C5793" t="str">
            <v>GS GSAM 2021 Program Management Q1</v>
          </cell>
          <cell r="H5793">
            <v>5041438</v>
          </cell>
          <cell r="AK5793" t="str">
            <v>Parul Chowdhry</v>
          </cell>
        </row>
        <row r="5794">
          <cell r="C5794" t="str">
            <v>CDE PM and Process v1</v>
          </cell>
          <cell r="H5794">
            <v>5041513</v>
          </cell>
          <cell r="AK5794" t="str">
            <v>Eric Fairchild</v>
          </cell>
        </row>
        <row r="5795">
          <cell r="C5795" t="str">
            <v>FrMc_GBS Risk 2021 Ext</v>
          </cell>
          <cell r="H5795">
            <v>5038432</v>
          </cell>
          <cell r="AK5795" t="str">
            <v>Michael Mathew</v>
          </cell>
        </row>
        <row r="5796">
          <cell r="C5796" t="str">
            <v>MS_IM_Ops_Platform Transformation</v>
          </cell>
          <cell r="H5796">
            <v>5041053</v>
          </cell>
          <cell r="AK5796" t="str">
            <v>Anthony Saidy</v>
          </cell>
        </row>
        <row r="5797">
          <cell r="C5797" t="str">
            <v>UBS WMAP-Readiness Support 2021</v>
          </cell>
          <cell r="H5797">
            <v>5041340</v>
          </cell>
          <cell r="AK5797" t="str">
            <v>James St. Jean</v>
          </cell>
        </row>
        <row r="5798">
          <cell r="C5798" t="str">
            <v>MS_WM_S&amp;A: Advisory Trading 2021</v>
          </cell>
          <cell r="H5798">
            <v>5040949</v>
          </cell>
          <cell r="AK5798" t="str">
            <v>Rayna Gittelman</v>
          </cell>
        </row>
        <row r="5799">
          <cell r="C5799" t="str">
            <v>Jeff EBS Comp Analyst Ext5</v>
          </cell>
          <cell r="H5799">
            <v>5039953</v>
          </cell>
          <cell r="AK5799" t="str">
            <v>Jeffrey Gheraldi</v>
          </cell>
        </row>
        <row r="5800">
          <cell r="C5800" t="str">
            <v>GS Reg Ops 2021 Consolidated Audit Trail Jan</v>
          </cell>
          <cell r="H5800">
            <v>5038159</v>
          </cell>
          <cell r="AK5800" t="str">
            <v>Parul Chowdhry</v>
          </cell>
        </row>
        <row r="5801">
          <cell r="C5801" t="str">
            <v>MS_WM_S&amp;A 2021</v>
          </cell>
          <cell r="H5801">
            <v>5041382</v>
          </cell>
          <cell r="AK5801" t="str">
            <v>Leah Watson</v>
          </cell>
        </row>
        <row r="5802">
          <cell r="C5802" t="str">
            <v>Jeff Compliance Analyst Ext11</v>
          </cell>
          <cell r="H5802">
            <v>5040210</v>
          </cell>
          <cell r="AK5802" t="str">
            <v>Jeffrey Gheraldi</v>
          </cell>
        </row>
        <row r="5803">
          <cell r="C5803" t="str">
            <v>Jeff_AML Support 4</v>
          </cell>
          <cell r="H5803">
            <v>5040253</v>
          </cell>
          <cell r="AK5803" t="str">
            <v>Jeffrey Gheraldi</v>
          </cell>
        </row>
        <row r="5804">
          <cell r="C5804" t="str">
            <v>HB_InvestCloud Implementation</v>
          </cell>
          <cell r="H5804">
            <v>5041494</v>
          </cell>
          <cell r="AK5804" t="str">
            <v>James Jeffries</v>
          </cell>
        </row>
        <row r="5805">
          <cell r="C5805" t="str">
            <v>GS Wealth 2021 Program Management Q1</v>
          </cell>
          <cell r="H5805">
            <v>5041434</v>
          </cell>
          <cell r="AK5805" t="str">
            <v>Keshav Khanna</v>
          </cell>
        </row>
        <row r="5806">
          <cell r="C5806" t="str">
            <v>Ally_Strategic Deposits</v>
          </cell>
          <cell r="H5806">
            <v>5041243</v>
          </cell>
          <cell r="AK5806" t="str">
            <v>Michael Crumpler</v>
          </cell>
        </row>
        <row r="5807">
          <cell r="C5807" t="str">
            <v>EGM - Truist Dev Delivery</v>
          </cell>
          <cell r="H5807">
            <v>5041290</v>
          </cell>
          <cell r="AK5807" t="str">
            <v>Mark Smith</v>
          </cell>
        </row>
        <row r="5808">
          <cell r="C5808" t="str">
            <v>CNB Staff Aug.</v>
          </cell>
          <cell r="H5808">
            <v>5039956</v>
          </cell>
          <cell r="AK5808" t="str">
            <v>Betsy Cherian</v>
          </cell>
        </row>
        <row r="5809">
          <cell r="C5809" t="str">
            <v>ICM Q1</v>
          </cell>
          <cell r="H5809">
            <v>5039934</v>
          </cell>
          <cell r="AK5809" t="str">
            <v>Jeliaz Chtilianov</v>
          </cell>
        </row>
        <row r="5810">
          <cell r="C5810" t="str">
            <v>Duty 2 Serve Ext (2021)</v>
          </cell>
          <cell r="H5810">
            <v>5034762</v>
          </cell>
          <cell r="AK5810" t="str">
            <v>Gregory Barry</v>
          </cell>
        </row>
        <row r="5811">
          <cell r="C5811" t="str">
            <v>APPs Cloud Migration Phase 1</v>
          </cell>
          <cell r="H5811">
            <v>5041154</v>
          </cell>
          <cell r="AK5811" t="str">
            <v>Ramnish Gupta</v>
          </cell>
        </row>
        <row r="5812">
          <cell r="C5812" t="str">
            <v>HSBC-FIN-RAF PM 2021</v>
          </cell>
          <cell r="H5812">
            <v>5039835</v>
          </cell>
          <cell r="AK5812" t="str">
            <v>Peter Brown</v>
          </cell>
        </row>
        <row r="5813">
          <cell r="C5813" t="str">
            <v>HSBC-GBM-Arranged Finance Phase 3 2021 Extension</v>
          </cell>
          <cell r="H5813">
            <v>5041337</v>
          </cell>
          <cell r="AK5813" t="str">
            <v>Peter Brown</v>
          </cell>
        </row>
        <row r="5814">
          <cell r="C5814" t="str">
            <v>MS_WM_S&amp;A_PMO 2021</v>
          </cell>
          <cell r="H5814">
            <v>5041283</v>
          </cell>
          <cell r="AK5814" t="str">
            <v>Rayna Gittelman</v>
          </cell>
        </row>
        <row r="5815">
          <cell r="C5815" t="str">
            <v>DB_CB T4O Team Extension</v>
          </cell>
          <cell r="H5815">
            <v>5041373</v>
          </cell>
          <cell r="AK5815" t="str">
            <v>Sandra Paris</v>
          </cell>
        </row>
        <row r="5816">
          <cell r="C5816" t="str">
            <v>RWN COO Process Ph 2</v>
          </cell>
          <cell r="H5816">
            <v>5041529</v>
          </cell>
          <cell r="AK5816" t="str">
            <v>Eric Fairchild</v>
          </cell>
        </row>
        <row r="5817">
          <cell r="C5817" t="str">
            <v>JCREW Run The Bank Support</v>
          </cell>
          <cell r="H5817">
            <v>5041826</v>
          </cell>
          <cell r="AK5817" t="str">
            <v>John McCaffrey</v>
          </cell>
        </row>
        <row r="5818">
          <cell r="C5818" t="str">
            <v>Jeff_Central Compliance Ext3</v>
          </cell>
          <cell r="H5818">
            <v>5039897</v>
          </cell>
          <cell r="AK5818" t="str">
            <v>Jeffrey Gheraldi</v>
          </cell>
        </row>
        <row r="5819">
          <cell r="C5819" t="str">
            <v>Bank of Delmarva / Yellow Hammer</v>
          </cell>
          <cell r="H5819">
            <v>5040398</v>
          </cell>
          <cell r="AK5819" t="str">
            <v>William Sachs</v>
          </cell>
        </row>
        <row r="5820">
          <cell r="C5820" t="str">
            <v>Citi_ICG 2021 Loan Operations</v>
          </cell>
          <cell r="H5820">
            <v>5041510</v>
          </cell>
          <cell r="AK5820" t="str">
            <v>Ervinas Janavicius</v>
          </cell>
        </row>
        <row r="5821">
          <cell r="C5821" t="str">
            <v>HSBC-WPB-Transformation BA|PM Extension</v>
          </cell>
          <cell r="H5821">
            <v>5041365</v>
          </cell>
          <cell r="AK5821" t="str">
            <v>Peter Brown</v>
          </cell>
        </row>
        <row r="5822">
          <cell r="C5822" t="str">
            <v>Centennial Bank CRA Program Review 2021</v>
          </cell>
          <cell r="H5822">
            <v>5041104</v>
          </cell>
          <cell r="AK5822" t="str">
            <v>Randall Patton</v>
          </cell>
        </row>
        <row r="5823">
          <cell r="C5823" t="str">
            <v>RBCUS_ERM COO Ext</v>
          </cell>
          <cell r="H5823">
            <v>5041466</v>
          </cell>
          <cell r="AK5823" t="str">
            <v>Michael Martinen</v>
          </cell>
        </row>
        <row r="5824">
          <cell r="C5824" t="str">
            <v>ValleyNB - Trust Compliance Investment Reviews</v>
          </cell>
          <cell r="H5824">
            <v>5040636</v>
          </cell>
          <cell r="AK5824" t="str">
            <v>David Stalnaker</v>
          </cell>
        </row>
        <row r="5825">
          <cell r="C5825" t="str">
            <v>SVB_CDO ODP Product Support</v>
          </cell>
          <cell r="H5825">
            <v>5041185</v>
          </cell>
          <cell r="AK5825" t="str">
            <v>Ridha Mesli</v>
          </cell>
        </row>
        <row r="5826">
          <cell r="C5826" t="str">
            <v>MS Data CoE 2021</v>
          </cell>
          <cell r="H5826">
            <v>5041398</v>
          </cell>
          <cell r="AK5826" t="str">
            <v>Keith Paradise</v>
          </cell>
        </row>
        <row r="5827">
          <cell r="C5827" t="str">
            <v>Santander_CISO support</v>
          </cell>
          <cell r="H5827">
            <v>5041140</v>
          </cell>
          <cell r="AK5827" t="str">
            <v>Boris Mallet</v>
          </cell>
        </row>
        <row r="5828">
          <cell r="C5828" t="str">
            <v>MS Data CoE - Governance Ramp-Up</v>
          </cell>
          <cell r="H5828">
            <v>5041398</v>
          </cell>
          <cell r="AK5828" t="str">
            <v>Keith Paradise</v>
          </cell>
        </row>
        <row r="5829">
          <cell r="C5829" t="str">
            <v>Lazard Info Sec Training</v>
          </cell>
          <cell r="H5829">
            <v>5040897</v>
          </cell>
          <cell r="AK5829" t="str">
            <v>Casey Schaffer</v>
          </cell>
        </row>
        <row r="5830">
          <cell r="C5830" t="str">
            <v>Achieva CU Compliance Audits</v>
          </cell>
          <cell r="H5830">
            <v>5041445</v>
          </cell>
          <cell r="AK5830" t="str">
            <v>Louvera Walden</v>
          </cell>
        </row>
        <row r="5831">
          <cell r="C5831" t="str">
            <v>ANBTX Risk Appetite</v>
          </cell>
          <cell r="H5831">
            <v>5041516</v>
          </cell>
          <cell r="AK5831" t="str">
            <v>Tania Makuh</v>
          </cell>
        </row>
        <row r="5832">
          <cell r="C5832" t="str">
            <v>CGI EXL BAs Part 1</v>
          </cell>
          <cell r="H5832">
            <v>5041521</v>
          </cell>
          <cell r="AK5832" t="str">
            <v>Eric Fairchild</v>
          </cell>
        </row>
        <row r="5833">
          <cell r="C5833" t="str">
            <v>Broadridge UBS WMAP Implementation</v>
          </cell>
          <cell r="H5833">
            <v>5041342</v>
          </cell>
          <cell r="AK5833" t="str">
            <v>Phil Kerkel</v>
          </cell>
        </row>
        <row r="5834">
          <cell r="C5834" t="str">
            <v>CS_Data-Driven User-Experience</v>
          </cell>
          <cell r="H5834">
            <v>5041273</v>
          </cell>
          <cell r="AK5834" t="str">
            <v>Anita Shankar</v>
          </cell>
        </row>
        <row r="5835">
          <cell r="C5835" t="str">
            <v>HB - Digital Wealth Product Management Support</v>
          </cell>
          <cell r="H5835">
            <v>5041464</v>
          </cell>
          <cell r="AK5835" t="str">
            <v>Nikhil Sharma</v>
          </cell>
        </row>
        <row r="5836">
          <cell r="C5836" t="str">
            <v>WTFC_GRC Solution Enhancement</v>
          </cell>
          <cell r="H5836">
            <v>5041411</v>
          </cell>
          <cell r="AK5836" t="str">
            <v>Tania Makuh</v>
          </cell>
        </row>
        <row r="5837">
          <cell r="C5837" t="str">
            <v>MassMutual / Beacon delivery (PRO)</v>
          </cell>
          <cell r="H5837">
            <v>5041366</v>
          </cell>
          <cell r="AK5837" t="str">
            <v>Phil Kerkel</v>
          </cell>
        </row>
        <row r="5838">
          <cell r="C5838" t="str">
            <v>SVB_IT_Cloud Awareness_Extension</v>
          </cell>
          <cell r="H5838">
            <v>5041378</v>
          </cell>
          <cell r="AK5838" t="str">
            <v>Sebastian Beebee</v>
          </cell>
        </row>
        <row r="5839">
          <cell r="C5839" t="str">
            <v>HB_Digital Wealth Implementation Project Mgmt.</v>
          </cell>
          <cell r="H5839">
            <v>5041465</v>
          </cell>
          <cell r="AK5839" t="str">
            <v>Nikhil Sharma</v>
          </cell>
        </row>
        <row r="5840">
          <cell r="C5840" t="str">
            <v>Broadridge RBC Implementation</v>
          </cell>
          <cell r="H5840">
            <v>5041341</v>
          </cell>
          <cell r="AK5840" t="str">
            <v>Phil Kerkel</v>
          </cell>
        </row>
        <row r="5841">
          <cell r="C5841" t="str">
            <v>Jeff_CRM US Change Agent - 2021 Ext 1</v>
          </cell>
          <cell r="H5841">
            <v>5039410</v>
          </cell>
          <cell r="AK5841" t="str">
            <v>Aoife Hogan</v>
          </cell>
        </row>
        <row r="5842">
          <cell r="C5842" t="str">
            <v>Berkshire Bank HMDA Targeted Review</v>
          </cell>
          <cell r="H5842">
            <v>5041414</v>
          </cell>
          <cell r="AK5842" t="str">
            <v>Juan Pimentel</v>
          </cell>
        </row>
        <row r="5843">
          <cell r="C5843" t="str">
            <v>Risk Based Capital QA</v>
          </cell>
          <cell r="H5843">
            <v>5041973</v>
          </cell>
          <cell r="AK5843" t="str">
            <v>John McCaffrey</v>
          </cell>
        </row>
        <row r="5844">
          <cell r="C5844" t="str">
            <v>DB_AFC KYC T&amp;R Extension Q1-Q2 2021</v>
          </cell>
          <cell r="H5844">
            <v>5041495</v>
          </cell>
          <cell r="AK5844" t="str">
            <v>Ruby Cherian</v>
          </cell>
        </row>
        <row r="5845">
          <cell r="C5845" t="str">
            <v>Brotherhood CU - Third Party Risk Mgmt  Prog Review</v>
          </cell>
          <cell r="H5845">
            <v>5041534</v>
          </cell>
          <cell r="AK5845" t="str">
            <v>Robert Farmer</v>
          </cell>
        </row>
        <row r="5846">
          <cell r="C5846" t="str">
            <v>Better_Loan Sample TRID Tst</v>
          </cell>
          <cell r="H5846">
            <v>5041664</v>
          </cell>
          <cell r="AK5846" t="str">
            <v>Thuy Whitaker</v>
          </cell>
        </row>
        <row r="5847">
          <cell r="C5847" t="str">
            <v>RPA BA Support (II)</v>
          </cell>
          <cell r="H5847">
            <v>5039905</v>
          </cell>
          <cell r="AK5847" t="str">
            <v>Scott Kennedy</v>
          </cell>
        </row>
        <row r="5848">
          <cell r="C5848" t="str">
            <v>FM_Underwriting Transform</v>
          </cell>
          <cell r="H5848">
            <v>5041493</v>
          </cell>
          <cell r="AK5848" t="str">
            <v>Nitin Raju</v>
          </cell>
        </row>
        <row r="5849">
          <cell r="C5849" t="str">
            <v>ICM AMD 2</v>
          </cell>
          <cell r="H5849">
            <v>5039934</v>
          </cell>
          <cell r="AK5849" t="str">
            <v>Jeliaz Chtilianov</v>
          </cell>
        </row>
        <row r="5850">
          <cell r="C5850" t="str">
            <v>FrMc_Ent Ops Resiliency Support</v>
          </cell>
          <cell r="H5850">
            <v>5040322</v>
          </cell>
          <cell r="AK5850" t="str">
            <v>Michael Mathew</v>
          </cell>
        </row>
        <row r="5851">
          <cell r="C5851" t="str">
            <v>MS_WM_CIS_eTrade Analytical Support - additional resource</v>
          </cell>
          <cell r="H5851">
            <v>5041051</v>
          </cell>
          <cell r="AK5851" t="str">
            <v>Robin Williams</v>
          </cell>
        </row>
        <row r="5852">
          <cell r="C5852" t="str">
            <v>Oracle NetSuite Implementation Extension</v>
          </cell>
          <cell r="H5852">
            <v>5041275</v>
          </cell>
          <cell r="AK5852" t="str">
            <v>Darrell Ponzio</v>
          </cell>
        </row>
        <row r="5853">
          <cell r="C5853" t="str">
            <v>WTB - Marketing Lookback Extension</v>
          </cell>
          <cell r="H5853">
            <v>5041613</v>
          </cell>
          <cell r="AK5853" t="str">
            <v>Tania Makuh</v>
          </cell>
        </row>
        <row r="5854">
          <cell r="C5854" t="str">
            <v>UB_113_RB KYC Op Man Sup Ph1</v>
          </cell>
          <cell r="H5854">
            <v>5041418</v>
          </cell>
          <cell r="AK5854" t="str">
            <v>Samuel Awsumb</v>
          </cell>
        </row>
        <row r="5855">
          <cell r="C5855" t="str">
            <v>Jeff_LIBOR COE</v>
          </cell>
          <cell r="H5855">
            <v>5041490</v>
          </cell>
          <cell r="AK5855" t="str">
            <v>Julia Simmons</v>
          </cell>
        </row>
        <row r="5856">
          <cell r="C5856" t="str">
            <v>MS_ISG_ISGPO_GPG 2021 Incremental</v>
          </cell>
          <cell r="H5856">
            <v>5040923</v>
          </cell>
          <cell r="AK5856" t="str">
            <v>Mitali Drews</v>
          </cell>
        </row>
        <row r="5857">
          <cell r="C5857" t="str">
            <v>Bryn Mawr Trust Commercial HMDA</v>
          </cell>
          <cell r="H5857">
            <v>5041588</v>
          </cell>
          <cell r="AK5857" t="str">
            <v>Anna Proleika</v>
          </cell>
        </row>
        <row r="5858">
          <cell r="C5858" t="str">
            <v>RBCUS - TransactionTestingMRA</v>
          </cell>
          <cell r="H5858">
            <v>5041504</v>
          </cell>
          <cell r="AK5858" t="str">
            <v>Michael Martinen</v>
          </cell>
        </row>
        <row r="5859">
          <cell r="C5859" t="str">
            <v>MS_ISG_ISGPO_FCO Incremental</v>
          </cell>
          <cell r="H5859">
            <v>5041107</v>
          </cell>
          <cell r="AK5859" t="str">
            <v>Mitali Drews</v>
          </cell>
        </row>
        <row r="5860">
          <cell r="C5860" t="str">
            <v>DB_Data Remediation Project</v>
          </cell>
          <cell r="H5860">
            <v>5041608</v>
          </cell>
          <cell r="AK5860" t="str">
            <v>David Roberts</v>
          </cell>
        </row>
        <row r="5861">
          <cell r="C5861" t="str">
            <v>CNB_EA P2</v>
          </cell>
          <cell r="H5861">
            <v>5040633</v>
          </cell>
          <cell r="AK5861" t="str">
            <v>Betsy Cherian</v>
          </cell>
        </row>
        <row r="5862">
          <cell r="C5862" t="str">
            <v>SVB_IT_MDF Development_Ext5</v>
          </cell>
          <cell r="H5862">
            <v>5041614</v>
          </cell>
          <cell r="AK5862" t="str">
            <v>Chinmoy Bhatiya</v>
          </cell>
        </row>
        <row r="5863">
          <cell r="C5863" t="str">
            <v>IC_PTierSupport</v>
          </cell>
          <cell r="H5863">
            <v>5041496</v>
          </cell>
          <cell r="AK5863" t="str">
            <v>James Jeffries</v>
          </cell>
        </row>
        <row r="5864">
          <cell r="C5864" t="str">
            <v>IC_BA_Support</v>
          </cell>
          <cell r="H5864">
            <v>5041374</v>
          </cell>
          <cell r="AK5864" t="str">
            <v>James Jeffries</v>
          </cell>
        </row>
        <row r="5865">
          <cell r="C5865" t="str">
            <v>MECU HMDA Review</v>
          </cell>
          <cell r="H5865">
            <v>5041435</v>
          </cell>
          <cell r="AK5865" t="str">
            <v>W. Annette Dredden</v>
          </cell>
        </row>
        <row r="5866">
          <cell r="C5866" t="str">
            <v>Change Management</v>
          </cell>
          <cell r="H5866">
            <v>5041518</v>
          </cell>
          <cell r="AK5866" t="str">
            <v>Darrell Ponzio</v>
          </cell>
        </row>
        <row r="5867">
          <cell r="C5867" t="str">
            <v>UBS US DMP | DMO 2021 Additional Resource</v>
          </cell>
          <cell r="H5867">
            <v>5041138</v>
          </cell>
          <cell r="AK5867" t="str">
            <v>Maximilian Mauro</v>
          </cell>
        </row>
        <row r="5868">
          <cell r="C5868" t="str">
            <v>Reimagine Servicing (AMD 4)</v>
          </cell>
          <cell r="H5868">
            <v>5039092</v>
          </cell>
          <cell r="AK5868" t="str">
            <v>Chad Bonadonna</v>
          </cell>
        </row>
        <row r="5869">
          <cell r="C5869" t="str">
            <v>SVB UK Sub _ Technical Program Mgr</v>
          </cell>
          <cell r="H5869">
            <v>5040650</v>
          </cell>
          <cell r="AK5869" t="str">
            <v>Emily Clark</v>
          </cell>
        </row>
        <row r="5870">
          <cell r="C5870" t="str">
            <v>Oracle NetSuite Impl Extension II</v>
          </cell>
          <cell r="H5870">
            <v>5041275</v>
          </cell>
          <cell r="AK5870" t="str">
            <v>Darrell Ponzio</v>
          </cell>
        </row>
        <row r="5871">
          <cell r="C5871" t="str">
            <v>Santander_CISO Operations</v>
          </cell>
          <cell r="H5871">
            <v>5041140</v>
          </cell>
          <cell r="AK5871" t="str">
            <v>Boris Mallet</v>
          </cell>
        </row>
        <row r="5872">
          <cell r="C5872" t="str">
            <v>MCB - CMS Gap Analysis</v>
          </cell>
          <cell r="H5872">
            <v>5041552</v>
          </cell>
          <cell r="AK5872" t="str">
            <v>Mary Louise Radley</v>
          </cell>
        </row>
        <row r="5873">
          <cell r="C5873" t="str">
            <v>ION US Support</v>
          </cell>
          <cell r="H5873">
            <v>5040214</v>
          </cell>
          <cell r="AK5873" t="str">
            <v>Sarmistha Bhattacharjee</v>
          </cell>
        </row>
        <row r="5874">
          <cell r="C5874" t="str">
            <v>CBT_Info Tech &amp; Security RA</v>
          </cell>
          <cell r="H5874">
            <v>5040085</v>
          </cell>
          <cell r="AK5874" t="str">
            <v>Robert Farmer</v>
          </cell>
        </row>
        <row r="5875">
          <cell r="C5875" t="str">
            <v>ANBTX_Compliance Consulting</v>
          </cell>
          <cell r="H5875">
            <v>5042026</v>
          </cell>
          <cell r="AK5875" t="str">
            <v>Pamela Acciardo</v>
          </cell>
        </row>
        <row r="5876">
          <cell r="C5876" t="str">
            <v>Aura Mortgage Compliance Consulting</v>
          </cell>
          <cell r="H5876">
            <v>5041354</v>
          </cell>
          <cell r="AK5876" t="str">
            <v>Louvera Walden</v>
          </cell>
        </row>
        <row r="5877">
          <cell r="C5877" t="str">
            <v>VMO Staff Aug</v>
          </cell>
          <cell r="H5877">
            <v>5041598</v>
          </cell>
          <cell r="AK5877" t="str">
            <v>Tyreek Trammell</v>
          </cell>
        </row>
        <row r="5878">
          <cell r="C5878" t="str">
            <v>SVB_DA_UK Sub Extension</v>
          </cell>
          <cell r="H5878">
            <v>5040650</v>
          </cell>
          <cell r="AK5878" t="str">
            <v>Emily Clark</v>
          </cell>
        </row>
        <row r="5879">
          <cell r="C5879" t="str">
            <v>Unqork 2021 Program</v>
          </cell>
          <cell r="H5879">
            <v>5041548</v>
          </cell>
          <cell r="AK5879" t="str">
            <v>Frantz Casimir</v>
          </cell>
        </row>
        <row r="5880">
          <cell r="C5880" t="str">
            <v>Revantage Accounting Optimization</v>
          </cell>
          <cell r="H5880">
            <v>5041335</v>
          </cell>
          <cell r="AK5880" t="str">
            <v>John Power</v>
          </cell>
        </row>
        <row r="5881">
          <cell r="C5881" t="str">
            <v>Investors Trust Annual Fiduciary &amp; AML audits</v>
          </cell>
          <cell r="H5881">
            <v>5040673</v>
          </cell>
          <cell r="AK5881" t="str">
            <v>Mary Louise Radley</v>
          </cell>
        </row>
        <row r="5882">
          <cell r="C5882" t="str">
            <v>ESB_PatriotOfficerOptimization</v>
          </cell>
          <cell r="H5882">
            <v>5041460</v>
          </cell>
          <cell r="AK5882" t="str">
            <v>William Sachs</v>
          </cell>
        </row>
        <row r="5883">
          <cell r="C5883" t="str">
            <v>Jeff_CRM SF Program Mgmt 2021 Ext</v>
          </cell>
          <cell r="H5883">
            <v>5041467</v>
          </cell>
          <cell r="AK5883" t="str">
            <v>Aoife Hogan</v>
          </cell>
        </row>
        <row r="5884">
          <cell r="C5884" t="str">
            <v>Harbor Bank - CMS Support</v>
          </cell>
          <cell r="H5884">
            <v>5041139</v>
          </cell>
          <cell r="AK5884" t="str">
            <v>W. Annette Dredden</v>
          </cell>
        </row>
        <row r="5885">
          <cell r="C5885" t="str">
            <v>FrMc_AWS IT AMD 5</v>
          </cell>
          <cell r="H5885">
            <v>5039092</v>
          </cell>
          <cell r="AK5885" t="str">
            <v>Chad Bonadonna</v>
          </cell>
        </row>
        <row r="5886">
          <cell r="C5886" t="str">
            <v>Jeff_SBSD Gap Remediation</v>
          </cell>
          <cell r="H5886">
            <v>5041590</v>
          </cell>
          <cell r="AK5886" t="str">
            <v>Matthew Rodgers</v>
          </cell>
        </row>
        <row r="5887">
          <cell r="C5887" t="str">
            <v>Capital Bank NA- 2021 Audits</v>
          </cell>
          <cell r="H5887">
            <v>5041709</v>
          </cell>
          <cell r="AK5887" t="str">
            <v>Steve Manitzas</v>
          </cell>
        </row>
        <row r="5888">
          <cell r="C5888" t="str">
            <v>GS Reg Ops 2021 Consolidated Audit Trail Feb Mar</v>
          </cell>
          <cell r="H5888">
            <v>5041547</v>
          </cell>
          <cell r="AK5888" t="str">
            <v>Parul Chowdhry</v>
          </cell>
        </row>
        <row r="5889">
          <cell r="C5889" t="str">
            <v>MS_WM_Integration_Etrade 2021 Backfill</v>
          </cell>
          <cell r="H5889">
            <v>5041437</v>
          </cell>
          <cell r="AK5889" t="str">
            <v>Leah Watson</v>
          </cell>
        </row>
        <row r="5890">
          <cell r="C5890" t="str">
            <v>Pioneer Bank</v>
          </cell>
          <cell r="H5890">
            <v>5041508</v>
          </cell>
          <cell r="AK5890" t="str">
            <v>Amanda Pickering</v>
          </cell>
        </row>
        <row r="5891">
          <cell r="C5891" t="str">
            <v>LOS Implementation and Fee Mapping</v>
          </cell>
          <cell r="H5891">
            <v>5041647</v>
          </cell>
          <cell r="AK5891" t="str">
            <v>Willis Leitner</v>
          </cell>
        </row>
        <row r="5892">
          <cell r="C5892" t="str">
            <v>F&amp;G OpEx Phase II</v>
          </cell>
          <cell r="H5892">
            <v>5041270</v>
          </cell>
          <cell r="AK5892" t="str">
            <v>Darrell Ponzio</v>
          </cell>
        </row>
        <row r="5893">
          <cell r="C5893" t="str">
            <v>Howard Bank MQC 2021</v>
          </cell>
          <cell r="H5893">
            <v>5042143</v>
          </cell>
          <cell r="AK5893" t="str">
            <v>Christian Maier</v>
          </cell>
        </row>
        <row r="5894">
          <cell r="C5894" t="str">
            <v>Jefferies Compliance Team</v>
          </cell>
          <cell r="H5894">
            <v>5041699</v>
          </cell>
          <cell r="AK5894" t="str">
            <v>Chelsea Mattias</v>
          </cell>
        </row>
        <row r="5895">
          <cell r="C5895" t="str">
            <v>Delos Cap - Cyber Risk Review</v>
          </cell>
          <cell r="H5895">
            <v>5041553</v>
          </cell>
          <cell r="AK5895" t="str">
            <v>Rebecca Smith</v>
          </cell>
        </row>
        <row r="5896">
          <cell r="C5896" t="str">
            <v>URSBnk_ Cybersecurity RA 2021</v>
          </cell>
          <cell r="H5896">
            <v>5041670</v>
          </cell>
          <cell r="AK5896" t="str">
            <v>Robert Farmer</v>
          </cell>
        </row>
        <row r="5897">
          <cell r="C5897" t="str">
            <v>Founders Bank CMS</v>
          </cell>
          <cell r="H5897">
            <v>5041622</v>
          </cell>
          <cell r="AK5897" t="str">
            <v>Patrice Nye</v>
          </cell>
        </row>
        <row r="5898">
          <cell r="C5898" t="str">
            <v>Cape Cod Five - Consulting</v>
          </cell>
          <cell r="H5898">
            <v>5041762</v>
          </cell>
          <cell r="AK5898" t="str">
            <v>Robert Farmer</v>
          </cell>
        </row>
        <row r="5899">
          <cell r="C5899" t="str">
            <v>SVB_IT_SVTO Extension 3</v>
          </cell>
          <cell r="H5899">
            <v>5039879</v>
          </cell>
          <cell r="AK5899" t="str">
            <v>Aditya Taneja</v>
          </cell>
        </row>
        <row r="5900">
          <cell r="C5900" t="str">
            <v>Truist FDIC 370 - Pat Dunlap Extension</v>
          </cell>
          <cell r="H5900">
            <v>5033736</v>
          </cell>
          <cell r="AK5900" t="str">
            <v>Kelsey Popplewell</v>
          </cell>
        </row>
        <row r="5901">
          <cell r="C5901" t="str">
            <v>IDB Bank CMS</v>
          </cell>
          <cell r="H5901">
            <v>5041767</v>
          </cell>
          <cell r="AK5901" t="str">
            <v>Louvera Walden</v>
          </cell>
        </row>
        <row r="5902">
          <cell r="C5902" t="str">
            <v>RBCUS Qlikview Dev 2020 - Extension Feb</v>
          </cell>
          <cell r="H5902">
            <v>5037382</v>
          </cell>
          <cell r="AK5902" t="str">
            <v>Kirby Pulver</v>
          </cell>
        </row>
        <row r="5903">
          <cell r="C5903" t="str">
            <v>CC5 HMDA 2020 Review</v>
          </cell>
          <cell r="H5903">
            <v>5041507</v>
          </cell>
          <cell r="AK5903" t="str">
            <v>Juan Pimentel</v>
          </cell>
        </row>
        <row r="5904">
          <cell r="C5904" t="str">
            <v>Agile Tooling</v>
          </cell>
          <cell r="H5904">
            <v>5041462</v>
          </cell>
          <cell r="AK5904" t="str">
            <v>Casey Schaffer</v>
          </cell>
        </row>
        <row r="5905">
          <cell r="C5905" t="str">
            <v>PMSC 2021</v>
          </cell>
          <cell r="H5905">
            <v>5041211</v>
          </cell>
          <cell r="AK5905" t="str">
            <v>Robert Nocera</v>
          </cell>
        </row>
        <row r="5906">
          <cell r="C5906" t="str">
            <v>WF_RMBS analyst support</v>
          </cell>
          <cell r="H5906">
            <v>5041606</v>
          </cell>
          <cell r="AK5906" t="str">
            <v>Benjamin Harding</v>
          </cell>
        </row>
        <row r="5907">
          <cell r="C5907" t="str">
            <v>HSBC-Compliance-SBSD Implementation</v>
          </cell>
          <cell r="H5907">
            <v>5041609</v>
          </cell>
          <cell r="AK5907" t="str">
            <v>Peter Brown</v>
          </cell>
        </row>
        <row r="5908">
          <cell r="C5908" t="str">
            <v>HSBC-WS-CMB-QC PPP Program</v>
          </cell>
          <cell r="H5908">
            <v>5041447</v>
          </cell>
          <cell r="AK5908" t="str">
            <v>Peter Brown</v>
          </cell>
        </row>
        <row r="5909">
          <cell r="C5909" t="str">
            <v>Patelco_Comp Risk Assessment_2</v>
          </cell>
          <cell r="H5909">
            <v>5041593</v>
          </cell>
          <cell r="AK5909" t="str">
            <v>Jeffrey Bordan</v>
          </cell>
        </row>
        <row r="5910">
          <cell r="C5910" t="str">
            <v>SEIU_CLC EA Project Support</v>
          </cell>
          <cell r="H5910">
            <v>5041705</v>
          </cell>
          <cell r="AK5910" t="str">
            <v>Eric Fairchild</v>
          </cell>
        </row>
        <row r="5911">
          <cell r="C5911" t="str">
            <v>MCB-Acting CCO</v>
          </cell>
          <cell r="H5911">
            <v>5041637</v>
          </cell>
          <cell r="AK5911" t="str">
            <v>Pamela Acciardo</v>
          </cell>
        </row>
        <row r="5912">
          <cell r="C5912" t="str">
            <v>RISC_RBCUS - TransactionTestingMRA</v>
          </cell>
          <cell r="H5912">
            <v>5041504</v>
          </cell>
          <cell r="AK5912" t="str">
            <v>Michael Martinen</v>
          </cell>
        </row>
        <row r="5913">
          <cell r="C5913" t="str">
            <v>Pru Insurance Buying Exp Phase 2</v>
          </cell>
          <cell r="H5913">
            <v>5041554</v>
          </cell>
          <cell r="AK5913" t="str">
            <v>Phil Kerkel</v>
          </cell>
        </row>
        <row r="5914">
          <cell r="C5914" t="str">
            <v>MS_WM_PBO_Deposits ETrade Support</v>
          </cell>
          <cell r="H5914">
            <v>5041621</v>
          </cell>
          <cell r="AK5914" t="str">
            <v>Namisha Kachhla</v>
          </cell>
        </row>
        <row r="5915">
          <cell r="C5915" t="str">
            <v>Broadridge WMAP Incremental Support</v>
          </cell>
          <cell r="H5915">
            <v>5041342</v>
          </cell>
          <cell r="AK5915" t="str">
            <v>Phil Kerkel</v>
          </cell>
        </row>
        <row r="5916">
          <cell r="C5916" t="str">
            <v>WF_CIB Reg and Risk_2021</v>
          </cell>
          <cell r="H5916">
            <v>5041648</v>
          </cell>
          <cell r="AK5916" t="str">
            <v>Edward Kelley</v>
          </cell>
        </row>
        <row r="5917">
          <cell r="C5917" t="str">
            <v>FB_Yellowhammer BSA</v>
          </cell>
          <cell r="H5917">
            <v>5041623</v>
          </cell>
          <cell r="AK5917" t="str">
            <v>William Sachs</v>
          </cell>
        </row>
        <row r="5918">
          <cell r="C5918" t="str">
            <v>M&amp;TBnk_Regulatory Data Feed</v>
          </cell>
          <cell r="H5918">
            <v>5041657</v>
          </cell>
          <cell r="AK5918" t="str">
            <v>Leah Robinson</v>
          </cell>
        </row>
        <row r="5919">
          <cell r="C5919" t="str">
            <v>FM_Unqork EUC Replatform</v>
          </cell>
          <cell r="H5919">
            <v>5041635</v>
          </cell>
          <cell r="AK5919" t="str">
            <v>Brett Knickle</v>
          </cell>
        </row>
        <row r="5920">
          <cell r="C5920" t="str">
            <v>Citi KYC Platform Build</v>
          </cell>
          <cell r="H5920">
            <v>5041627</v>
          </cell>
          <cell r="AK5920" t="str">
            <v>Abhijeet Dhamankar</v>
          </cell>
        </row>
        <row r="5921">
          <cell r="C5921" t="str">
            <v>American Nat'l Bank of Texas - BSA Consulting</v>
          </cell>
          <cell r="H5921">
            <v>5041853</v>
          </cell>
          <cell r="AK5921" t="str">
            <v>Pamela Acciardo</v>
          </cell>
        </row>
        <row r="5922">
          <cell r="C5922" t="str">
            <v>Unqork Change Order #1 2021</v>
          </cell>
          <cell r="H5922">
            <v>5041548</v>
          </cell>
          <cell r="AK5922" t="str">
            <v>Frantz Casimir</v>
          </cell>
        </row>
        <row r="5923">
          <cell r="C5923" t="str">
            <v>TIAA_Office 365 Governance Model</v>
          </cell>
          <cell r="H5923">
            <v>5041673</v>
          </cell>
          <cell r="AK5923" t="str">
            <v>Jason Noran</v>
          </cell>
        </row>
        <row r="5924">
          <cell r="C5924" t="str">
            <v>KEB Hana USA - CMS/KEB</v>
          </cell>
          <cell r="H5924">
            <v>5041677</v>
          </cell>
          <cell r="AK5924" t="str">
            <v>Mary Louise Radley</v>
          </cell>
        </row>
        <row r="5925">
          <cell r="C5925" t="str">
            <v>SVB_Agile Financials_Project Manager</v>
          </cell>
          <cell r="H5925">
            <v>5041710</v>
          </cell>
          <cell r="AK5925" t="str">
            <v>Karl Augenstein</v>
          </cell>
        </row>
        <row r="5926">
          <cell r="C5926" t="str">
            <v>Jefferies_InfoSec BA_PM</v>
          </cell>
          <cell r="H5926">
            <v>5041672</v>
          </cell>
          <cell r="AK5926" t="str">
            <v>Cori Ferrara</v>
          </cell>
        </row>
        <row r="5927">
          <cell r="C5927" t="str">
            <v>Jeff_CRM Prog Mgmt 2021 Addtl Ext.</v>
          </cell>
          <cell r="H5927">
            <v>5041467</v>
          </cell>
          <cell r="AK5927" t="str">
            <v>Aoife Hogan</v>
          </cell>
        </row>
        <row r="5928">
          <cell r="C5928" t="str">
            <v>MS Data CoE QA Testing</v>
          </cell>
          <cell r="H5928">
            <v>5041690</v>
          </cell>
          <cell r="AK5928" t="str">
            <v>Balaji Ramamurthy</v>
          </cell>
        </row>
        <row r="5929">
          <cell r="C5929" t="str">
            <v>FrMc_Modern Delivery AMD 7</v>
          </cell>
          <cell r="H5929">
            <v>5038434</v>
          </cell>
          <cell r="AK5929" t="str">
            <v>Kalkidan Tedla</v>
          </cell>
        </row>
        <row r="5930">
          <cell r="C5930" t="str">
            <v>CFO &amp; NetSuite Support</v>
          </cell>
          <cell r="H5930">
            <v>5041711</v>
          </cell>
          <cell r="AK5930" t="str">
            <v>Darrell Ponzio</v>
          </cell>
        </row>
        <row r="5931">
          <cell r="C5931" t="str">
            <v>HB_Omni Agile Dev 21 Expansion</v>
          </cell>
          <cell r="H5931">
            <v>5041295</v>
          </cell>
          <cell r="AK5931" t="str">
            <v>Andrew Radka</v>
          </cell>
        </row>
        <row r="5932">
          <cell r="C5932" t="str">
            <v>LCEF - Banking Strategy Assessment</v>
          </cell>
          <cell r="H5932">
            <v>5041666</v>
          </cell>
          <cell r="AK5932" t="str">
            <v>Jeffrey Bordan</v>
          </cell>
        </row>
        <row r="5933">
          <cell r="C5933" t="str">
            <v>FrMc_Cloud Transformation New SOW</v>
          </cell>
          <cell r="H5933">
            <v>5041890</v>
          </cell>
          <cell r="AK5933" t="str">
            <v>Chad Bonadonna</v>
          </cell>
        </row>
        <row r="5934">
          <cell r="C5934" t="str">
            <v>MS_ISG_ISGPO_FID Strats Extension</v>
          </cell>
          <cell r="H5934">
            <v>5041052</v>
          </cell>
          <cell r="AK5934" t="str">
            <v>Mitali Drews</v>
          </cell>
        </row>
        <row r="5935">
          <cell r="C5935" t="str">
            <v>MS_WM_Centralized Merger Integration Office_ETrade</v>
          </cell>
          <cell r="H5935">
            <v>5041717</v>
          </cell>
          <cell r="AK5935" t="str">
            <v>Dan Schutzman</v>
          </cell>
        </row>
        <row r="5936">
          <cell r="C5936" t="str">
            <v>SVB_UK_Sub Test Managers</v>
          </cell>
          <cell r="H5936">
            <v>5040650</v>
          </cell>
          <cell r="AK5936" t="str">
            <v>Emily Clark</v>
          </cell>
        </row>
        <row r="5937">
          <cell r="C5937" t="str">
            <v>CTNL - Marketing Program Ext 1</v>
          </cell>
          <cell r="H5937">
            <v>5040232</v>
          </cell>
          <cell r="AK5937" t="str">
            <v>Pamela Acciardo</v>
          </cell>
        </row>
        <row r="5938">
          <cell r="C5938" t="str">
            <v>MS_ISG_FID: FXEM Strats Ext</v>
          </cell>
          <cell r="H5938">
            <v>5040922</v>
          </cell>
          <cell r="AK5938" t="str">
            <v>Mitali Drews</v>
          </cell>
        </row>
        <row r="5939">
          <cell r="C5939" t="str">
            <v>RBCUS_Qlikview 2021 Exp</v>
          </cell>
          <cell r="H5939">
            <v>5037382</v>
          </cell>
          <cell r="AK5939" t="str">
            <v>Kirby Pulver</v>
          </cell>
        </row>
        <row r="5940">
          <cell r="C5940" t="str">
            <v>SVB_ODP Architecture Support</v>
          </cell>
          <cell r="H5940">
            <v>5040215</v>
          </cell>
          <cell r="AK5940" t="str">
            <v>Kyle Chavers</v>
          </cell>
        </row>
        <row r="5941">
          <cell r="C5941" t="str">
            <v>BKU Base Managed Svcs Extension</v>
          </cell>
          <cell r="H5941">
            <v>5038772</v>
          </cell>
          <cell r="AK5941" t="str">
            <v>Kevin Miologos</v>
          </cell>
        </row>
        <row r="5942">
          <cell r="C5942" t="str">
            <v>SD 2021 Program Sr FX BA</v>
          </cell>
          <cell r="H5942">
            <v>5038860</v>
          </cell>
          <cell r="AK5942" t="str">
            <v>Conor Dowling</v>
          </cell>
        </row>
        <row r="5943">
          <cell r="C5943" t="str">
            <v>Jeff EQ Sup Control Ext7</v>
          </cell>
          <cell r="H5943">
            <v>5040089</v>
          </cell>
          <cell r="AK5943" t="str">
            <v>Chelsea Mattias</v>
          </cell>
        </row>
        <row r="5944">
          <cell r="C5944" t="str">
            <v>UB_113_RB KYC Op Man Sup CO1</v>
          </cell>
          <cell r="H5944">
            <v>5041418</v>
          </cell>
          <cell r="AK5944" t="str">
            <v>Samuel Awsumb</v>
          </cell>
        </row>
        <row r="5945">
          <cell r="C5945" t="str">
            <v>PMSC 2020 ext 2</v>
          </cell>
          <cell r="H5945">
            <v>5041211</v>
          </cell>
          <cell r="AK5945" t="str">
            <v>Robert Nocera</v>
          </cell>
        </row>
        <row r="5946">
          <cell r="C5946" t="str">
            <v>Broadridge WMAP PM - Vendor Management</v>
          </cell>
          <cell r="H5946">
            <v>5041342</v>
          </cell>
          <cell r="AK5946" t="str">
            <v>Phil Kerkel</v>
          </cell>
        </row>
        <row r="5947">
          <cell r="C5947" t="str">
            <v>Jeff_Eq Tech Desi and PM ext2</v>
          </cell>
          <cell r="H5947">
            <v>5041770</v>
          </cell>
          <cell r="AK5947" t="str">
            <v>Chelsea Mattias</v>
          </cell>
        </row>
        <row r="5948">
          <cell r="C5948" t="str">
            <v>SVB_Core 2021</v>
          </cell>
          <cell r="H5948">
            <v>5041951</v>
          </cell>
          <cell r="AK5948" t="str">
            <v>Karl Augenstein</v>
          </cell>
        </row>
        <row r="5949">
          <cell r="C5949" t="str">
            <v>JMB_Purchased Loan Reviews</v>
          </cell>
          <cell r="H5949">
            <v>5042179</v>
          </cell>
          <cell r="AK5949" t="str">
            <v>Anna Proleika</v>
          </cell>
        </row>
        <row r="5950">
          <cell r="C5950" t="str">
            <v>WATB Compliance Consulting Renewal</v>
          </cell>
          <cell r="H5950">
            <v>5041573</v>
          </cell>
          <cell r="AK5950" t="str">
            <v>Mary Louise Radley</v>
          </cell>
        </row>
        <row r="5951">
          <cell r="C5951" t="str">
            <v>Capital Bank- Fair Lending RA</v>
          </cell>
          <cell r="H5951">
            <v>5041530</v>
          </cell>
          <cell r="AK5951" t="str">
            <v>Gail Rassler</v>
          </cell>
        </row>
        <row r="5952">
          <cell r="C5952" t="str">
            <v>Treasury Production Support</v>
          </cell>
          <cell r="H5952">
            <v>5039377</v>
          </cell>
          <cell r="AK5952" t="str">
            <v>Sarmistha Bhattacharjee</v>
          </cell>
        </row>
        <row r="5953">
          <cell r="C5953" t="str">
            <v>SVB Portfolio Delivery Management Leadership Support Role (1/4)</v>
          </cell>
          <cell r="H5953">
            <v>5041784</v>
          </cell>
          <cell r="AK5953" t="str">
            <v>Sarah Cameron</v>
          </cell>
        </row>
        <row r="5954">
          <cell r="C5954" t="str">
            <v>CBOM_MQC Reviews</v>
          </cell>
          <cell r="H5954">
            <v>5041477</v>
          </cell>
          <cell r="AK5954" t="str">
            <v>Keith Cole</v>
          </cell>
        </row>
        <row r="5955">
          <cell r="C5955" t="str">
            <v>SVB_ODP Business Engage Team</v>
          </cell>
          <cell r="H5955">
            <v>5041763</v>
          </cell>
          <cell r="AK5955" t="str">
            <v>Ridha Mesli</v>
          </cell>
        </row>
        <row r="5956">
          <cell r="C5956" t="str">
            <v>USAA FSB - SCRA Extn</v>
          </cell>
          <cell r="H5956">
            <v>5037056</v>
          </cell>
          <cell r="AK5956" t="str">
            <v>Samuel Desta</v>
          </cell>
        </row>
        <row r="5957">
          <cell r="C5957" t="str">
            <v>IC_BA_PTier_Support_21_Q1Q2</v>
          </cell>
          <cell r="H5957">
            <v>5041644</v>
          </cell>
          <cell r="AK5957" t="str">
            <v>James Jeffries</v>
          </cell>
        </row>
        <row r="5958">
          <cell r="C5958" t="str">
            <v>Founders Bank</v>
          </cell>
          <cell r="H5958">
            <v>5043087</v>
          </cell>
          <cell r="AK5958" t="str">
            <v>Patrice Nye</v>
          </cell>
        </row>
        <row r="5959">
          <cell r="C5959" t="str">
            <v>Ally_LOC Product Launch Planning</v>
          </cell>
          <cell r="H5959">
            <v>5041754</v>
          </cell>
          <cell r="AK5959" t="str">
            <v>Michael Crumpler</v>
          </cell>
        </row>
        <row r="5960">
          <cell r="C5960" t="str">
            <v>MS_Tech&amp;Ops_COO_Future of Work</v>
          </cell>
          <cell r="H5960">
            <v>5041691</v>
          </cell>
          <cell r="AK5960" t="str">
            <v>Mitali Drews</v>
          </cell>
        </row>
        <row r="5961">
          <cell r="C5961" t="str">
            <v>KB_e2e mortgage execution</v>
          </cell>
          <cell r="H5961">
            <v>5041761</v>
          </cell>
          <cell r="AK5961" t="str">
            <v>Mike Peretz</v>
          </cell>
        </row>
        <row r="5962">
          <cell r="C5962" t="str">
            <v>SVB_IT_Tech Modernization Support</v>
          </cell>
          <cell r="H5962">
            <v>5041785</v>
          </cell>
          <cell r="AK5962" t="str">
            <v>Chinmoy Bhatiya</v>
          </cell>
        </row>
        <row r="5963">
          <cell r="C5963" t="str">
            <v>MS_WM_S&amp;A Advisory Trading Brock Vaughn Extension</v>
          </cell>
          <cell r="H5963">
            <v>5040949</v>
          </cell>
          <cell r="AK5963" t="str">
            <v>Rayna Gittelman</v>
          </cell>
        </row>
        <row r="5964">
          <cell r="C5964" t="str">
            <v>FNB South TRID Reviews 2021</v>
          </cell>
          <cell r="H5964">
            <v>5041892</v>
          </cell>
          <cell r="AK5964" t="str">
            <v>Juan Pimentel</v>
          </cell>
        </row>
        <row r="5965">
          <cell r="C5965" t="str">
            <v>MS_WM_REM_ETrade Contract Management</v>
          </cell>
          <cell r="H5965">
            <v>5041781</v>
          </cell>
          <cell r="AK5965" t="str">
            <v>Dan Schutzman</v>
          </cell>
        </row>
        <row r="5966">
          <cell r="C5966" t="str">
            <v>Transcend Implementation Extension</v>
          </cell>
          <cell r="H5966">
            <v>5039334</v>
          </cell>
          <cell r="AK5966" t="str">
            <v>Matthew Rodgers</v>
          </cell>
        </row>
        <row r="5967">
          <cell r="C5967" t="str">
            <v>KB_ECR Assessment</v>
          </cell>
          <cell r="H5967">
            <v>5041820</v>
          </cell>
          <cell r="AK5967" t="str">
            <v>Burt Yeo</v>
          </cell>
        </row>
        <row r="5968">
          <cell r="C5968" t="str">
            <v>UBS WMAP- Readiness Support 2021 Extension</v>
          </cell>
          <cell r="H5968">
            <v>5041340</v>
          </cell>
          <cell r="AK5968" t="str">
            <v>James St. Jean</v>
          </cell>
        </row>
        <row r="5969">
          <cell r="C5969" t="str">
            <v>SVB_MDM Process Definition</v>
          </cell>
          <cell r="H5969">
            <v>5041783</v>
          </cell>
          <cell r="AK5969" t="str">
            <v>Ridha Mesli</v>
          </cell>
        </row>
        <row r="5970">
          <cell r="C5970" t="str">
            <v>MS_WM_UAT Financial Planning_US</v>
          </cell>
          <cell r="H5970">
            <v>5041798</v>
          </cell>
          <cell r="AK5970" t="str">
            <v>Balaji Ramamurthy</v>
          </cell>
        </row>
        <row r="5971">
          <cell r="C5971" t="str">
            <v>Jeff_Risk Based Capital Program Manager</v>
          </cell>
          <cell r="H5971">
            <v>5041716</v>
          </cell>
          <cell r="AK5971" t="str">
            <v>Chelsea Mattias</v>
          </cell>
        </row>
        <row r="5972">
          <cell r="C5972" t="str">
            <v>MS_WM_CIS_eTrade Analytical Support Incremental</v>
          </cell>
          <cell r="H5972">
            <v>5041051</v>
          </cell>
          <cell r="AK5972" t="str">
            <v>Robin Williams</v>
          </cell>
        </row>
        <row r="5973">
          <cell r="C5973" t="str">
            <v>My Benefit Resources Product Owner</v>
          </cell>
          <cell r="H5973">
            <v>5041827</v>
          </cell>
          <cell r="AK5973" t="str">
            <v>Eric Fairchild</v>
          </cell>
        </row>
        <row r="5974">
          <cell r="C5974" t="str">
            <v>MS_REM_TPPM_Adam Fahlikman Extension</v>
          </cell>
          <cell r="H5974">
            <v>5041371</v>
          </cell>
          <cell r="AK5974" t="str">
            <v>Dan Schutzman</v>
          </cell>
        </row>
        <row r="5975">
          <cell r="C5975" t="str">
            <v>Noah Bank - BSA Risk Assessments</v>
          </cell>
          <cell r="H5975">
            <v>5041748</v>
          </cell>
          <cell r="AK5975" t="str">
            <v>Patrice Nye</v>
          </cell>
        </row>
        <row r="5976">
          <cell r="C5976" t="str">
            <v>HSBC-HOST-OCC Remediation Data PM (1) - PB</v>
          </cell>
          <cell r="H5976">
            <v>5041810</v>
          </cell>
          <cell r="AK5976" t="str">
            <v>Steven D'Angelo</v>
          </cell>
        </row>
        <row r="5977">
          <cell r="C5977" t="str">
            <v>MS_DataCOE_Celonis Expansion</v>
          </cell>
          <cell r="H5977">
            <v>5041848</v>
          </cell>
          <cell r="AK5977" t="str">
            <v>Audra Schoenfeldt Furer</v>
          </cell>
        </row>
        <row r="5978">
          <cell r="C5978" t="str">
            <v>HSBC-HOST-OCC Remediation Data PM (2) - KB</v>
          </cell>
          <cell r="H5978">
            <v>5041807</v>
          </cell>
          <cell r="AK5978" t="str">
            <v>Peter Brown</v>
          </cell>
        </row>
        <row r="5979">
          <cell r="C5979" t="str">
            <v>VRTX CM_BSA Risk Assessment</v>
          </cell>
          <cell r="H5979">
            <v>5043012</v>
          </cell>
          <cell r="AK5979" t="str">
            <v>Aiswarya Parameswaran</v>
          </cell>
        </row>
        <row r="5980">
          <cell r="C5980" t="str">
            <v>FT - Cost Reduction Strategy</v>
          </cell>
          <cell r="H5980">
            <v>5041847</v>
          </cell>
          <cell r="AK5980" t="str">
            <v>Matthew Berkowitz</v>
          </cell>
        </row>
        <row r="5981">
          <cell r="C5981" t="str">
            <v>WSFS - BSA EDD Review</v>
          </cell>
          <cell r="H5981">
            <v>5041825</v>
          </cell>
          <cell r="AK5981" t="str">
            <v>Aiswarya Parameswaran</v>
          </cell>
        </row>
        <row r="5982">
          <cell r="C5982" t="str">
            <v>PM Support for TP BT70v4</v>
          </cell>
          <cell r="H5982">
            <v>5041893</v>
          </cell>
          <cell r="AK5982" t="str">
            <v>Eric Fairchild</v>
          </cell>
        </row>
        <row r="5983">
          <cell r="C5983" t="str">
            <v>Customers Bank- Reg Data Feed</v>
          </cell>
          <cell r="H5983">
            <v>5041992</v>
          </cell>
          <cell r="AK5983" t="str">
            <v>Leah Robinson</v>
          </cell>
        </row>
        <row r="5984">
          <cell r="C5984" t="str">
            <v>Equities Risk Project Manager</v>
          </cell>
          <cell r="H5984">
            <v>5042148</v>
          </cell>
          <cell r="AK5984" t="str">
            <v>Chelsea Mattias</v>
          </cell>
        </row>
        <row r="5985">
          <cell r="C5985" t="str">
            <v>Change Order for 2020 HMDA 5040389</v>
          </cell>
          <cell r="H5985">
            <v>5040389</v>
          </cell>
          <cell r="AK5985" t="str">
            <v>Juan Pimentel</v>
          </cell>
        </row>
        <row r="5986">
          <cell r="C5986" t="str">
            <v>Centennial HMDA Reviews 2021-2022</v>
          </cell>
          <cell r="H5986">
            <v>5041842</v>
          </cell>
          <cell r="AK5986" t="str">
            <v>Juan Pimentel</v>
          </cell>
        </row>
        <row r="5987">
          <cell r="C5987" t="str">
            <v>MS_WM_DOL_Reg Response</v>
          </cell>
          <cell r="H5987">
            <v>5041925</v>
          </cell>
          <cell r="AK5987" t="str">
            <v>Leah Watson</v>
          </cell>
        </row>
        <row r="5988">
          <cell r="C5988" t="str">
            <v>VNB - TPRM Data Analysis</v>
          </cell>
          <cell r="H5988">
            <v>5041886</v>
          </cell>
          <cell r="AK5988" t="str">
            <v>Aiswarya Parameswaran</v>
          </cell>
        </row>
        <row r="5989">
          <cell r="C5989" t="str">
            <v>HSBC-HOST-OCC Remediation Data PM (3) - MR</v>
          </cell>
          <cell r="H5989">
            <v>5041809</v>
          </cell>
          <cell r="AK5989" t="str">
            <v>Peter Brown</v>
          </cell>
        </row>
        <row r="5990">
          <cell r="C5990" t="str">
            <v>Hanover Bank HMDA Reviews20-21</v>
          </cell>
          <cell r="H5990">
            <v>5041815</v>
          </cell>
          <cell r="AK5990" t="str">
            <v>Juan Pimentel</v>
          </cell>
        </row>
        <row r="5991">
          <cell r="C5991" t="str">
            <v>SVB_PR_GW 2021 Core UI-UX Q1- Additional Role</v>
          </cell>
          <cell r="H5991">
            <v>5041327</v>
          </cell>
          <cell r="AK5991" t="str">
            <v>Thomas Wendt</v>
          </cell>
        </row>
        <row r="5992">
          <cell r="C5992" t="str">
            <v>PB_UDAAP Reviews Collection</v>
          </cell>
          <cell r="H5992">
            <v>5042180</v>
          </cell>
          <cell r="AK5992" t="str">
            <v>Delsys Salas</v>
          </cell>
        </row>
        <row r="5993">
          <cell r="C5993" t="str">
            <v>MS ISG Bangalore NY Ext</v>
          </cell>
          <cell r="H5993">
            <v>5041368</v>
          </cell>
          <cell r="AK5993" t="str">
            <v>Mitali Drews</v>
          </cell>
        </row>
        <row r="5994">
          <cell r="C5994" t="str">
            <v>WATB - Marketing Lookback Validation Test Extension II</v>
          </cell>
          <cell r="H5994">
            <v>5042029</v>
          </cell>
          <cell r="AK5994" t="str">
            <v>Mary Louise Radley</v>
          </cell>
        </row>
        <row r="5995">
          <cell r="C5995" t="str">
            <v>MS PBO ETrade Support</v>
          </cell>
          <cell r="H5995">
            <v>5041379</v>
          </cell>
          <cell r="AK5995" t="str">
            <v>Vishal Vyas</v>
          </cell>
        </row>
        <row r="5996">
          <cell r="C5996" t="str">
            <v>Jeff IT Risk|Control Review 2</v>
          </cell>
          <cell r="H5996">
            <v>5038935</v>
          </cell>
          <cell r="AK5996" t="str">
            <v>Justin Gonlag</v>
          </cell>
        </row>
        <row r="5997">
          <cell r="C5997" t="str">
            <v>ACI_Digital Roadmap P2 - Planning EXT</v>
          </cell>
          <cell r="H5997">
            <v>5042027</v>
          </cell>
          <cell r="AK5997" t="str">
            <v>Brigitte Diebold</v>
          </cell>
        </row>
        <row r="5998">
          <cell r="C5998" t="str">
            <v>UB_112_RB PSRA Support</v>
          </cell>
          <cell r="H5998">
            <v>5041948</v>
          </cell>
          <cell r="AK5998" t="str">
            <v>Samuel Awsumb</v>
          </cell>
        </row>
        <row r="5999">
          <cell r="C5999" t="str">
            <v>IBOR Tech Team Phase 2</v>
          </cell>
          <cell r="H5999">
            <v>5041449</v>
          </cell>
          <cell r="AK5999" t="str">
            <v>Conor Dowling</v>
          </cell>
        </row>
        <row r="6000">
          <cell r="C6000" t="str">
            <v>WM Advisory Trading Extensions 2021</v>
          </cell>
          <cell r="H6000">
            <v>5040949</v>
          </cell>
          <cell r="AK6000" t="str">
            <v>Rayna Gittelman</v>
          </cell>
        </row>
        <row r="6001">
          <cell r="C6001" t="str">
            <v>ICG Financial Resource Management 2021 Q2</v>
          </cell>
          <cell r="H6001">
            <v>5039302</v>
          </cell>
          <cell r="AK6001" t="str">
            <v>Ervinas Janavicius</v>
          </cell>
        </row>
        <row r="6002">
          <cell r="C6002" t="str">
            <v>ANBTX HMDA CRA Reviews 2021-2022</v>
          </cell>
          <cell r="H6002">
            <v>5042025</v>
          </cell>
          <cell r="AK6002" t="str">
            <v>Juan Pimentel</v>
          </cell>
        </row>
        <row r="6003">
          <cell r="C6003" t="str">
            <v>Unified Bank-ID Theft Red Flag RA</v>
          </cell>
          <cell r="H6003">
            <v>5041795</v>
          </cell>
          <cell r="AK6003" t="str">
            <v>Robert Farmer</v>
          </cell>
        </row>
        <row r="6004">
          <cell r="C6004" t="str">
            <v>STSC_Onboard, AML &amp;Sanct Ctrls</v>
          </cell>
          <cell r="H6004">
            <v>5042044</v>
          </cell>
          <cell r="AK6004" t="str">
            <v>Paul McCabe</v>
          </cell>
        </row>
        <row r="6005">
          <cell r="C6005" t="str">
            <v>Berkshire Bank_SBA7(a) Audit</v>
          </cell>
          <cell r="H6005">
            <v>5041871</v>
          </cell>
          <cell r="AK6005" t="str">
            <v>Lawana Clark</v>
          </cell>
        </row>
        <row r="6006">
          <cell r="C6006" t="str">
            <v>SVB_Flex 2021</v>
          </cell>
          <cell r="H6006">
            <v>5042067</v>
          </cell>
          <cell r="AK6006" t="str">
            <v>Karl Augenstein</v>
          </cell>
        </row>
        <row r="6007">
          <cell r="C6007" t="str">
            <v>SVB_BD_DCAM A&amp;P</v>
          </cell>
          <cell r="H6007">
            <v>5042196</v>
          </cell>
          <cell r="AK6007" t="str">
            <v>Ridha Mesli</v>
          </cell>
        </row>
        <row r="6008">
          <cell r="C6008" t="str">
            <v>Ally_Strategic Deposit Initiative Support</v>
          </cell>
          <cell r="H6008">
            <v>5041243</v>
          </cell>
          <cell r="AK6008" t="str">
            <v>Michael Crumpler</v>
          </cell>
        </row>
        <row r="6009">
          <cell r="C6009" t="str">
            <v>Fiserv FCRM review</v>
          </cell>
          <cell r="H6009">
            <v>5041870</v>
          </cell>
          <cell r="AK6009" t="str">
            <v>William Sachs</v>
          </cell>
        </row>
        <row r="6010">
          <cell r="C6010" t="str">
            <v>GS Wealth 2021 Q2</v>
          </cell>
          <cell r="H6010">
            <v>5042146</v>
          </cell>
          <cell r="AK6010" t="str">
            <v>Robert Norris</v>
          </cell>
        </row>
        <row r="6011">
          <cell r="C6011" t="str">
            <v>Shoko Chukin Bank Ltd.</v>
          </cell>
          <cell r="H6011">
            <v>5041782</v>
          </cell>
          <cell r="AK6011" t="str">
            <v>William Sachs</v>
          </cell>
        </row>
        <row r="6012">
          <cell r="C6012" t="str">
            <v>HSBC-WPB-Transformation PM|BA Rate Update</v>
          </cell>
          <cell r="H6012">
            <v>5041365</v>
          </cell>
          <cell r="AK6012" t="str">
            <v>Peter Brown</v>
          </cell>
        </row>
        <row r="6013">
          <cell r="C6013" t="str">
            <v>Jefferies AML Analyst Ext</v>
          </cell>
          <cell r="H6013">
            <v>5041699</v>
          </cell>
          <cell r="AK6013" t="str">
            <v>Chelsea Mattias</v>
          </cell>
        </row>
        <row r="6014">
          <cell r="C6014" t="str">
            <v>OceanFirst-  BSA/AML Independent Audit</v>
          </cell>
          <cell r="H6014">
            <v>5042073</v>
          </cell>
          <cell r="AK6014" t="str">
            <v>Mary Louise Radley</v>
          </cell>
        </row>
        <row r="6015">
          <cell r="C6015" t="str">
            <v>RBCUS_CNB PMO Extension</v>
          </cell>
          <cell r="H6015">
            <v>5038707</v>
          </cell>
          <cell r="AK6015" t="str">
            <v>Carl Repoli</v>
          </cell>
        </row>
        <row r="6016">
          <cell r="C6016" t="str">
            <v>SVB_PR_TAG Pod Product Manager 2</v>
          </cell>
          <cell r="H6016">
            <v>5040669</v>
          </cell>
          <cell r="AK6016" t="str">
            <v>Kyle Chavers</v>
          </cell>
        </row>
        <row r="6017">
          <cell r="C6017" t="str">
            <v>GS CAT Extension April</v>
          </cell>
          <cell r="H6017">
            <v>5042130</v>
          </cell>
          <cell r="AK6017" t="str">
            <v>Parul Chowdhry</v>
          </cell>
        </row>
        <row r="6018">
          <cell r="C6018" t="str">
            <v>BBA Mortgage Review</v>
          </cell>
          <cell r="H6018">
            <v>5042151</v>
          </cell>
          <cell r="AK6018" t="str">
            <v>Juan Pimentel</v>
          </cell>
        </row>
        <row r="6019">
          <cell r="C6019" t="str">
            <v>DB_CB T4O Team Extension Q2 2021</v>
          </cell>
          <cell r="H6019">
            <v>5041373</v>
          </cell>
          <cell r="AK6019" t="str">
            <v>Sandra Paris</v>
          </cell>
        </row>
        <row r="6020">
          <cell r="C6020" t="str">
            <v>BEA - 2021 SOW Complaince Consulting</v>
          </cell>
          <cell r="H6020">
            <v>5041612</v>
          </cell>
          <cell r="AK6020" t="str">
            <v>David Belfer</v>
          </cell>
        </row>
        <row r="6021">
          <cell r="C6021" t="str">
            <v>MS_Innovation Design Thinking Extension</v>
          </cell>
          <cell r="H6021">
            <v>5042032</v>
          </cell>
          <cell r="AK6021" t="str">
            <v>Brendan Gleason</v>
          </cell>
        </row>
        <row r="6022">
          <cell r="C6022" t="str">
            <v>JMB_BSA AML OFAC Assmnt</v>
          </cell>
          <cell r="H6022">
            <v>5041816</v>
          </cell>
          <cell r="AK6022" t="str">
            <v>William Sachs</v>
          </cell>
        </row>
        <row r="6023">
          <cell r="C6023" t="str">
            <v>WashingtonTrust-ERM Diagnostic</v>
          </cell>
          <cell r="H6023">
            <v>5041833</v>
          </cell>
          <cell r="AK6023" t="str">
            <v>Tania Makuh</v>
          </cell>
        </row>
        <row r="6024">
          <cell r="C6024" t="str">
            <v>UB_107_RB_MRA Reg PM CO2</v>
          </cell>
          <cell r="H6024">
            <v>5039051</v>
          </cell>
          <cell r="AK6024" t="str">
            <v>Samuel Awsumb</v>
          </cell>
        </row>
        <row r="6025">
          <cell r="C6025" t="str">
            <v>SVB_ODP Architecture</v>
          </cell>
          <cell r="H6025">
            <v>5040215</v>
          </cell>
          <cell r="AK6025" t="str">
            <v>Kyle Chavers</v>
          </cell>
        </row>
        <row r="6026">
          <cell r="C6026" t="str">
            <v>SVB_BD_ODP IAM Support</v>
          </cell>
          <cell r="H6026">
            <v>5040909</v>
          </cell>
          <cell r="AK6026" t="str">
            <v>Ridha Mesli</v>
          </cell>
        </row>
        <row r="6027">
          <cell r="C6027" t="str">
            <v>GS GSAM 2021 Program Management Q2</v>
          </cell>
          <cell r="H6027">
            <v>5041438</v>
          </cell>
          <cell r="AK6027" t="str">
            <v>Parul Chowdhry</v>
          </cell>
        </row>
        <row r="6028">
          <cell r="C6028" t="str">
            <v>ERM COO Support Extension</v>
          </cell>
          <cell r="H6028">
            <v>5041466</v>
          </cell>
          <cell r="AK6028" t="str">
            <v>Michael Martinen</v>
          </cell>
        </row>
        <row r="6029">
          <cell r="C6029" t="str">
            <v>ABS_AGRC ImplementatinConsultg</v>
          </cell>
          <cell r="H6029">
            <v>5042061</v>
          </cell>
          <cell r="AK6029" t="str">
            <v>Tania Makuh</v>
          </cell>
        </row>
        <row r="6030">
          <cell r="C6030" t="str">
            <v>Jefferies SecFinance RPA Contractor</v>
          </cell>
          <cell r="H6030">
            <v>5039905</v>
          </cell>
          <cell r="AK6030" t="str">
            <v>Scott Kennedy</v>
          </cell>
        </row>
        <row r="6031">
          <cell r="C6031" t="str">
            <v>DB Wealth Condor - Go Live support ext.</v>
          </cell>
          <cell r="H6031">
            <v>5042024</v>
          </cell>
          <cell r="AK6031" t="str">
            <v>Phil Kerkel</v>
          </cell>
        </row>
        <row r="6032">
          <cell r="C6032" t="str">
            <v>Enigma - Truist Offshore Support</v>
          </cell>
          <cell r="H6032">
            <v>5041318</v>
          </cell>
          <cell r="AK6032" t="str">
            <v>Brett Knickle</v>
          </cell>
        </row>
        <row r="6033">
          <cell r="C6033" t="str">
            <v>UBS DMP-CUSO Ext. Syed</v>
          </cell>
          <cell r="H6033">
            <v>5041138</v>
          </cell>
          <cell r="AK6033" t="str">
            <v>Maximilian Mauro</v>
          </cell>
        </row>
        <row r="6034">
          <cell r="C6034" t="str">
            <v>USAA MBT Support</v>
          </cell>
          <cell r="H6034">
            <v>5042035</v>
          </cell>
          <cell r="AK6034" t="str">
            <v>Samuel Desta</v>
          </cell>
        </row>
        <row r="6035">
          <cell r="C6035" t="str">
            <v>FrMc_ILM Q2</v>
          </cell>
          <cell r="H6035">
            <v>5041141</v>
          </cell>
          <cell r="AK6035" t="str">
            <v>Thadi Murali</v>
          </cell>
        </row>
        <row r="6036">
          <cell r="C6036" t="str">
            <v>FrMc_CSP H2 - 2021</v>
          </cell>
          <cell r="H6036">
            <v>5041142</v>
          </cell>
          <cell r="AK6036" t="str">
            <v>Thomas Wilson</v>
          </cell>
        </row>
        <row r="6037">
          <cell r="C6037" t="str">
            <v>SFG_Compliance Risk Assessment</v>
          </cell>
          <cell r="H6037">
            <v>5042019</v>
          </cell>
          <cell r="AK6037" t="str">
            <v>Kristina Slattery</v>
          </cell>
        </row>
        <row r="6038">
          <cell r="C6038" t="str">
            <v>Cont Planning - HBT PM Support 2021</v>
          </cell>
          <cell r="H6038">
            <v>5042068</v>
          </cell>
          <cell r="AK6038" t="str">
            <v>Eric Fairchild</v>
          </cell>
        </row>
        <row r="6039">
          <cell r="C6039" t="str">
            <v>Behalf Inc.-Compl Co-Sourcing</v>
          </cell>
          <cell r="H6039">
            <v>5041732</v>
          </cell>
          <cell r="AK6039" t="str">
            <v>Louvera Walden</v>
          </cell>
        </row>
        <row r="6040">
          <cell r="C6040" t="str">
            <v>FrMc_MF Keychain</v>
          </cell>
          <cell r="H6040">
            <v>5042074</v>
          </cell>
          <cell r="AK6040" t="str">
            <v>Kalkidan Tedla</v>
          </cell>
        </row>
        <row r="6041">
          <cell r="C6041" t="str">
            <v>EnvisionBnk_HMDA Reviews_21-22</v>
          </cell>
          <cell r="H6041">
            <v>5042152</v>
          </cell>
          <cell r="AK6041" t="str">
            <v>Juan Pimentel</v>
          </cell>
        </row>
        <row r="6042">
          <cell r="C6042" t="str">
            <v>WATRUST HMDA Reviews 2021-2022</v>
          </cell>
          <cell r="H6042">
            <v>5041907</v>
          </cell>
          <cell r="AK6042" t="str">
            <v>Juan Pimentel</v>
          </cell>
        </row>
        <row r="6043">
          <cell r="C6043" t="str">
            <v>FIS IMO Q2 2021 Ext</v>
          </cell>
          <cell r="H6043">
            <v>5042063</v>
          </cell>
          <cell r="AK6043" t="str">
            <v>Michelle Leon</v>
          </cell>
        </row>
        <row r="6044">
          <cell r="C6044" t="str">
            <v>Boston Private HMDA 2021 Reviews</v>
          </cell>
          <cell r="H6044">
            <v>5041856</v>
          </cell>
          <cell r="AK6044" t="str">
            <v>Juan Pimentel</v>
          </cell>
        </row>
        <row r="6045">
          <cell r="C6045" t="str">
            <v>Arundel FSB - MQC</v>
          </cell>
          <cell r="H6045">
            <v>5042545</v>
          </cell>
          <cell r="AK6045" t="str">
            <v>Keith Cole</v>
          </cell>
        </row>
        <row r="6046">
          <cell r="C6046" t="str">
            <v>CCCU_eCommerce Risk Assessment</v>
          </cell>
          <cell r="H6046">
            <v>5041947</v>
          </cell>
          <cell r="AK6046" t="str">
            <v>Robert Farmer</v>
          </cell>
        </row>
        <row r="6047">
          <cell r="C6047" t="str">
            <v>Vystar FL Risk Assessment</v>
          </cell>
          <cell r="H6047">
            <v>5041874</v>
          </cell>
          <cell r="AK6047" t="str">
            <v>Pamela Acciardo</v>
          </cell>
        </row>
        <row r="6048">
          <cell r="C6048" t="str">
            <v>Kearny Bank - Fair Lending Consulting</v>
          </cell>
          <cell r="H6048">
            <v>5042304</v>
          </cell>
          <cell r="AK6048" t="str">
            <v>Gail Rassler</v>
          </cell>
        </row>
        <row r="6049">
          <cell r="C6049" t="str">
            <v>USAA SCRA Audit Support</v>
          </cell>
          <cell r="H6049">
            <v>5042447</v>
          </cell>
          <cell r="AK6049" t="str">
            <v>Samuel Desta</v>
          </cell>
        </row>
        <row r="6050">
          <cell r="C6050" t="str">
            <v>ABS_GRC Support Services</v>
          </cell>
          <cell r="H6050">
            <v>5042062</v>
          </cell>
          <cell r="AK6050" t="str">
            <v>Gregg Henzel</v>
          </cell>
        </row>
        <row r="6051">
          <cell r="C6051" t="str">
            <v>Apiture_2021 Phase</v>
          </cell>
          <cell r="H6051">
            <v>5042028</v>
          </cell>
          <cell r="AK6051" t="str">
            <v>Kevin Miologos</v>
          </cell>
        </row>
        <row r="6052">
          <cell r="C6052" t="str">
            <v>MS_WM_CIS_eTrade Analytical Support Extension</v>
          </cell>
          <cell r="H6052">
            <v>5041051</v>
          </cell>
          <cell r="AK6052" t="str">
            <v>Robin Williams</v>
          </cell>
        </row>
        <row r="6053">
          <cell r="C6053" t="str">
            <v>MSC HMDA/ Banco do Brasil</v>
          </cell>
          <cell r="H6053">
            <v>5042045</v>
          </cell>
          <cell r="AK6053" t="str">
            <v>Juan Pimentel</v>
          </cell>
        </row>
        <row r="6054">
          <cell r="C6054" t="str">
            <v>FrMc_ICM Q2</v>
          </cell>
          <cell r="H6054">
            <v>5042185</v>
          </cell>
          <cell r="AK6054" t="str">
            <v>Jeliaz Chtilianov</v>
          </cell>
        </row>
        <row r="6055">
          <cell r="C6055" t="str">
            <v>HSBC-GBM-Arranged Finance Phase 3 Q2 2021 Extension</v>
          </cell>
          <cell r="H6055">
            <v>5041337</v>
          </cell>
          <cell r="AK6055" t="str">
            <v>Peter Brown</v>
          </cell>
        </row>
        <row r="6056">
          <cell r="C6056" t="str">
            <v>Better Mortgage- TRID Remediation - Phase 1</v>
          </cell>
          <cell r="H6056">
            <v>5042169</v>
          </cell>
          <cell r="AK6056" t="str">
            <v>Andy Pomeroy</v>
          </cell>
        </row>
        <row r="6057">
          <cell r="C6057" t="str">
            <v>HSBC-RSK-DMA Rate Update &amp; Ext</v>
          </cell>
          <cell r="H6057">
            <v>5038104</v>
          </cell>
          <cell r="AK6057" t="str">
            <v>Peter Brown</v>
          </cell>
        </row>
        <row r="6058">
          <cell r="C6058" t="str">
            <v>SVB_BD_PR_GW 2021 Implem Supt Q2</v>
          </cell>
          <cell r="H6058">
            <v>5040895</v>
          </cell>
          <cell r="AK6058" t="str">
            <v>Michael Tao</v>
          </cell>
        </row>
        <row r="6059">
          <cell r="C6059" t="str">
            <v>MS_WM_Investment Platforms PMO 2021</v>
          </cell>
          <cell r="H6059">
            <v>5041283</v>
          </cell>
          <cell r="AK6059" t="str">
            <v>Rayna Gittelman</v>
          </cell>
        </row>
        <row r="6060">
          <cell r="C6060" t="str">
            <v>Enterprise Ops AMD 3</v>
          </cell>
          <cell r="H6060">
            <v>5040322</v>
          </cell>
          <cell r="AK6060" t="str">
            <v>Michael Mathew</v>
          </cell>
        </row>
        <row r="6061">
          <cell r="C6061" t="str">
            <v>PMO Support Ph 3</v>
          </cell>
          <cell r="H6061">
            <v>5041294</v>
          </cell>
          <cell r="AK6061" t="str">
            <v>Eric Fairchild</v>
          </cell>
        </row>
        <row r="6062">
          <cell r="C6062" t="str">
            <v>UBS Negative News Support</v>
          </cell>
          <cell r="H6062">
            <v>5040768</v>
          </cell>
          <cell r="AK6062" t="str">
            <v>Kristi Hegert</v>
          </cell>
        </row>
        <row r="6063">
          <cell r="C6063" t="str">
            <v>EGM - Truist Dev Delivery Ext</v>
          </cell>
          <cell r="H6063">
            <v>5042036</v>
          </cell>
          <cell r="AK6063" t="str">
            <v>Brett Knickle</v>
          </cell>
        </row>
        <row r="6064">
          <cell r="C6064" t="str">
            <v>Cyber Risk Assessment</v>
          </cell>
          <cell r="H6064">
            <v>5041876</v>
          </cell>
          <cell r="AK6064" t="str">
            <v>Boris Mallet</v>
          </cell>
        </row>
        <row r="6065">
          <cell r="C6065" t="str">
            <v>015_IT-VT-SVTO Extension</v>
          </cell>
          <cell r="H6065">
            <v>5042067</v>
          </cell>
          <cell r="AK6065" t="str">
            <v>Karl Augenstein</v>
          </cell>
        </row>
        <row r="6066">
          <cell r="C6066" t="str">
            <v>CNB VMO SA2</v>
          </cell>
          <cell r="H6066">
            <v>5041598</v>
          </cell>
          <cell r="AK6066" t="str">
            <v>Tyreek Trammell</v>
          </cell>
        </row>
        <row r="6067">
          <cell r="C6067" t="str">
            <v>Reg IM IT PMO Support</v>
          </cell>
          <cell r="H6067">
            <v>5040507</v>
          </cell>
          <cell r="AK6067" t="str">
            <v>Kaley Pomerantz</v>
          </cell>
        </row>
        <row r="6068">
          <cell r="C6068" t="str">
            <v>DB Wealth Core Platform - Finance and Tax</v>
          </cell>
          <cell r="H6068">
            <v>5042158</v>
          </cell>
          <cell r="AK6068" t="str">
            <v>Phil Kerkel</v>
          </cell>
        </row>
        <row r="6069">
          <cell r="C6069" t="str">
            <v>MECU Lender's Training</v>
          </cell>
          <cell r="H6069">
            <v>5042030</v>
          </cell>
          <cell r="AK6069" t="str">
            <v>Diane Banks</v>
          </cell>
        </row>
        <row r="6070">
          <cell r="C6070" t="str">
            <v>Reg IM Central PMO</v>
          </cell>
          <cell r="H6070">
            <v>5040513</v>
          </cell>
          <cell r="AK6070" t="str">
            <v>Kaley Pomerantz</v>
          </cell>
        </row>
        <row r="6071">
          <cell r="C6071" t="str">
            <v>InvestCloud Support</v>
          </cell>
          <cell r="H6071">
            <v>5042046</v>
          </cell>
          <cell r="AK6071" t="str">
            <v>Brian DeDonato</v>
          </cell>
        </row>
        <row r="6072">
          <cell r="C6072" t="str">
            <v>MS_ISG_ISGPO_Trading Ops PB F2B</v>
          </cell>
          <cell r="H6072">
            <v>5041107</v>
          </cell>
          <cell r="AK6072" t="str">
            <v>Mitali Drews</v>
          </cell>
        </row>
        <row r="6073">
          <cell r="C6073" t="str">
            <v>MS_ISG_FID Strats_Program Lead</v>
          </cell>
          <cell r="H6073">
            <v>5041052</v>
          </cell>
          <cell r="AK6073" t="str">
            <v>Mitali Drews</v>
          </cell>
        </row>
        <row r="6074">
          <cell r="C6074" t="str">
            <v>Amerant Bank_ HMDA 2021</v>
          </cell>
          <cell r="H6074">
            <v>5042100</v>
          </cell>
          <cell r="AK6074" t="str">
            <v>Juan Pimentel</v>
          </cell>
        </row>
        <row r="6075">
          <cell r="C6075" t="str">
            <v>MS_WM_UAT Financial Planning_India</v>
          </cell>
          <cell r="H6075">
            <v>5041798</v>
          </cell>
          <cell r="AK6075" t="str">
            <v>Balaji Ramamurthy</v>
          </cell>
        </row>
        <row r="6076">
          <cell r="C6076" t="str">
            <v>Broadridge WMAP Dependency Tracking PM</v>
          </cell>
          <cell r="H6076">
            <v>5041342</v>
          </cell>
          <cell r="AK6076" t="str">
            <v>Phil Kerkel</v>
          </cell>
        </row>
        <row r="6077">
          <cell r="C6077" t="str">
            <v>SD Compliance EQ Developer</v>
          </cell>
          <cell r="H6077">
            <v>5039022</v>
          </cell>
          <cell r="AK6077" t="str">
            <v>Chelsea Mattias</v>
          </cell>
        </row>
        <row r="6078">
          <cell r="C6078" t="str">
            <v>Prudential Independent Agent Advisory</v>
          </cell>
          <cell r="H6078">
            <v>5042159</v>
          </cell>
          <cell r="AK6078" t="str">
            <v>Phil Kerkel</v>
          </cell>
        </row>
        <row r="6079">
          <cell r="C6079" t="str">
            <v>Santander_Operation Command Center</v>
          </cell>
          <cell r="H6079">
            <v>5042176</v>
          </cell>
          <cell r="AK6079" t="str">
            <v>Ridha Mesli</v>
          </cell>
        </row>
        <row r="6080">
          <cell r="C6080" t="str">
            <v>Howard Bank_Compliance Review</v>
          </cell>
          <cell r="H6080">
            <v>5042099</v>
          </cell>
          <cell r="AK6080" t="str">
            <v>David Stalnaker</v>
          </cell>
        </row>
        <row r="6081">
          <cell r="C6081" t="str">
            <v>HNB Mtg Servicing-Investor/ Default Reporting</v>
          </cell>
          <cell r="H6081">
            <v>5042170</v>
          </cell>
          <cell r="AK6081" t="str">
            <v>Linda Graham</v>
          </cell>
        </row>
        <row r="6082">
          <cell r="C6082" t="str">
            <v>HSBC-CMB-Digital Comms Rate Update</v>
          </cell>
          <cell r="H6082">
            <v>5037274</v>
          </cell>
          <cell r="AK6082" t="str">
            <v>Peter Brown</v>
          </cell>
        </row>
        <row r="6083">
          <cell r="C6083" t="str">
            <v>HSBC-DBS-OCC Remediation Data Analyst (2) - SX</v>
          </cell>
          <cell r="H6083">
            <v>5042256</v>
          </cell>
          <cell r="AK6083" t="str">
            <v>Peter Brown</v>
          </cell>
        </row>
        <row r="6084">
          <cell r="C6084" t="str">
            <v>HSBC-DBS-OCC Remediation Data Analyst (1) - MH</v>
          </cell>
          <cell r="H6084">
            <v>5042260</v>
          </cell>
          <cell r="AK6084" t="str">
            <v>Peter Brown</v>
          </cell>
        </row>
        <row r="6085">
          <cell r="C6085" t="str">
            <v>Wells Fargo Corporate Risk Project Review</v>
          </cell>
          <cell r="H6085">
            <v>5042186</v>
          </cell>
          <cell r="AK6085" t="str">
            <v>Zac Ross</v>
          </cell>
        </row>
        <row r="6086">
          <cell r="C6086" t="str">
            <v>MS_ISG_ISGPO_Trading Ops Synd PMO</v>
          </cell>
          <cell r="H6086">
            <v>5041107</v>
          </cell>
          <cell r="AK6086" t="str">
            <v>Mitali Drews</v>
          </cell>
        </row>
        <row r="6087">
          <cell r="C6087" t="str">
            <v>SVB_012-PB-BP-Business Analyst Team</v>
          </cell>
          <cell r="H6087">
            <v>5042067</v>
          </cell>
          <cell r="AK6087" t="str">
            <v>Karl Augenstein</v>
          </cell>
        </row>
        <row r="6088">
          <cell r="C6088" t="str">
            <v>WFC_GRC Issue and Action From EFC</v>
          </cell>
          <cell r="H6088">
            <v>5042303</v>
          </cell>
          <cell r="AK6088" t="str">
            <v>Tania Makuh</v>
          </cell>
        </row>
        <row r="6089">
          <cell r="C6089" t="str">
            <v>CMRS Technology PM</v>
          </cell>
          <cell r="H6089">
            <v>5042177</v>
          </cell>
          <cell r="AK6089" t="str">
            <v>Matthew Rodgers</v>
          </cell>
        </row>
        <row r="6090">
          <cell r="C6090" t="str">
            <v>HSBC-WS-QC PPP Program Extension (Q2)</v>
          </cell>
          <cell r="H6090">
            <v>5041447</v>
          </cell>
          <cell r="AK6090" t="str">
            <v>Peter Brown</v>
          </cell>
        </row>
        <row r="6091">
          <cell r="C6091" t="str">
            <v>CFPB Bridge</v>
          </cell>
          <cell r="H6091">
            <v>5029784</v>
          </cell>
          <cell r="AK6091" t="str">
            <v>Diane Banks</v>
          </cell>
        </row>
        <row r="6092">
          <cell r="C6092" t="str">
            <v>HSBC-DBS-OCC Remediation PMO (1) - DP</v>
          </cell>
          <cell r="H6092">
            <v>5042266</v>
          </cell>
          <cell r="AK6092" t="str">
            <v>Peter Brown</v>
          </cell>
        </row>
        <row r="6093">
          <cell r="C6093" t="str">
            <v>Howard Bank CMS Oversight</v>
          </cell>
          <cell r="H6093">
            <v>5042219</v>
          </cell>
          <cell r="AK6093" t="str">
            <v>Bonita Riccaboni</v>
          </cell>
        </row>
        <row r="6094">
          <cell r="C6094" t="str">
            <v>HSBC-DBS-OCC Remediation Data PMs (5) - PM</v>
          </cell>
          <cell r="H6094">
            <v>5042264</v>
          </cell>
          <cell r="AK6094" t="str">
            <v>Peter Brown</v>
          </cell>
        </row>
        <row r="6095">
          <cell r="C6095" t="str">
            <v>HSBC-DBS-OCC Remediation Data Analyst (3) - AG</v>
          </cell>
          <cell r="H6095">
            <v>5042263</v>
          </cell>
          <cell r="AK6095" t="str">
            <v>Peter Brown</v>
          </cell>
        </row>
        <row r="6096">
          <cell r="C6096" t="str">
            <v>ABS_GRC Enhancement CRA</v>
          </cell>
          <cell r="H6096">
            <v>5042221</v>
          </cell>
          <cell r="AK6096" t="str">
            <v>Tania Makuh</v>
          </cell>
        </row>
        <row r="6097">
          <cell r="C6097" t="str">
            <v>HSBC-DBS-OCC Remediation Data PM (4) - MT</v>
          </cell>
          <cell r="H6097">
            <v>5042265</v>
          </cell>
          <cell r="AK6097" t="str">
            <v>Peter Brown</v>
          </cell>
        </row>
        <row r="6098">
          <cell r="C6098" t="str">
            <v>020-IT-ST-DevSecOps TPM</v>
          </cell>
          <cell r="H6098">
            <v>5042067</v>
          </cell>
          <cell r="AK6098" t="str">
            <v>Karl Augenstein</v>
          </cell>
        </row>
        <row r="6099">
          <cell r="C6099" t="str">
            <v>HSBC-DBS-OCC Remediation PMO (2) - PW</v>
          </cell>
          <cell r="H6099">
            <v>5042273</v>
          </cell>
          <cell r="AK6099" t="str">
            <v>Peter Brown</v>
          </cell>
        </row>
        <row r="6100">
          <cell r="C6100" t="str">
            <v>Ransomware Tabletop Exercise</v>
          </cell>
          <cell r="H6100">
            <v>5042224</v>
          </cell>
          <cell r="AK6100" t="str">
            <v>Cori Ferrara</v>
          </cell>
        </row>
        <row r="6101">
          <cell r="C6101" t="str">
            <v>Valley National Bank Trust Risk Assessment</v>
          </cell>
          <cell r="H6101">
            <v>5042230</v>
          </cell>
          <cell r="AK6101" t="str">
            <v>David Stalnaker</v>
          </cell>
        </row>
        <row r="6102">
          <cell r="C6102" t="str">
            <v>008-DA-BP-Data Integration</v>
          </cell>
          <cell r="H6102">
            <v>5042067</v>
          </cell>
          <cell r="AK6102" t="str">
            <v>Karl Augenstein</v>
          </cell>
        </row>
        <row r="6103">
          <cell r="C6103" t="str">
            <v>018-IT-ST-Workforce Optimization</v>
          </cell>
          <cell r="H6103">
            <v>5042067</v>
          </cell>
          <cell r="AK6103" t="str">
            <v>Karl Augenstein</v>
          </cell>
        </row>
        <row r="6104">
          <cell r="C6104" t="str">
            <v>Junior PM (UAT)</v>
          </cell>
          <cell r="H6104">
            <v>5041462</v>
          </cell>
          <cell r="AK6104" t="str">
            <v>Casey Schaffer</v>
          </cell>
        </row>
        <row r="6105">
          <cell r="C6105" t="str">
            <v>SBSD Implementation PMO</v>
          </cell>
          <cell r="H6105">
            <v>5041590</v>
          </cell>
          <cell r="AK6105" t="str">
            <v>Matthew Rodgers</v>
          </cell>
        </row>
        <row r="6106">
          <cell r="C6106" t="str">
            <v>BKU Retail Bridge</v>
          </cell>
          <cell r="H6106">
            <v>5037421</v>
          </cell>
          <cell r="AK6106" t="str">
            <v>Kevin Miologos</v>
          </cell>
        </row>
        <row r="6107">
          <cell r="C6107" t="str">
            <v>SSBO RISK PMO- Agent Accounts Governance Project</v>
          </cell>
          <cell r="H6107">
            <v>5041284</v>
          </cell>
          <cell r="AK6107" t="str">
            <v>Ruben Sooriya</v>
          </cell>
        </row>
        <row r="6108">
          <cell r="C6108" t="str">
            <v>021-DA-ST-Enable Pillar for EDO</v>
          </cell>
          <cell r="H6108">
            <v>5042067</v>
          </cell>
          <cell r="AK6108" t="str">
            <v>Karl Augenstein</v>
          </cell>
        </row>
        <row r="6109">
          <cell r="C6109" t="str">
            <v>DB DWS Private Debt Ops Process Mapping</v>
          </cell>
          <cell r="H6109">
            <v>5042211</v>
          </cell>
          <cell r="AK6109" t="str">
            <v>Andrew Dearman</v>
          </cell>
        </row>
        <row r="6110">
          <cell r="C6110" t="str">
            <v>EHMC_BSA AML OFAC Risk Asesmnt</v>
          </cell>
          <cell r="H6110">
            <v>5042031</v>
          </cell>
          <cell r="AK6110" t="str">
            <v>Charles Mcwilliam</v>
          </cell>
        </row>
        <row r="6111">
          <cell r="C6111" t="str">
            <v>Mitsui OFAC Checking</v>
          </cell>
          <cell r="H6111">
            <v>5042259</v>
          </cell>
          <cell r="AK6111" t="str">
            <v>Helen Person</v>
          </cell>
        </row>
        <row r="6112">
          <cell r="C6112" t="str">
            <v>Customers Bank_TCEPAM/Testing Reviews</v>
          </cell>
          <cell r="H6112">
            <v>5042234</v>
          </cell>
          <cell r="AK6112" t="str">
            <v>David Stalnaker</v>
          </cell>
        </row>
        <row r="6113">
          <cell r="C6113" t="str">
            <v>Unified Bank OD Program Review</v>
          </cell>
          <cell r="H6113">
            <v>5042096</v>
          </cell>
          <cell r="AK6113" t="str">
            <v>Kristina Slattery</v>
          </cell>
        </row>
        <row r="6114">
          <cell r="C6114" t="str">
            <v>Customers Bank Flood Scrub</v>
          </cell>
          <cell r="H6114">
            <v>5042237</v>
          </cell>
          <cell r="AK6114" t="str">
            <v>David Stalnaker</v>
          </cell>
        </row>
        <row r="6115">
          <cell r="C6115" t="str">
            <v>MS_WM_Investment Platform Ext</v>
          </cell>
          <cell r="H6115">
            <v>5041382</v>
          </cell>
          <cell r="AK6115" t="str">
            <v>Leah Watson</v>
          </cell>
        </row>
        <row r="6116">
          <cell r="C6116" t="str">
            <v>Unified Bank _Social Media Reveiw</v>
          </cell>
          <cell r="H6116">
            <v>5042041</v>
          </cell>
          <cell r="AK6116" t="str">
            <v>Kristina Slattery</v>
          </cell>
        </row>
        <row r="6117">
          <cell r="C6117" t="str">
            <v>Kearny Bank_Compliance Reviews</v>
          </cell>
          <cell r="H6117">
            <v>5042038</v>
          </cell>
          <cell r="AK6117" t="str">
            <v>Kristina Slattery</v>
          </cell>
        </row>
        <row r="6118">
          <cell r="C6118" t="str">
            <v>BMT HMDA Scrub Commercial</v>
          </cell>
          <cell r="H6118">
            <v>5042299</v>
          </cell>
          <cell r="AK6118" t="str">
            <v>David Stalnaker</v>
          </cell>
        </row>
        <row r="6119">
          <cell r="C6119" t="str">
            <v>NatCapNA_Bk CMS Support 2021</v>
          </cell>
          <cell r="H6119">
            <v>5042526</v>
          </cell>
          <cell r="AK6119" t="str">
            <v>Kristina Slattery</v>
          </cell>
        </row>
        <row r="6120">
          <cell r="C6120" t="str">
            <v>UB_Technology Risk Assessments</v>
          </cell>
          <cell r="H6120">
            <v>5042040</v>
          </cell>
          <cell r="AK6120" t="str">
            <v>Kristina Slattery</v>
          </cell>
        </row>
        <row r="6121">
          <cell r="C6121" t="str">
            <v>MS_WM_Ops: Governance &amp; MSSN 2021 - Backfill</v>
          </cell>
          <cell r="H6121">
            <v>5041332</v>
          </cell>
          <cell r="AK6121" t="str">
            <v>Robin Williams</v>
          </cell>
        </row>
        <row r="6122">
          <cell r="C6122" t="str">
            <v>Hanover-Compliance Staff Aug</v>
          </cell>
          <cell r="H6122">
            <v>5042184</v>
          </cell>
          <cell r="AK6122" t="str">
            <v>Jason Davis</v>
          </cell>
        </row>
        <row r="6123">
          <cell r="C6123" t="str">
            <v>Peapack Gladstone Bank CMSO</v>
          </cell>
          <cell r="H6123">
            <v>5042223</v>
          </cell>
          <cell r="AK6123" t="str">
            <v>Gail Rassler</v>
          </cell>
        </row>
        <row r="6124">
          <cell r="C6124" t="str">
            <v>RBCUS_Qlikview_Exp2</v>
          </cell>
          <cell r="H6124">
            <v>5037382</v>
          </cell>
          <cell r="AK6124" t="str">
            <v>Kirby Pulver</v>
          </cell>
        </row>
        <row r="6125">
          <cell r="C6125" t="str">
            <v>HSBC-GBM-LIBOR RSK Analyst Extension (2021)</v>
          </cell>
          <cell r="H6125">
            <v>5037419</v>
          </cell>
          <cell r="AK6125" t="str">
            <v>Peter Brown</v>
          </cell>
        </row>
        <row r="6126">
          <cell r="C6126" t="str">
            <v>Jefferies SecFin RPA Contractor May/June</v>
          </cell>
          <cell r="H6126">
            <v>5039905</v>
          </cell>
          <cell r="AK6126" t="str">
            <v>Scott Kennedy</v>
          </cell>
        </row>
        <row r="6127">
          <cell r="C6127" t="str">
            <v>Jeff_Eq Tech Desi and PM ext3</v>
          </cell>
          <cell r="H6127">
            <v>5041770</v>
          </cell>
          <cell r="AK6127" t="str">
            <v>Chelsea Mattias</v>
          </cell>
        </row>
        <row r="6128">
          <cell r="C6128" t="str">
            <v>Unqork UX Engineer</v>
          </cell>
          <cell r="H6128">
            <v>5041548</v>
          </cell>
          <cell r="AK6128" t="str">
            <v>Frantz Casimir</v>
          </cell>
        </row>
        <row r="6129">
          <cell r="C6129" t="str">
            <v>Jefferies Compliance Team Ext</v>
          </cell>
          <cell r="H6129">
            <v>5041699</v>
          </cell>
          <cell r="AK6129" t="str">
            <v>Chelsea Mattias</v>
          </cell>
        </row>
        <row r="6130">
          <cell r="C6130" t="str">
            <v>MS_WM_MIO Broadridge Program_Daniel Schutzman</v>
          </cell>
          <cell r="H6130">
            <v>5041717</v>
          </cell>
          <cell r="AK6130" t="str">
            <v>Dan Schutzman</v>
          </cell>
        </row>
        <row r="6131">
          <cell r="C6131" t="str">
            <v>IC P-Tier Extension Q2</v>
          </cell>
          <cell r="H6131">
            <v>5041496</v>
          </cell>
          <cell r="AK6131" t="str">
            <v>James Jeffries</v>
          </cell>
        </row>
        <row r="6132">
          <cell r="C6132" t="str">
            <v>MS Investment Platforms_Aladdin Support</v>
          </cell>
          <cell r="H6132">
            <v>5040949</v>
          </cell>
          <cell r="AK6132" t="str">
            <v>Rayna Gittelman</v>
          </cell>
        </row>
        <row r="6133">
          <cell r="C6133" t="str">
            <v>016_IT-ST-IT Cloud Awareness</v>
          </cell>
          <cell r="H6133">
            <v>5042067</v>
          </cell>
          <cell r="AK6133" t="str">
            <v>Karl Augenstein</v>
          </cell>
        </row>
        <row r="6134">
          <cell r="C6134" t="str">
            <v>Ally_Lending LOC Product Launch Bridge - Business SOW</v>
          </cell>
          <cell r="H6134">
            <v>5042337</v>
          </cell>
          <cell r="AK6134" t="str">
            <v>Michael Crumpler</v>
          </cell>
        </row>
        <row r="6135">
          <cell r="C6135" t="str">
            <v>Santander_Direct Bank US Launch</v>
          </cell>
          <cell r="H6135">
            <v>5042294</v>
          </cell>
          <cell r="AK6135" t="str">
            <v>Anna Stawowy</v>
          </cell>
        </row>
        <row r="6136">
          <cell r="C6136" t="str">
            <v>SVB_013-PR-CC-Fiserv Negotiations</v>
          </cell>
          <cell r="H6136">
            <v>5042067</v>
          </cell>
          <cell r="AK6136" t="str">
            <v>Karl Augenstein</v>
          </cell>
        </row>
        <row r="6137">
          <cell r="C6137" t="str">
            <v>Wells Fargo FRTB - RMBS Extension</v>
          </cell>
          <cell r="H6137">
            <v>5041606</v>
          </cell>
          <cell r="AK6137" t="str">
            <v>Benjamin Harding</v>
          </cell>
        </row>
        <row r="6138">
          <cell r="C6138" t="str">
            <v>WT_SBA PPP CRA Scrub</v>
          </cell>
          <cell r="H6138">
            <v>5042279</v>
          </cell>
          <cell r="AK6138" t="str">
            <v>Juan Pimentel</v>
          </cell>
        </row>
        <row r="6139">
          <cell r="C6139" t="str">
            <v>MS Wealth Financial Planning_#5&amp;6</v>
          </cell>
          <cell r="H6139">
            <v>5041798</v>
          </cell>
          <cell r="AK6139" t="str">
            <v>Balaji Ramamurthy</v>
          </cell>
        </row>
        <row r="6140">
          <cell r="C6140" t="str">
            <v>SVB_026-DA-Data Steward</v>
          </cell>
          <cell r="H6140">
            <v>5042067</v>
          </cell>
          <cell r="AK6140" t="str">
            <v>Karl Augenstein</v>
          </cell>
        </row>
        <row r="6141">
          <cell r="C6141" t="str">
            <v>Happy State-HMDA Monitoring</v>
          </cell>
          <cell r="H6141">
            <v>5042281</v>
          </cell>
          <cell r="AK6141" t="str">
            <v>Juan Pimentel</v>
          </cell>
        </row>
        <row r="6142">
          <cell r="C6142" t="str">
            <v>JEF_IB Business Intelligence Dashboarding BA</v>
          </cell>
          <cell r="H6142">
            <v>5042301</v>
          </cell>
          <cell r="AK6142" t="str">
            <v>Aoife Hogan</v>
          </cell>
        </row>
        <row r="6143">
          <cell r="C6143" t="str">
            <v>FNB Elmer - Compl Off Support</v>
          </cell>
          <cell r="H6143">
            <v>5042339</v>
          </cell>
          <cell r="AK6143" t="str">
            <v>Amanda Pickering</v>
          </cell>
        </row>
        <row r="6144">
          <cell r="C6144" t="str">
            <v>FNB Elmer - BSA Support</v>
          </cell>
          <cell r="H6144">
            <v>5042338</v>
          </cell>
          <cell r="AK6144" t="str">
            <v>W. Annette Dredden</v>
          </cell>
        </row>
        <row r="6145">
          <cell r="C6145" t="str">
            <v>Investors Tax and Insurance Analysts</v>
          </cell>
          <cell r="H6145">
            <v>5042276</v>
          </cell>
          <cell r="AK6145" t="str">
            <v>Jennifer Lifgren</v>
          </cell>
        </row>
        <row r="6146">
          <cell r="C6146" t="str">
            <v>FNBOE_Internal Audits</v>
          </cell>
          <cell r="H6146">
            <v>5042292</v>
          </cell>
          <cell r="AK6146" t="str">
            <v>Mary Louise Radley</v>
          </cell>
        </row>
        <row r="6147">
          <cell r="C6147" t="str">
            <v>Bryn Mawr Trust - CRA Data Integrity Review 2021</v>
          </cell>
          <cell r="H6147">
            <v>5042300</v>
          </cell>
          <cell r="AK6147" t="str">
            <v>Juan Pimentel</v>
          </cell>
        </row>
        <row r="6148">
          <cell r="C6148" t="str">
            <v>BNY SBSD</v>
          </cell>
          <cell r="H6148">
            <v>5042331</v>
          </cell>
          <cell r="AK6148" t="str">
            <v>Jack Stevens</v>
          </cell>
        </row>
        <row r="6149">
          <cell r="C6149" t="str">
            <v>Delivery Resrouces for Backbase (AFCU)</v>
          </cell>
          <cell r="H6149">
            <v>5042212</v>
          </cell>
          <cell r="AK6149" t="str">
            <v>Luke Penca</v>
          </cell>
        </row>
        <row r="6150">
          <cell r="C6150" t="str">
            <v>Truist_RACF Re-Design</v>
          </cell>
          <cell r="H6150">
            <v>5042387</v>
          </cell>
          <cell r="AK6150" t="str">
            <v>Sebastian Ekberg</v>
          </cell>
        </row>
        <row r="6151">
          <cell r="C6151" t="str">
            <v>HSBC-DBS-OCC Remediation Data Analyst (4) - HJ</v>
          </cell>
          <cell r="H6151">
            <v>5042360</v>
          </cell>
          <cell r="AK6151" t="str">
            <v>Peter Brown</v>
          </cell>
        </row>
        <row r="6152">
          <cell r="C6152" t="str">
            <v>SVB_027-IT-ST-Strategic Planning</v>
          </cell>
          <cell r="H6152">
            <v>5042067</v>
          </cell>
          <cell r="AK6152" t="str">
            <v>Karl Augenstein</v>
          </cell>
        </row>
        <row r="6153">
          <cell r="C6153" t="str">
            <v>IBIT Technical Specialist</v>
          </cell>
          <cell r="H6153">
            <v>5042341</v>
          </cell>
          <cell r="AK6153" t="str">
            <v>John McCaffrey</v>
          </cell>
        </row>
        <row r="6154">
          <cell r="C6154" t="str">
            <v>UB_098_RB_CBT Tech Writers CO2</v>
          </cell>
          <cell r="H6154">
            <v>5038826</v>
          </cell>
          <cell r="AK6154" t="str">
            <v>Samuel Awsumb</v>
          </cell>
        </row>
        <row r="6155">
          <cell r="C6155" t="str">
            <v>DW - UI Path Developer Ext</v>
          </cell>
          <cell r="H6155">
            <v>5040879</v>
          </cell>
          <cell r="AK6155" t="str">
            <v>Cody Lange</v>
          </cell>
        </row>
        <row r="6156">
          <cell r="C6156" t="str">
            <v>RBC IT Program Manager</v>
          </cell>
          <cell r="H6156">
            <v>5040712</v>
          </cell>
          <cell r="AK6156" t="str">
            <v>Sri Nonabur Srinivasamurthy</v>
          </cell>
        </row>
        <row r="6157">
          <cell r="C6157" t="str">
            <v>HSBC-DBS-OCC Remediation PMO (3) - IA</v>
          </cell>
          <cell r="H6157">
            <v>5042361</v>
          </cell>
          <cell r="AK6157" t="str">
            <v>Peter Brown</v>
          </cell>
        </row>
        <row r="6158">
          <cell r="C6158" t="str">
            <v>MS Data CoE - ED Backfill</v>
          </cell>
          <cell r="H6158">
            <v>5041398</v>
          </cell>
          <cell r="AK6158" t="str">
            <v>Keith Paradise</v>
          </cell>
        </row>
        <row r="6159">
          <cell r="C6159" t="str">
            <v>HSBC-DBS-OCC Remediation Data Analyst (5) - HP</v>
          </cell>
          <cell r="H6159">
            <v>5042362</v>
          </cell>
          <cell r="AK6159" t="str">
            <v>Peter Brown</v>
          </cell>
        </row>
        <row r="6160">
          <cell r="C6160" t="str">
            <v>AreaX Digital Engineering Support</v>
          </cell>
          <cell r="H6160">
            <v>5042349</v>
          </cell>
          <cell r="AK6160" t="str">
            <v>Leonard Langsdorf</v>
          </cell>
        </row>
        <row r="6161">
          <cell r="C6161" t="str">
            <v>MS_Operational Risk_ORI Enhancement</v>
          </cell>
          <cell r="H6161">
            <v>5042319</v>
          </cell>
          <cell r="AK6161" t="str">
            <v>Dan Schutzman</v>
          </cell>
        </row>
        <row r="6162">
          <cell r="C6162" t="str">
            <v>GoldmanBnk_Eligibility Reviews</v>
          </cell>
          <cell r="H6162">
            <v>5042328</v>
          </cell>
          <cell r="AK6162" t="str">
            <v>Christian Maier</v>
          </cell>
        </row>
        <row r="6163">
          <cell r="C6163" t="str">
            <v>MS Wealth UAT - Leadership Role</v>
          </cell>
          <cell r="H6163">
            <v>5041056</v>
          </cell>
          <cell r="AK6163" t="str">
            <v>Balaji Ramamurthy</v>
          </cell>
        </row>
        <row r="6164">
          <cell r="C6164" t="str">
            <v>ABS_GRCSC withTableau Reportng</v>
          </cell>
          <cell r="H6164">
            <v>5042459</v>
          </cell>
          <cell r="AK6164" t="str">
            <v>Tania Makuh</v>
          </cell>
        </row>
        <row r="6165">
          <cell r="C6165" t="str">
            <v>FrMc_Cloud Data Transformation (AMD 1)</v>
          </cell>
          <cell r="H6165">
            <v>5041890</v>
          </cell>
          <cell r="AK6165" t="str">
            <v>Chad Bonadonna</v>
          </cell>
        </row>
        <row r="6166">
          <cell r="C6166" t="str">
            <v>CB_CRA Performance Evaluation</v>
          </cell>
          <cell r="H6166">
            <v>5042498</v>
          </cell>
          <cell r="AK6166" t="str">
            <v>Gail Rassler</v>
          </cell>
        </row>
        <row r="6167">
          <cell r="C6167" t="str">
            <v>Jefferies Trade Surveillance</v>
          </cell>
          <cell r="H6167">
            <v>5043230</v>
          </cell>
          <cell r="AK6167" t="str">
            <v>John Clifford</v>
          </cell>
        </row>
        <row r="6168">
          <cell r="C6168" t="str">
            <v>SVB_040-DA-ST-Risk Metrics Assessment</v>
          </cell>
          <cell r="H6168">
            <v>5042067</v>
          </cell>
          <cell r="AK6168" t="str">
            <v>Karl Augenstein</v>
          </cell>
        </row>
        <row r="6169">
          <cell r="C6169" t="str">
            <v>UB_115_CBT Testing Support Ph1</v>
          </cell>
          <cell r="H6169">
            <v>5042402</v>
          </cell>
          <cell r="AK6169" t="str">
            <v>Samuel Awsumb</v>
          </cell>
        </row>
        <row r="6170">
          <cell r="C6170" t="str">
            <v>Tech Org Assessment</v>
          </cell>
          <cell r="H6170">
            <v>5042267</v>
          </cell>
          <cell r="AK6170" t="str">
            <v>Darrell Ponzio</v>
          </cell>
        </row>
        <row r="6171">
          <cell r="C6171" t="str">
            <v>UB_099_CBT Bus Jrnys CO4</v>
          </cell>
          <cell r="H6171">
            <v>5039014</v>
          </cell>
          <cell r="AK6171" t="str">
            <v>Samuel Awsumb</v>
          </cell>
        </row>
        <row r="6172">
          <cell r="C6172" t="str">
            <v>SVB_023-IT-ST-Tech Backlog Mgmt</v>
          </cell>
          <cell r="H6172">
            <v>5042067</v>
          </cell>
          <cell r="AK6172" t="str">
            <v>Karl Augenstein</v>
          </cell>
        </row>
        <row r="6173">
          <cell r="C6173" t="str">
            <v>JEF_Content Mgmt. BA</v>
          </cell>
          <cell r="H6173">
            <v>5042373</v>
          </cell>
          <cell r="AK6173" t="str">
            <v>Aoife Hogan</v>
          </cell>
        </row>
        <row r="6174">
          <cell r="C6174" t="str">
            <v>Jeff CRM FI Homepage Design</v>
          </cell>
          <cell r="H6174">
            <v>5042439</v>
          </cell>
          <cell r="AK6174" t="str">
            <v>Aoife Hogan</v>
          </cell>
        </row>
        <row r="6175">
          <cell r="C6175" t="str">
            <v>WSFS Bank_Compliance Reviews</v>
          </cell>
          <cell r="H6175">
            <v>5042425</v>
          </cell>
          <cell r="AK6175" t="str">
            <v>Kristina Slattery</v>
          </cell>
        </row>
        <row r="6176">
          <cell r="C6176" t="str">
            <v>WSFS Bank_Redlining Analysis</v>
          </cell>
          <cell r="H6176">
            <v>5042424</v>
          </cell>
          <cell r="AK6176" t="str">
            <v>Gail Rassler</v>
          </cell>
        </row>
        <row r="6177">
          <cell r="C6177" t="str">
            <v>Jeff_CRM OneJef Surge Onshore 2021 Ext II</v>
          </cell>
          <cell r="H6177">
            <v>5039368</v>
          </cell>
          <cell r="AK6177" t="str">
            <v>Aoife Hogan</v>
          </cell>
        </row>
        <row r="6178">
          <cell r="C6178" t="str">
            <v>Jeff_CRM OneJef Surge Offshore 2021 Ext II</v>
          </cell>
          <cell r="H6178">
            <v>5039370</v>
          </cell>
          <cell r="AK6178" t="str">
            <v>Aoife Hogan</v>
          </cell>
        </row>
        <row r="6179">
          <cell r="C6179" t="str">
            <v>HSBC-DBS-OCC Remediation Analyst (7) - AA</v>
          </cell>
          <cell r="H6179">
            <v>5042420</v>
          </cell>
          <cell r="AK6179" t="str">
            <v>Peter Brown</v>
          </cell>
        </row>
        <row r="6180">
          <cell r="C6180" t="str">
            <v>JEFF_FX BA / Tester Extension</v>
          </cell>
          <cell r="H6180">
            <v>5038860</v>
          </cell>
          <cell r="AK6180" t="str">
            <v>Conor Dowling</v>
          </cell>
        </row>
        <row r="6181">
          <cell r="C6181" t="str">
            <v>RBCUS_Stock Loan F2B Tech Alignment</v>
          </cell>
          <cell r="H6181">
            <v>5042380</v>
          </cell>
          <cell r="AK6181" t="str">
            <v>Justin Gonlag</v>
          </cell>
        </row>
        <row r="6182">
          <cell r="C6182" t="str">
            <v>Transcend QA</v>
          </cell>
          <cell r="H6182">
            <v>5042530</v>
          </cell>
          <cell r="AK6182" t="str">
            <v>John McCaffrey</v>
          </cell>
        </row>
        <row r="6183">
          <cell r="C6183" t="str">
            <v>FNBOE_FiServ FCRM Review and Tuning</v>
          </cell>
          <cell r="H6183">
            <v>5042293</v>
          </cell>
          <cell r="AK6183" t="str">
            <v>William Sachs</v>
          </cell>
        </row>
        <row r="6184">
          <cell r="C6184" t="str">
            <v>KeyBank - Personal Loan Origination Digital Interface</v>
          </cell>
          <cell r="H6184">
            <v>5042409</v>
          </cell>
          <cell r="AK6184" t="str">
            <v>Jason Noran</v>
          </cell>
        </row>
        <row r="6185">
          <cell r="C6185" t="str">
            <v>GL Agile Delivery - MSA</v>
          </cell>
          <cell r="H6185">
            <v>5042600</v>
          </cell>
          <cell r="AK6185" t="str">
            <v>Beth Yiznitsky</v>
          </cell>
        </row>
        <row r="6186">
          <cell r="C6186" t="str">
            <v>SVB_034-DA-BP-Data Integration Expansion</v>
          </cell>
          <cell r="H6186">
            <v>5042067</v>
          </cell>
          <cell r="AK6186" t="str">
            <v>Karl Augenstein</v>
          </cell>
        </row>
        <row r="6187">
          <cell r="C6187" t="str">
            <v>UB_102_CBT Bus Risk CO2</v>
          </cell>
          <cell r="H6187">
            <v>5039318</v>
          </cell>
          <cell r="AK6187" t="str">
            <v>Samuel Awsumb</v>
          </cell>
        </row>
        <row r="6188">
          <cell r="C6188" t="str">
            <v>Customers Bank FLRA</v>
          </cell>
          <cell r="H6188">
            <v>5042238</v>
          </cell>
          <cell r="AK6188" t="str">
            <v>Gail Rassler</v>
          </cell>
        </row>
        <row r="6189">
          <cell r="C6189" t="str">
            <v>Chain Bridge Bank - MQC</v>
          </cell>
          <cell r="H6189">
            <v>5043322</v>
          </cell>
          <cell r="AK6189" t="str">
            <v>Christian Maier</v>
          </cell>
        </row>
        <row r="6190">
          <cell r="C6190" t="str">
            <v>MS_Tech&amp;Ops_COO_Future of Work Extension</v>
          </cell>
          <cell r="H6190">
            <v>5041691</v>
          </cell>
          <cell r="AK6190" t="str">
            <v>Mitali Drews</v>
          </cell>
        </row>
        <row r="6191">
          <cell r="C6191" t="str">
            <v>ATC_EnhancedDueDiligenceTPPP</v>
          </cell>
          <cell r="H6191">
            <v>5042329</v>
          </cell>
          <cell r="AK6191" t="str">
            <v>Mary Louise Radley</v>
          </cell>
        </row>
        <row r="6192">
          <cell r="C6192" t="str">
            <v>Penfed PCCD and Refund</v>
          </cell>
          <cell r="H6192">
            <v>5042707</v>
          </cell>
          <cell r="AK6192" t="str">
            <v>Tuong Huy Ha</v>
          </cell>
        </row>
        <row r="6193">
          <cell r="C6193" t="str">
            <v>Customers Bank Staff Augmentation Vendor Due Diligence</v>
          </cell>
          <cell r="H6193">
            <v>5042733</v>
          </cell>
          <cell r="AK6193" t="str">
            <v>Gail Rassler</v>
          </cell>
        </row>
        <row r="6194">
          <cell r="C6194" t="str">
            <v>Transcend Implementation Extension</v>
          </cell>
          <cell r="H6194">
            <v>5039334</v>
          </cell>
          <cell r="AK6194" t="str">
            <v>Matthew Rodgers</v>
          </cell>
        </row>
        <row r="6195">
          <cell r="C6195" t="str">
            <v>ICG Wholesale Credit - change delivery (Maggie)</v>
          </cell>
          <cell r="H6195">
            <v>5041510</v>
          </cell>
          <cell r="AK6195" t="str">
            <v>Ervinas Janavicius</v>
          </cell>
        </row>
        <row r="6196">
          <cell r="C6196" t="str">
            <v>NCB_BSA/AML/OFAC Risk Assesmnt</v>
          </cell>
          <cell r="H6196">
            <v>5042730</v>
          </cell>
          <cell r="AK6196" t="str">
            <v>Charles Mcwilliam</v>
          </cell>
        </row>
        <row r="6197">
          <cell r="C6197" t="str">
            <v>PIMCO - Digital Marketing Communication Strategy</v>
          </cell>
          <cell r="H6197">
            <v>5042408</v>
          </cell>
          <cell r="AK6197" t="str">
            <v>Ben Burrows</v>
          </cell>
        </row>
        <row r="6198">
          <cell r="C6198" t="str">
            <v>ANBT_Compliance Consulting</v>
          </cell>
          <cell r="H6198">
            <v>5042437</v>
          </cell>
          <cell r="AK6198" t="str">
            <v>Pamela Acciardo</v>
          </cell>
        </row>
        <row r="6199">
          <cell r="C6199" t="str">
            <v>IC_Mid-Mkt InvestCloud BA Support</v>
          </cell>
          <cell r="H6199">
            <v>5042318</v>
          </cell>
          <cell r="AK6199" t="str">
            <v>James Jeffries</v>
          </cell>
        </row>
        <row r="6200">
          <cell r="C6200" t="str">
            <v>GRC Support Services</v>
          </cell>
          <cell r="H6200">
            <v>5045248</v>
          </cell>
          <cell r="AK6200" t="str">
            <v>Tania Makuh</v>
          </cell>
        </row>
        <row r="6201">
          <cell r="C6201" t="str">
            <v>Truist_RACF Re-Design (SOW#10)</v>
          </cell>
          <cell r="H6201">
            <v>5042387</v>
          </cell>
          <cell r="AK6201" t="str">
            <v>Sebastian Ekberg</v>
          </cell>
        </row>
        <row r="6202">
          <cell r="C6202" t="str">
            <v>TNB_Verafin System Validation</v>
          </cell>
          <cell r="H6202">
            <v>5041844</v>
          </cell>
          <cell r="AK6202" t="str">
            <v>William Sachs</v>
          </cell>
        </row>
        <row r="6203">
          <cell r="C6203" t="str">
            <v>MS_ISG_ISGPO_GPG 2021 Backfill</v>
          </cell>
          <cell r="H6203">
            <v>5040923</v>
          </cell>
          <cell r="AK6203" t="str">
            <v>Mitali Drews</v>
          </cell>
        </row>
        <row r="6204">
          <cell r="C6204" t="str">
            <v>CMRS Project Manager</v>
          </cell>
          <cell r="H6204">
            <v>5042177</v>
          </cell>
          <cell r="AK6204" t="str">
            <v>Matthew Rodgers</v>
          </cell>
        </row>
        <row r="6205">
          <cell r="C6205" t="str">
            <v>Investors Tax and Insurance Billing</v>
          </cell>
          <cell r="H6205">
            <v>5042276</v>
          </cell>
          <cell r="AK6205" t="str">
            <v>Jennifer Lifgren</v>
          </cell>
        </row>
        <row r="6206">
          <cell r="C6206" t="str">
            <v>HSBC-DBS-OCC Remediation - Data Analyst Team (9) - JA</v>
          </cell>
          <cell r="H6206">
            <v>5042449</v>
          </cell>
          <cell r="AK6206" t="str">
            <v>Peter Brown</v>
          </cell>
        </row>
        <row r="6207">
          <cell r="C6207" t="str">
            <v>HSBC-DBS-OCC Remediation Analyst (8) -GL</v>
          </cell>
          <cell r="H6207">
            <v>5042470</v>
          </cell>
          <cell r="AK6207" t="str">
            <v>Peter Brown</v>
          </cell>
        </row>
        <row r="6208">
          <cell r="C6208" t="str">
            <v>CMRS Senior Java Developer</v>
          </cell>
          <cell r="H6208">
            <v>5042451</v>
          </cell>
          <cell r="AK6208" t="str">
            <v>John McCaffrey</v>
          </cell>
        </row>
        <row r="6209">
          <cell r="C6209" t="str">
            <v>Capital Projects Analyst</v>
          </cell>
          <cell r="H6209">
            <v>5042473</v>
          </cell>
          <cell r="AK6209" t="str">
            <v>Emily Glaessner</v>
          </cell>
        </row>
        <row r="6210">
          <cell r="C6210" t="str">
            <v>Digital Transformation</v>
          </cell>
          <cell r="H6210">
            <v>5042471</v>
          </cell>
          <cell r="AK6210" t="str">
            <v>Christopher Dickinson</v>
          </cell>
        </row>
        <row r="6211">
          <cell r="C6211" t="str">
            <v>Reg Ops SME</v>
          </cell>
          <cell r="H6211">
            <v>5042472</v>
          </cell>
          <cell r="AK6211" t="str">
            <v>Dhrupal Shah</v>
          </cell>
        </row>
        <row r="6212">
          <cell r="C6212" t="str">
            <v>MS Wealth Advice_Trading Squad</v>
          </cell>
          <cell r="H6212">
            <v>5042481</v>
          </cell>
          <cell r="AK6212" t="str">
            <v>Balaji Ramamurthy</v>
          </cell>
        </row>
        <row r="6213">
          <cell r="C6213" t="str">
            <v>CNB_VMO_SA3</v>
          </cell>
          <cell r="H6213">
            <v>5041598</v>
          </cell>
          <cell r="AK6213" t="str">
            <v>Tyreek Trammell</v>
          </cell>
        </row>
        <row r="6214">
          <cell r="C6214" t="str">
            <v>SVB_039-FI-BG-BGP Product Strategy</v>
          </cell>
          <cell r="H6214">
            <v>5042067</v>
          </cell>
          <cell r="AK6214" t="str">
            <v>Karl Augenstein</v>
          </cell>
        </row>
        <row r="6215">
          <cell r="C6215" t="str">
            <v>UB_085_CBT  Bus Jrnys CO4</v>
          </cell>
          <cell r="H6215">
            <v>5039809</v>
          </cell>
          <cell r="AK6215" t="str">
            <v>Samuel Awsumb</v>
          </cell>
        </row>
        <row r="6216">
          <cell r="C6216" t="str">
            <v>Broadridge WMAP - B&amp;R Conversion PM</v>
          </cell>
          <cell r="H6216">
            <v>5041342</v>
          </cell>
          <cell r="AK6216" t="str">
            <v>Phil Kerkel</v>
          </cell>
        </row>
        <row r="6217">
          <cell r="C6217" t="str">
            <v>HSBC-WPB-Agile BA Team</v>
          </cell>
          <cell r="H6217">
            <v>5042622</v>
          </cell>
          <cell r="AK6217" t="str">
            <v>Peter Brown</v>
          </cell>
        </row>
        <row r="6218">
          <cell r="C6218" t="str">
            <v>HSBC-DBS-OCC Remediation - Data Analyst Team (10) - SB</v>
          </cell>
          <cell r="H6218">
            <v>5042529</v>
          </cell>
          <cell r="AK6218" t="str">
            <v>Peter Brown</v>
          </cell>
        </row>
        <row r="6219">
          <cell r="C6219" t="str">
            <v>BKU Retail Bridge 2</v>
          </cell>
          <cell r="H6219">
            <v>5042460</v>
          </cell>
          <cell r="AK6219" t="str">
            <v>Kevin Miologos</v>
          </cell>
        </row>
        <row r="6220">
          <cell r="C6220" t="str">
            <v>HSBC-DBS-ISO Payments Project</v>
          </cell>
          <cell r="H6220">
            <v>5042382</v>
          </cell>
          <cell r="AK6220" t="str">
            <v>Peter Brown</v>
          </cell>
        </row>
        <row r="6221">
          <cell r="C6221" t="str">
            <v>LB_PPP Fraud/Leader Remediation</v>
          </cell>
          <cell r="H6221">
            <v>5042749</v>
          </cell>
          <cell r="AK6221" t="str">
            <v>Charles Lynn Piper</v>
          </cell>
        </row>
        <row r="6222">
          <cell r="C6222" t="str">
            <v>FIS MBP/D1 Technology Project Management Support</v>
          </cell>
          <cell r="H6222">
            <v>5042734</v>
          </cell>
          <cell r="AK6222" t="str">
            <v>Burt Yeo</v>
          </cell>
        </row>
        <row r="6223">
          <cell r="C6223" t="str">
            <v>HSBC-DBS-OCC Remediation Analyst (11)  - PS</v>
          </cell>
          <cell r="H6223">
            <v>5042517</v>
          </cell>
          <cell r="AK6223" t="str">
            <v>Peter Brown</v>
          </cell>
        </row>
        <row r="6224">
          <cell r="C6224" t="str">
            <v>HSBC-DBS-OCC Remediation Support Team (Wave 2-1)</v>
          </cell>
          <cell r="H6224">
            <v>5042622</v>
          </cell>
          <cell r="AK6224" t="str">
            <v>Peter Brown</v>
          </cell>
        </row>
        <row r="6225">
          <cell r="C6225" t="str">
            <v>FM EUC Migration BA</v>
          </cell>
          <cell r="H6225">
            <v>5042602</v>
          </cell>
          <cell r="AK6225" t="str">
            <v>Brett Krasner</v>
          </cell>
        </row>
        <row r="6226">
          <cell r="C6226" t="str">
            <v>MS_DataCOE_Celonis Expansion</v>
          </cell>
          <cell r="H6226">
            <v>5041848</v>
          </cell>
          <cell r="AK6226" t="str">
            <v>Audra Schoenfeldt Furer</v>
          </cell>
        </row>
        <row r="6227">
          <cell r="C6227" t="str">
            <v>SVB_032-PR-ST-Q3 Marketing</v>
          </cell>
          <cell r="H6227">
            <v>5042067</v>
          </cell>
          <cell r="AK6227" t="str">
            <v>Karl Augenstein</v>
          </cell>
        </row>
        <row r="6228">
          <cell r="C6228" t="str">
            <v>AFS_BSA/AML Alert Clearing</v>
          </cell>
          <cell r="H6228">
            <v>5042527</v>
          </cell>
          <cell r="AK6228" t="str">
            <v>Carolina Otalvaro</v>
          </cell>
        </row>
        <row r="6229">
          <cell r="C6229" t="str">
            <v>American Nat'l Bank of Texas Fraud RA</v>
          </cell>
          <cell r="H6229">
            <v>5042688</v>
          </cell>
          <cell r="AK6229" t="str">
            <v>Mary Louise Radley</v>
          </cell>
        </row>
        <row r="6230">
          <cell r="C6230" t="str">
            <v>SVB_038-DA-TR-Data_Engineering_Analyst</v>
          </cell>
          <cell r="H6230">
            <v>5042067</v>
          </cell>
          <cell r="AK6230" t="str">
            <v>Karl Augenstein</v>
          </cell>
        </row>
        <row r="6231">
          <cell r="C6231" t="str">
            <v>Jef CRM FI and Equities Homepage Design</v>
          </cell>
          <cell r="H6231">
            <v>5042439</v>
          </cell>
          <cell r="AK6231" t="str">
            <v>Aoife Hogan</v>
          </cell>
        </row>
        <row r="6232">
          <cell r="C6232" t="str">
            <v>SVB_036-IT-ST-Tech Strategy Panel Extension</v>
          </cell>
          <cell r="H6232">
            <v>5042067</v>
          </cell>
          <cell r="AK6232" t="str">
            <v>Karl Augenstein</v>
          </cell>
        </row>
        <row r="6233">
          <cell r="C6233" t="str">
            <v>SVB_037-DA-TR-Unstructured Data</v>
          </cell>
          <cell r="H6233">
            <v>5042067</v>
          </cell>
          <cell r="AK6233" t="str">
            <v>Karl Augenstein</v>
          </cell>
        </row>
        <row r="6234">
          <cell r="C6234" t="str">
            <v>HSBC-DBS-OCC Remediation PM (5) - IC</v>
          </cell>
          <cell r="H6234">
            <v>5042623</v>
          </cell>
          <cell r="AK6234" t="str">
            <v>Peter Brown</v>
          </cell>
        </row>
        <row r="6235">
          <cell r="C6235" t="str">
            <v>SVB_044-IT-ST-GS Talent &amp; Engagement Support</v>
          </cell>
          <cell r="H6235">
            <v>5042067</v>
          </cell>
          <cell r="AK6235" t="str">
            <v>Karl Augenstein</v>
          </cell>
        </row>
        <row r="6236">
          <cell r="C6236" t="str">
            <v>HB_BOL Modernization</v>
          </cell>
          <cell r="H6236">
            <v>5042763</v>
          </cell>
          <cell r="AK6236" t="str">
            <v>Imran Aquil</v>
          </cell>
        </row>
        <row r="6237">
          <cell r="C6237" t="str">
            <v>Investors Insurance Analyst</v>
          </cell>
          <cell r="H6237">
            <v>5042652</v>
          </cell>
          <cell r="AK6237" t="str">
            <v>Jeanette Rodriguez</v>
          </cell>
        </row>
        <row r="6238">
          <cell r="C6238" t="str">
            <v>SVB_045-IT-ST-GS Reporting Capability</v>
          </cell>
          <cell r="H6238">
            <v>5042067</v>
          </cell>
          <cell r="AK6238" t="str">
            <v>Karl Augenstein</v>
          </cell>
        </row>
        <row r="6239">
          <cell r="C6239" t="str">
            <v>MS Wealth UAT_Trading_NYC Resource</v>
          </cell>
          <cell r="H6239">
            <v>5042481</v>
          </cell>
          <cell r="AK6239" t="str">
            <v>Balaji Ramamurthy</v>
          </cell>
        </row>
        <row r="6240">
          <cell r="C6240" t="str">
            <v>Broadridge WMAP EISL Testing PM (offshore)</v>
          </cell>
          <cell r="H6240">
            <v>5041342</v>
          </cell>
          <cell r="AK6240" t="str">
            <v>Phil Kerkel</v>
          </cell>
        </row>
        <row r="6241">
          <cell r="C6241" t="str">
            <v>SVB_046-PR-GA-Gateway Planning/Mgmt</v>
          </cell>
          <cell r="H6241">
            <v>5042067</v>
          </cell>
          <cell r="AK6241" t="str">
            <v>Karl Augenstein</v>
          </cell>
        </row>
        <row r="6242">
          <cell r="C6242" t="str">
            <v>Huntington Mortgage Loan Reporting</v>
          </cell>
          <cell r="H6242">
            <v>5042170</v>
          </cell>
          <cell r="AK6242" t="str">
            <v>Linda Graham</v>
          </cell>
        </row>
        <row r="6243">
          <cell r="C6243" t="str">
            <v>FIS_Debit Prepaid Plat Migr - Mobil</v>
          </cell>
          <cell r="H6243">
            <v>5042926</v>
          </cell>
          <cell r="AK6243" t="str">
            <v>Scott Jurgensen</v>
          </cell>
        </row>
        <row r="6244">
          <cell r="C6244" t="str">
            <v>Jefferies SBSD Program Manager / BA</v>
          </cell>
          <cell r="H6244">
            <v>5042773</v>
          </cell>
          <cell r="AK6244" t="str">
            <v>Matthew Rodgers</v>
          </cell>
        </row>
        <row r="6245">
          <cell r="C6245" t="str">
            <v>FPP - Encompass Implementation</v>
          </cell>
          <cell r="H6245">
            <v>5040998</v>
          </cell>
          <cell r="AK6245" t="str">
            <v>Mariana Dumanovsky</v>
          </cell>
        </row>
        <row r="6246">
          <cell r="C6246" t="str">
            <v>HSBC-DBS-OCC Remediation Support Team (Wave 2-2)</v>
          </cell>
          <cell r="H6246">
            <v>5042622</v>
          </cell>
          <cell r="AK6246" t="str">
            <v>Peter Brown</v>
          </cell>
        </row>
        <row r="6247">
          <cell r="C6247" t="str">
            <v>SVB_024-UK-Subsidiary Testing</v>
          </cell>
          <cell r="H6247">
            <v>5042067</v>
          </cell>
          <cell r="AK6247" t="str">
            <v>Karl Augenstein</v>
          </cell>
        </row>
        <row r="6248">
          <cell r="C6248" t="str">
            <v>Jefferies Citizen Dev Non-Tech Training</v>
          </cell>
          <cell r="H6248">
            <v>5042653</v>
          </cell>
          <cell r="AK6248" t="str">
            <v>Mike Smollar</v>
          </cell>
        </row>
        <row r="6249">
          <cell r="C6249" t="str">
            <v>COBI - ERM BSA Model Validation</v>
          </cell>
          <cell r="H6249">
            <v>5042596</v>
          </cell>
          <cell r="AK6249" t="str">
            <v>Aiswarya Parameswaran</v>
          </cell>
        </row>
        <row r="6250">
          <cell r="C6250" t="str">
            <v>MS_WM_PBCentral &amp; SpendingBudgeting Product Mgmt</v>
          </cell>
          <cell r="H6250">
            <v>5042621</v>
          </cell>
          <cell r="AK6250" t="str">
            <v>Nic Parmaksizian</v>
          </cell>
        </row>
        <row r="6251">
          <cell r="C6251" t="str">
            <v>Murex Senior Env. Support</v>
          </cell>
          <cell r="H6251">
            <v>5042792</v>
          </cell>
          <cell r="AK6251" t="str">
            <v>Manal Ray</v>
          </cell>
        </row>
        <row r="6252">
          <cell r="C6252" t="str">
            <v>WF Cloud Application Migration</v>
          </cell>
          <cell r="H6252">
            <v>5042960</v>
          </cell>
          <cell r="AK6252" t="str">
            <v>Vikas Jain</v>
          </cell>
        </row>
        <row r="6253">
          <cell r="C6253" t="str">
            <v>Australia QA Lead H2 Extension 2021</v>
          </cell>
          <cell r="H6253">
            <v>5038632</v>
          </cell>
          <cell r="AK6253" t="str">
            <v>John McCaffrey</v>
          </cell>
        </row>
        <row r="6254">
          <cell r="C6254" t="str">
            <v>SVB_052-IT-ST-Portfolio Mgmt &amp; Delivery</v>
          </cell>
          <cell r="H6254">
            <v>5041951</v>
          </cell>
          <cell r="AK6254" t="str">
            <v>Karl Augenstein</v>
          </cell>
        </row>
        <row r="6255">
          <cell r="C6255" t="str">
            <v>Integration Planning Pt 8</v>
          </cell>
          <cell r="H6255">
            <v>5042654</v>
          </cell>
          <cell r="AK6255" t="str">
            <v>Eric Fairchild</v>
          </cell>
        </row>
        <row r="6256">
          <cell r="C6256" t="str">
            <v>CRB AT AH QA Project Extension</v>
          </cell>
          <cell r="H6256">
            <v>5039422</v>
          </cell>
          <cell r="AK6256" t="str">
            <v>John McCaffrey</v>
          </cell>
        </row>
        <row r="6257">
          <cell r="C6257" t="str">
            <v>Amalgamated Bank_CMS Optimizer</v>
          </cell>
          <cell r="H6257">
            <v>5043271</v>
          </cell>
          <cell r="AK6257" t="str">
            <v>David Belfer</v>
          </cell>
        </row>
        <row r="6258">
          <cell r="C6258" t="str">
            <v>Bank of San Francisco - BSA Risk Assessment</v>
          </cell>
          <cell r="H6258">
            <v>5042931</v>
          </cell>
          <cell r="AK6258" t="str">
            <v>Charles Mcwilliam</v>
          </cell>
        </row>
        <row r="6259">
          <cell r="C6259" t="str">
            <v>HSBC-FIN-RAF PM 2021 Extension 2</v>
          </cell>
          <cell r="H6259">
            <v>5039835</v>
          </cell>
          <cell r="AK6259" t="str">
            <v>Peter Brown</v>
          </cell>
        </row>
        <row r="6260">
          <cell r="C6260" t="str">
            <v>SVB_054-DA-ST-EDO Protect Stream</v>
          </cell>
          <cell r="H6260">
            <v>5042067</v>
          </cell>
          <cell r="AK6260" t="str">
            <v>Karl Augenstein</v>
          </cell>
        </row>
        <row r="6261">
          <cell r="C6261" t="str">
            <v>MS_Tech&amp;Ops_COO_Future of Work Extension_2</v>
          </cell>
          <cell r="H6261">
            <v>5041691</v>
          </cell>
          <cell r="AK6261" t="str">
            <v>Mitali Drews</v>
          </cell>
        </row>
        <row r="6262">
          <cell r="C6262" t="str">
            <v>Capital Bank NA - FL Comp File Review</v>
          </cell>
          <cell r="H6262">
            <v>5042511</v>
          </cell>
          <cell r="AK6262" t="str">
            <v>Gail Rassler</v>
          </cell>
        </row>
        <row r="6263">
          <cell r="C6263" t="str">
            <v>FMB UDAAP Risk Assessment</v>
          </cell>
          <cell r="H6263">
            <v>5042508</v>
          </cell>
          <cell r="AK6263" t="str">
            <v>Bonita Riccaboni</v>
          </cell>
        </row>
        <row r="6264">
          <cell r="C6264" t="str">
            <v>FrMc_CSP Q3 &amp; Q4 (AMD 2)</v>
          </cell>
          <cell r="H6264">
            <v>5041142</v>
          </cell>
          <cell r="AK6264" t="str">
            <v>Thomas Wilson</v>
          </cell>
        </row>
        <row r="6265">
          <cell r="C6265" t="str">
            <v>SVB_029-PR-GW-UI/UX Design Q3-Q4</v>
          </cell>
          <cell r="H6265">
            <v>5042067</v>
          </cell>
          <cell r="AK6265" t="str">
            <v>Karl Augenstein</v>
          </cell>
        </row>
        <row r="6266">
          <cell r="C6266" t="str">
            <v>SCB_BSA Independent Test</v>
          </cell>
          <cell r="H6266">
            <v>5042436</v>
          </cell>
          <cell r="AK6266" t="str">
            <v>William Sachs</v>
          </cell>
        </row>
        <row r="6267">
          <cell r="C6267" t="str">
            <v>EDSB_FLRA</v>
          </cell>
          <cell r="H6267">
            <v>5042751</v>
          </cell>
          <cell r="AK6267" t="str">
            <v>Leigh Tribou</v>
          </cell>
        </row>
        <row r="6268">
          <cell r="C6268" t="str">
            <v>WoodforestNB_Reg Data Feed Extension</v>
          </cell>
          <cell r="H6268">
            <v>5042515</v>
          </cell>
          <cell r="AK6268" t="str">
            <v>Leah Robinson</v>
          </cell>
        </row>
        <row r="6269">
          <cell r="C6269" t="str">
            <v>Customers Bank</v>
          </cell>
          <cell r="H6269">
            <v>5042237</v>
          </cell>
          <cell r="AK6269" t="str">
            <v>David Stalnaker</v>
          </cell>
        </row>
        <row r="6270">
          <cell r="C6270" t="str">
            <v>FrMc_ILM Q3</v>
          </cell>
          <cell r="H6270">
            <v>5041141</v>
          </cell>
          <cell r="AK6270" t="str">
            <v>Thadi Murali</v>
          </cell>
        </row>
        <row r="6271">
          <cell r="C6271" t="str">
            <v>SVB_030-PR-GW-Program Support Q3&amp;Q4</v>
          </cell>
          <cell r="H6271">
            <v>5041951</v>
          </cell>
          <cell r="AK6271" t="str">
            <v>Karl Augenstein</v>
          </cell>
        </row>
        <row r="6272">
          <cell r="C6272" t="str">
            <v>SVB_048-IT-DA-IAM Engineering</v>
          </cell>
          <cell r="H6272">
            <v>5042067</v>
          </cell>
          <cell r="AK6272" t="str">
            <v>Karl Augenstein</v>
          </cell>
        </row>
        <row r="6273">
          <cell r="C6273" t="str">
            <v>MS_WM_CIS_eTrade Analytical Support Extension 2</v>
          </cell>
          <cell r="H6273">
            <v>5041051</v>
          </cell>
          <cell r="AK6273" t="str">
            <v>Robin Williams</v>
          </cell>
        </row>
        <row r="6274">
          <cell r="C6274" t="str">
            <v>SVB_055-DA-BP-BP Data Extension Q3-Q4</v>
          </cell>
          <cell r="H6274">
            <v>5042067</v>
          </cell>
          <cell r="AK6274" t="str">
            <v>Karl Augenstein</v>
          </cell>
        </row>
        <row r="6275">
          <cell r="C6275" t="str">
            <v>SVB_058-IT-ST-Enterprise Agile Core Ext</v>
          </cell>
          <cell r="H6275">
            <v>5041951</v>
          </cell>
          <cell r="AK6275" t="str">
            <v>Karl Augenstein</v>
          </cell>
        </row>
        <row r="6276">
          <cell r="C6276" t="str">
            <v>SVB_059-IT-ST-TE Change Management Ext</v>
          </cell>
          <cell r="H6276">
            <v>5042067</v>
          </cell>
          <cell r="AK6276" t="str">
            <v>Karl Augenstein</v>
          </cell>
        </row>
        <row r="6277">
          <cell r="C6277" t="str">
            <v>Customers Bank Targeted Reviews Exam Prep</v>
          </cell>
          <cell r="H6277">
            <v>5042234</v>
          </cell>
          <cell r="AK6277" t="str">
            <v>David Stalnaker</v>
          </cell>
        </row>
        <row r="6278">
          <cell r="C6278" t="str">
            <v>Santander US_CISO Program</v>
          </cell>
          <cell r="H6278">
            <v>5041140</v>
          </cell>
          <cell r="AK6278" t="str">
            <v>Boris Mallet</v>
          </cell>
        </row>
        <row r="6279">
          <cell r="C6279" t="str">
            <v>SVB_049-DA-ST-EDO Program Support</v>
          </cell>
          <cell r="H6279">
            <v>5042067</v>
          </cell>
          <cell r="AK6279" t="str">
            <v>Karl Augenstein</v>
          </cell>
        </row>
        <row r="6280">
          <cell r="C6280" t="str">
            <v>MS_REM_TPPM_2021_Mantovani_EOYExtension</v>
          </cell>
          <cell r="H6280">
            <v>5041371</v>
          </cell>
          <cell r="AK6280" t="str">
            <v>Dan Schutzman</v>
          </cell>
        </row>
        <row r="6281">
          <cell r="C6281" t="str">
            <v>Deriv IT PMO BBG MARS</v>
          </cell>
          <cell r="H6281">
            <v>5038121</v>
          </cell>
          <cell r="AK6281" t="str">
            <v>Chelsea Mattias</v>
          </cell>
        </row>
        <row r="6282">
          <cell r="C6282" t="str">
            <v>MS_REM_TPPM_Adam Fahlikman Extension 2H</v>
          </cell>
          <cell r="H6282">
            <v>5041371</v>
          </cell>
          <cell r="AK6282" t="str">
            <v>Dan Schutzman</v>
          </cell>
        </row>
        <row r="6283">
          <cell r="C6283" t="str">
            <v>MM A360 Extension</v>
          </cell>
          <cell r="H6283">
            <v>5041274</v>
          </cell>
          <cell r="AK6283" t="str">
            <v>Christopher Dickinson</v>
          </cell>
        </row>
        <row r="6284">
          <cell r="C6284" t="str">
            <v>ICG FRMT 2021 Q3</v>
          </cell>
          <cell r="H6284">
            <v>5039302</v>
          </cell>
          <cell r="AK6284" t="str">
            <v>Ervinas Janavicius</v>
          </cell>
        </row>
        <row r="6285">
          <cell r="C6285" t="str">
            <v>SVB_047-IT-ST-CIO Program Management SupportSVB_</v>
          </cell>
          <cell r="H6285">
            <v>5042067</v>
          </cell>
          <cell r="AK6285" t="str">
            <v>Karl Augenstein</v>
          </cell>
        </row>
        <row r="6286">
          <cell r="C6286" t="str">
            <v>CB T4O Team Extension Q3</v>
          </cell>
          <cell r="H6286">
            <v>5041373</v>
          </cell>
          <cell r="AK6286" t="str">
            <v>Sandra Paris</v>
          </cell>
        </row>
        <row r="6287">
          <cell r="C6287" t="str">
            <v>FrMc_Payment Modernization</v>
          </cell>
          <cell r="H6287">
            <v>5041126</v>
          </cell>
          <cell r="AK6287" t="str">
            <v>David Williams</v>
          </cell>
        </row>
        <row r="6288">
          <cell r="C6288" t="str">
            <v>Customers Bank FLRA</v>
          </cell>
          <cell r="H6288">
            <v>5042238</v>
          </cell>
          <cell r="AK6288" t="str">
            <v>Gail Rassler</v>
          </cell>
        </row>
        <row r="6289">
          <cell r="C6289" t="str">
            <v>Data Remediation Extension H2 2021</v>
          </cell>
          <cell r="H6289">
            <v>5041608</v>
          </cell>
          <cell r="AK6289" t="str">
            <v>David Roberts</v>
          </cell>
        </row>
        <row r="6290">
          <cell r="C6290" t="str">
            <v>Addendum Kearny Bank Compliance TISA DD Review</v>
          </cell>
          <cell r="H6290">
            <v>5042038</v>
          </cell>
          <cell r="AK6290" t="str">
            <v>Kristina Slattery</v>
          </cell>
        </row>
        <row r="6291">
          <cell r="C6291" t="str">
            <v>SVB_060-DA-Client Data Remediation</v>
          </cell>
          <cell r="H6291">
            <v>5042067</v>
          </cell>
          <cell r="AK6291" t="str">
            <v>Karl Augenstein</v>
          </cell>
        </row>
        <row r="6292">
          <cell r="C6292" t="str">
            <v>Legal &amp;amp; Compliance BA</v>
          </cell>
          <cell r="H6292">
            <v>5037827</v>
          </cell>
          <cell r="AK6292" t="str">
            <v>Matthew Rodgers</v>
          </cell>
        </row>
        <row r="6293">
          <cell r="C6293" t="str">
            <v>SVB_050-DA-ST-ODP Support</v>
          </cell>
          <cell r="H6293">
            <v>5042067</v>
          </cell>
          <cell r="AK6293" t="str">
            <v>Karl Augenstein</v>
          </cell>
        </row>
        <row r="6294">
          <cell r="C6294" t="str">
            <v>Enterprise Ops AMD 5</v>
          </cell>
          <cell r="H6294">
            <v>5040322</v>
          </cell>
          <cell r="AK6294" t="str">
            <v>Michael Mathew</v>
          </cell>
        </row>
        <row r="6295">
          <cell r="C6295" t="str">
            <v>FIS IMO H2 2021 Extension</v>
          </cell>
          <cell r="H6295">
            <v>5042783</v>
          </cell>
          <cell r="AK6295" t="str">
            <v>Erik Johnson</v>
          </cell>
        </row>
        <row r="6296">
          <cell r="C6296" t="str">
            <v>GS GSAM 2021 Program Management Q3, Q4</v>
          </cell>
          <cell r="H6296">
            <v>5042772</v>
          </cell>
          <cell r="AK6296" t="str">
            <v>Parul Chowdhry</v>
          </cell>
        </row>
        <row r="6297">
          <cell r="C6297" t="str">
            <v>HB_Abrigo Rationalize&amp;Optimize</v>
          </cell>
          <cell r="H6297">
            <v>5042546</v>
          </cell>
          <cell r="AK6297" t="str">
            <v>William Sachs</v>
          </cell>
        </row>
        <row r="6298">
          <cell r="C6298" t="str">
            <v>Amerant - Staff Augmentation</v>
          </cell>
          <cell r="H6298">
            <v>5042967</v>
          </cell>
          <cell r="AK6298" t="str">
            <v>Lawana Clark</v>
          </cell>
        </row>
        <row r="6299">
          <cell r="C6299" t="str">
            <v>IC_BA and PTier_Support_21 Q3</v>
          </cell>
          <cell r="H6299">
            <v>5042704</v>
          </cell>
          <cell r="AK6299" t="str">
            <v>James Jeffries</v>
          </cell>
        </row>
        <row r="6300">
          <cell r="C6300" t="str">
            <v>DB AFC Global ICC 2021</v>
          </cell>
          <cell r="H6300">
            <v>5042779</v>
          </cell>
          <cell r="AK6300" t="str">
            <v>Ruby Cherian</v>
          </cell>
        </row>
        <row r="6301">
          <cell r="C6301" t="str">
            <v>SD Compliance PMO</v>
          </cell>
          <cell r="H6301">
            <v>5039780</v>
          </cell>
          <cell r="AK6301" t="str">
            <v>Matthew Rodgers</v>
          </cell>
        </row>
        <row r="6302">
          <cell r="C6302" t="str">
            <v>CSB_Verafin Optimization</v>
          </cell>
          <cell r="H6302">
            <v>5042271</v>
          </cell>
          <cell r="AK6302" t="str">
            <v>Charles Mcwilliam</v>
          </cell>
        </row>
        <row r="6303">
          <cell r="C6303" t="str">
            <v>JCREW BAU RTB Support H2 Extension</v>
          </cell>
          <cell r="H6303">
            <v>5041826</v>
          </cell>
          <cell r="AK6303" t="str">
            <v>John McCaffrey</v>
          </cell>
        </row>
        <row r="6304">
          <cell r="C6304" t="str">
            <v>Better M_Compliance Review</v>
          </cell>
          <cell r="H6304">
            <v>5042218</v>
          </cell>
          <cell r="AK6304" t="str">
            <v>Susan Stevenson</v>
          </cell>
        </row>
        <row r="6305">
          <cell r="C6305" t="str">
            <v>ICG Data Lineage 2021 Q3</v>
          </cell>
          <cell r="H6305">
            <v>5041313</v>
          </cell>
          <cell r="AK6305" t="str">
            <v>Thomas Evans</v>
          </cell>
        </row>
        <row r="6306">
          <cell r="C6306" t="str">
            <v>Jefferies SecFin July 2021</v>
          </cell>
          <cell r="H6306">
            <v>5039905</v>
          </cell>
          <cell r="AK6306" t="str">
            <v>Scott Kennedy</v>
          </cell>
        </row>
        <row r="6307">
          <cell r="C6307" t="str">
            <v>T4O-India and Eastern European Team</v>
          </cell>
          <cell r="H6307">
            <v>5042913</v>
          </cell>
          <cell r="AK6307" t="str">
            <v>Sandra Paris</v>
          </cell>
        </row>
        <row r="6308">
          <cell r="C6308" t="str">
            <v>FrMc_ICM Q3</v>
          </cell>
          <cell r="H6308">
            <v>5042185</v>
          </cell>
          <cell r="AK6308" t="str">
            <v>Jeliaz Chtilianov</v>
          </cell>
        </row>
        <row r="6309">
          <cell r="C6309" t="str">
            <v>AB_Interim CRA Officer</v>
          </cell>
          <cell r="H6309">
            <v>5042778</v>
          </cell>
          <cell r="AK6309" t="str">
            <v>Pamela Acciardo</v>
          </cell>
        </row>
        <row r="6310">
          <cell r="C6310" t="str">
            <v>GS Wealth 2021 Q3 Q4</v>
          </cell>
          <cell r="H6310">
            <v>5042760</v>
          </cell>
          <cell r="AK6310" t="str">
            <v>Parul Chowdhry</v>
          </cell>
        </row>
        <row r="6311">
          <cell r="C6311" t="str">
            <v>CSB_BSA Independent Test</v>
          </cell>
          <cell r="H6311">
            <v>5042272</v>
          </cell>
          <cell r="AK6311" t="str">
            <v>Charles Mcwilliam</v>
          </cell>
        </row>
        <row r="6312">
          <cell r="C6312" t="str">
            <v>JEFF_LIBOR Implementation</v>
          </cell>
          <cell r="H6312">
            <v>5041449</v>
          </cell>
          <cell r="AK6312" t="str">
            <v>Conor Dowling</v>
          </cell>
        </row>
        <row r="6313">
          <cell r="C6313" t="str">
            <v>Apiture 2021 Phase 2</v>
          </cell>
          <cell r="H6313">
            <v>5042028</v>
          </cell>
          <cell r="AK6313" t="str">
            <v>Kevin Miologos</v>
          </cell>
        </row>
        <row r="6314">
          <cell r="C6314" t="str">
            <v>Cloud PM Extension H2 2021</v>
          </cell>
          <cell r="H6314">
            <v>5039823</v>
          </cell>
          <cell r="AK6314" t="str">
            <v>John McCaffrey</v>
          </cell>
        </row>
        <row r="6315">
          <cell r="C6315" t="str">
            <v>GS Stock Lending Transformation</v>
          </cell>
          <cell r="H6315">
            <v>5042708</v>
          </cell>
          <cell r="AK6315" t="str">
            <v>Parul Chowdhry</v>
          </cell>
        </row>
        <row r="6316">
          <cell r="C6316" t="str">
            <v>HSBC-DBS-OCC Remediation Support Team (Wave 2-3)</v>
          </cell>
          <cell r="H6316">
            <v>5042622</v>
          </cell>
          <cell r="AK6316" t="str">
            <v>Peter Brown</v>
          </cell>
        </row>
        <row r="6317">
          <cell r="C6317" t="str">
            <v>EGM - Truist Dev Delivery Q3</v>
          </cell>
          <cell r="H6317">
            <v>5042674</v>
          </cell>
          <cell r="AK6317" t="str">
            <v>Brett Knickle</v>
          </cell>
        </row>
        <row r="6318">
          <cell r="C6318" t="str">
            <v>KofC TMO &amp; Change Management Support</v>
          </cell>
          <cell r="H6318">
            <v>5042709</v>
          </cell>
          <cell r="AK6318" t="str">
            <v>Darrell Ponzio</v>
          </cell>
        </row>
        <row r="6319">
          <cell r="C6319" t="str">
            <v>SVB_043-ER-ST-Enterprise Agile Support</v>
          </cell>
          <cell r="H6319">
            <v>5042067</v>
          </cell>
          <cell r="AK6319" t="str">
            <v>Karl Augenstein</v>
          </cell>
        </row>
        <row r="6320">
          <cell r="C6320" t="str">
            <v>SVB_042-PB-BP-Integration Support</v>
          </cell>
          <cell r="H6320">
            <v>5042067</v>
          </cell>
          <cell r="AK6320" t="str">
            <v>Karl Augenstein</v>
          </cell>
        </row>
        <row r="6321">
          <cell r="C6321" t="str">
            <v>SVB_056-IT-ST-Coml and PB Strat Support</v>
          </cell>
          <cell r="H6321">
            <v>5042067</v>
          </cell>
          <cell r="AK6321" t="str">
            <v>Karl Augenstein</v>
          </cell>
        </row>
        <row r="6322">
          <cell r="C6322" t="str">
            <v>HSBC-WS-CMB-QC-PPP Program Extension (Q3)</v>
          </cell>
          <cell r="H6322">
            <v>5041447</v>
          </cell>
          <cell r="AK6322" t="str">
            <v>Peter Brown</v>
          </cell>
        </row>
        <row r="6323">
          <cell r="C6323" t="str">
            <v>Lennar Mortgage LLC BSA Ind Test</v>
          </cell>
          <cell r="H6323">
            <v>5042922</v>
          </cell>
          <cell r="AK6323" t="str">
            <v>Charles Mcwilliam</v>
          </cell>
        </row>
        <row r="6324">
          <cell r="C6324" t="str">
            <v>Patelco ERM Strategy</v>
          </cell>
          <cell r="H6324">
            <v>5042732</v>
          </cell>
          <cell r="AK6324" t="str">
            <v>Linda Graham</v>
          </cell>
        </row>
        <row r="6325">
          <cell r="C6325" t="str">
            <v>MS Wealth ETRADE UAT New Relationship</v>
          </cell>
          <cell r="H6325">
            <v>5042810</v>
          </cell>
          <cell r="AK6325" t="str">
            <v>Balaji Ramamurthy</v>
          </cell>
        </row>
        <row r="6326">
          <cell r="C6326" t="str">
            <v>MS_WM_Private Bank Bank Implementation Work</v>
          </cell>
          <cell r="H6326">
            <v>5041413</v>
          </cell>
          <cell r="AK6326" t="str">
            <v>Nic Parmaksizian</v>
          </cell>
        </row>
        <row r="6327">
          <cell r="C6327" t="str">
            <v>HSBC-DBS-OCC Remediation Support Team  (Wave 2-4)</v>
          </cell>
          <cell r="H6327">
            <v>5042622</v>
          </cell>
          <cell r="AK6327" t="str">
            <v>Peter Brown</v>
          </cell>
        </row>
        <row r="6328">
          <cell r="C6328" t="str">
            <v>CAT QA H2 2021 Extension</v>
          </cell>
          <cell r="H6328">
            <v>5039421</v>
          </cell>
          <cell r="AK6328" t="str">
            <v>John McCaffrey</v>
          </cell>
        </row>
        <row r="6329">
          <cell r="C6329" t="str">
            <v>Alliance Bernstein - Digital Retail Wealth Site Redesign (Phases 1 and 2)</v>
          </cell>
          <cell r="H6329">
            <v>5042849</v>
          </cell>
          <cell r="AK6329" t="str">
            <v>Ben Burrows</v>
          </cell>
        </row>
        <row r="6330">
          <cell r="C6330" t="str">
            <v>Fair Lending Risk Assessment</v>
          </cell>
          <cell r="H6330">
            <v>5042777</v>
          </cell>
          <cell r="AK6330" t="str">
            <v>Delsys Salas</v>
          </cell>
        </row>
        <row r="6331">
          <cell r="C6331" t="str">
            <v>TIAA - Advice Technology Support</v>
          </cell>
          <cell r="H6331">
            <v>5042801</v>
          </cell>
          <cell r="AK6331" t="str">
            <v>Nikhil Sharma</v>
          </cell>
        </row>
        <row r="6332">
          <cell r="C6332" t="str">
            <v>SVB_035-IT-ST-Cloud Governance Extension</v>
          </cell>
          <cell r="H6332">
            <v>5042067</v>
          </cell>
          <cell r="AK6332" t="str">
            <v>Karl Augenstein</v>
          </cell>
        </row>
        <row r="6333">
          <cell r="C6333" t="str">
            <v>SBSD bridge to Implementation</v>
          </cell>
          <cell r="H6333">
            <v>5042331</v>
          </cell>
          <cell r="AK6333" t="str">
            <v>Jack Stevens</v>
          </cell>
        </row>
        <row r="6334">
          <cell r="C6334" t="str">
            <v>MS Training for Executive Assistants</v>
          </cell>
          <cell r="H6334">
            <v>5042594</v>
          </cell>
          <cell r="AK6334" t="str">
            <v>Christine Garrard</v>
          </cell>
        </row>
        <row r="6335">
          <cell r="C6335" t="str">
            <v>TCB_BSA_OFAC ProgramVerificion</v>
          </cell>
          <cell r="H6335">
            <v>5042880</v>
          </cell>
          <cell r="AK6335" t="str">
            <v>Mary Louise Radley</v>
          </cell>
        </row>
        <row r="6336">
          <cell r="C6336" t="str">
            <v>Broadridge / Rockall - Wells Fargo SBL delivery - Product Mgmt</v>
          </cell>
          <cell r="H6336">
            <v>5042844</v>
          </cell>
          <cell r="AK6336" t="str">
            <v>Kyle Chavers</v>
          </cell>
        </row>
        <row r="6337">
          <cell r="C6337" t="str">
            <v>CDE PM and Process v2</v>
          </cell>
          <cell r="H6337">
            <v>5041513</v>
          </cell>
          <cell r="AK6337" t="str">
            <v>Eric Fairchild</v>
          </cell>
        </row>
        <row r="6338">
          <cell r="C6338" t="str">
            <v>Bryn Mawr Alerts Clearing</v>
          </cell>
          <cell r="H6338">
            <v>5042829</v>
          </cell>
          <cell r="AK6338" t="str">
            <v>Patrice Nye</v>
          </cell>
        </row>
        <row r="6339">
          <cell r="C6339" t="str">
            <v>UB_117_CBT Bus &amp;amp; Ops</v>
          </cell>
          <cell r="H6339">
            <v>5042813</v>
          </cell>
          <cell r="AK6339" t="str">
            <v>Samuel Awsumb</v>
          </cell>
        </row>
        <row r="6340">
          <cell r="C6340" t="str">
            <v>UB_099_CBT Bus Jrnys CO5</v>
          </cell>
          <cell r="H6340">
            <v>5039014</v>
          </cell>
          <cell r="AK6340" t="str">
            <v>Samuel Awsumb</v>
          </cell>
        </row>
        <row r="6341">
          <cell r="C6341" t="str">
            <v>CMS Optimizer</v>
          </cell>
          <cell r="H6341">
            <v>5042026</v>
          </cell>
          <cell r="AK6341" t="str">
            <v>Pamela Acciardo</v>
          </cell>
        </row>
        <row r="6342">
          <cell r="C6342" t="str">
            <v>key paperless execution</v>
          </cell>
          <cell r="H6342">
            <v>5042840</v>
          </cell>
          <cell r="AK6342" t="str">
            <v>Samuel Awsumb</v>
          </cell>
        </row>
        <row r="6343">
          <cell r="C6343" t="str">
            <v>Madison UX/UI Designer</v>
          </cell>
          <cell r="H6343">
            <v>5042439</v>
          </cell>
          <cell r="AK6343" t="str">
            <v>Aoife Hogan</v>
          </cell>
        </row>
        <row r="6344">
          <cell r="C6344" t="str">
            <v>UB_108_CBT Jira Sup CO3</v>
          </cell>
          <cell r="H6344">
            <v>5039270</v>
          </cell>
          <cell r="AK6344" t="str">
            <v>Samuel Awsumb</v>
          </cell>
        </row>
        <row r="6345">
          <cell r="C6345" t="str">
            <v>FX IT PMO</v>
          </cell>
          <cell r="H6345">
            <v>5041245</v>
          </cell>
          <cell r="AK6345" t="str">
            <v>Conor Dowling</v>
          </cell>
        </row>
        <row r="6346">
          <cell r="C6346" t="str">
            <v>UB_111_CBT Deploy Ops CO3</v>
          </cell>
          <cell r="H6346">
            <v>5040590</v>
          </cell>
          <cell r="AK6346" t="str">
            <v>Samuel Awsumb</v>
          </cell>
        </row>
        <row r="6347">
          <cell r="C6347" t="str">
            <v>RBCUS_Stock Loan F2B Tech Alignment Extension</v>
          </cell>
          <cell r="H6347">
            <v>5042380</v>
          </cell>
          <cell r="AK6347" t="str">
            <v>Justin Gonlag</v>
          </cell>
        </row>
        <row r="6348">
          <cell r="C6348" t="str">
            <v>HSBC-DBS-OCC Remediation Support Team (Wave 2-5)</v>
          </cell>
          <cell r="H6348">
            <v>5042622</v>
          </cell>
          <cell r="AK6348" t="str">
            <v>Peter Brown</v>
          </cell>
        </row>
        <row r="6349">
          <cell r="C6349" t="str">
            <v>SVB_063-IT-BP- PMO&amp;amp;Tech Leads</v>
          </cell>
          <cell r="H6349">
            <v>5042067</v>
          </cell>
          <cell r="AK6349" t="str">
            <v>Karl Augenstein</v>
          </cell>
        </row>
        <row r="6350">
          <cell r="C6350" t="str">
            <v>SVB_061-IT-ST-EAT Jira Support</v>
          </cell>
          <cell r="H6350">
            <v>5042067</v>
          </cell>
          <cell r="AK6350" t="str">
            <v>Karl Augenstein</v>
          </cell>
        </row>
        <row r="6351">
          <cell r="C6351" t="str">
            <v>Citadel - Compensation Planning Tool</v>
          </cell>
          <cell r="H6351">
            <v>5042889</v>
          </cell>
          <cell r="AK6351" t="str">
            <v>Rad Ashok</v>
          </cell>
        </row>
        <row r="6352">
          <cell r="C6352" t="str">
            <v>DVP Program Manager</v>
          </cell>
          <cell r="H6352">
            <v>5042879</v>
          </cell>
          <cell r="AK6352" t="str">
            <v>Chelsea Mattias</v>
          </cell>
        </row>
        <row r="6353">
          <cell r="C6353" t="str">
            <v>HSBC-MSS-US 15a-6 PM</v>
          </cell>
          <cell r="H6353">
            <v>5042947</v>
          </cell>
          <cell r="AK6353" t="str">
            <v>Peter Brown</v>
          </cell>
        </row>
        <row r="6354">
          <cell r="C6354" t="str">
            <v>Santander Command Center Extension</v>
          </cell>
          <cell r="H6354">
            <v>5042874</v>
          </cell>
          <cell r="AK6354" t="str">
            <v>WJ Teel</v>
          </cell>
        </row>
        <row r="6355">
          <cell r="C6355" t="str">
            <v>HSBC-WPB-Agile BA Team - Phase 2</v>
          </cell>
          <cell r="H6355">
            <v>5042622</v>
          </cell>
          <cell r="AK6355" t="str">
            <v>Peter Brown</v>
          </cell>
        </row>
        <row r="6356">
          <cell r="C6356" t="str">
            <v>Lazard_Automation Advisor</v>
          </cell>
          <cell r="H6356">
            <v>5042891</v>
          </cell>
          <cell r="AK6356" t="str">
            <v>Jason Noran</v>
          </cell>
        </row>
        <row r="6357">
          <cell r="C6357" t="str">
            <v>Global Atlantic - Digital RTE Support</v>
          </cell>
          <cell r="H6357">
            <v>5042824</v>
          </cell>
          <cell r="AK6357" t="str">
            <v>Douglas Sieg</v>
          </cell>
        </row>
        <row r="6358">
          <cell r="C6358" t="str">
            <v>SVB_065-PR-GW-UI/UX Addition</v>
          </cell>
          <cell r="H6358">
            <v>5042067</v>
          </cell>
          <cell r="AK6358" t="str">
            <v>Karl Augenstein</v>
          </cell>
        </row>
        <row r="6359">
          <cell r="C6359" t="str">
            <v>BNYM - SBSD Implementation</v>
          </cell>
          <cell r="H6359">
            <v>5042331</v>
          </cell>
          <cell r="AK6359" t="str">
            <v>Jack Stevens</v>
          </cell>
        </row>
        <row r="6360">
          <cell r="C6360" t="str">
            <v>WF_Corporate Risk Remediation</v>
          </cell>
          <cell r="H6360">
            <v>5042855</v>
          </cell>
          <cell r="AK6360" t="str">
            <v>Daniel Outcalt</v>
          </cell>
        </row>
        <row r="6361">
          <cell r="C6361" t="str">
            <v>CBOAR_TRID Post-Close QA/QC</v>
          </cell>
          <cell r="H6361">
            <v>5042731</v>
          </cell>
          <cell r="AK6361" t="str">
            <v>Susan Stevenson</v>
          </cell>
        </row>
        <row r="6362">
          <cell r="C6362" t="str">
            <v>Savers Bank_CMS</v>
          </cell>
          <cell r="H6362">
            <v>5042911</v>
          </cell>
          <cell r="AK6362" t="str">
            <v>Lawana Clark</v>
          </cell>
        </row>
        <row r="6363">
          <cell r="C6363" t="str">
            <v>3PD Program Leadership H2</v>
          </cell>
          <cell r="H6363">
            <v>5042890</v>
          </cell>
          <cell r="AK6363" t="str">
            <v>Darrell Ponzio</v>
          </cell>
        </row>
        <row r="6364">
          <cell r="C6364" t="str">
            <v>Empire State Bank_CRA Services</v>
          </cell>
          <cell r="H6364">
            <v>5042910</v>
          </cell>
          <cell r="AK6364" t="str">
            <v>Mariana Dumanovsky</v>
          </cell>
        </row>
        <row r="6365">
          <cell r="C6365" t="str">
            <v>Verafin Rationalization and Optimization</v>
          </cell>
          <cell r="H6365">
            <v>5029717</v>
          </cell>
          <cell r="AK6365" t="str">
            <v>Mary Louise Radley</v>
          </cell>
        </row>
        <row r="6366">
          <cell r="C6366" t="str">
            <v>Data CoE Extension_Lucas Pontillo</v>
          </cell>
          <cell r="H6366">
            <v>5041398</v>
          </cell>
          <cell r="AK6366" t="str">
            <v>Keith Paradise</v>
          </cell>
        </row>
        <row r="6367">
          <cell r="C6367" t="str">
            <v>Taiwan Business Bank BSA Officer Support</v>
          </cell>
          <cell r="H6367">
            <v>5042673</v>
          </cell>
          <cell r="AK6367" t="str">
            <v>William Sachs</v>
          </cell>
        </row>
        <row r="6368">
          <cell r="C6368" t="str">
            <v>GoldmanBnk_Eligibility Reviews Extn</v>
          </cell>
          <cell r="H6368">
            <v>5042867</v>
          </cell>
          <cell r="AK6368" t="str">
            <v>Christian Maier</v>
          </cell>
        </row>
        <row r="6369">
          <cell r="C6369" t="str">
            <v>Preferred - Compliance Audit</v>
          </cell>
          <cell r="H6369">
            <v>5042555</v>
          </cell>
          <cell r="AK6369" t="str">
            <v>Mary Louise Radley</v>
          </cell>
        </row>
        <row r="6370">
          <cell r="C6370" t="str">
            <v>Audit Support Extn</v>
          </cell>
          <cell r="H6370">
            <v>5042447</v>
          </cell>
          <cell r="AK6370" t="str">
            <v>Samuel Desta</v>
          </cell>
        </row>
        <row r="6371">
          <cell r="C6371" t="str">
            <v>GFS_CMS and BSA AML Audit</v>
          </cell>
          <cell r="H6371">
            <v>5042750</v>
          </cell>
          <cell r="AK6371" t="str">
            <v>Mary Louise Radley</v>
          </cell>
        </row>
        <row r="6372">
          <cell r="C6372" t="str">
            <v>WTB- Risk Appetite</v>
          </cell>
          <cell r="H6372">
            <v>5042953</v>
          </cell>
          <cell r="AK6372" t="str">
            <v>Aiswarya Parameswaran</v>
          </cell>
        </row>
        <row r="6373">
          <cell r="C6373" t="str">
            <v>UBS WMAP Advisory Billing</v>
          </cell>
          <cell r="H6373">
            <v>5042868</v>
          </cell>
          <cell r="AK6373" t="str">
            <v>Daniel Holness</v>
          </cell>
        </row>
        <row r="6374">
          <cell r="C6374" t="str">
            <v>FrMc_Cloud Data Transformation (Amd 2)</v>
          </cell>
          <cell r="H6374">
            <v>5041890</v>
          </cell>
          <cell r="AK6374" t="str">
            <v>Chad Bonadonna</v>
          </cell>
        </row>
        <row r="6375">
          <cell r="C6375" t="str">
            <v>MS Data CoE Executive PM</v>
          </cell>
          <cell r="H6375">
            <v>5041398</v>
          </cell>
          <cell r="AK6375" t="str">
            <v>Keith Paradise</v>
          </cell>
        </row>
        <row r="6376">
          <cell r="C6376" t="str">
            <v>Prudential Independent Agent model</v>
          </cell>
          <cell r="H6376">
            <v>5042937</v>
          </cell>
          <cell r="AK6376" t="str">
            <v>Matthew Berkowitz</v>
          </cell>
        </row>
        <row r="6377">
          <cell r="C6377" t="str">
            <v>Investors Tax and Insurance support</v>
          </cell>
          <cell r="H6377">
            <v>5042276</v>
          </cell>
          <cell r="AK6377" t="str">
            <v>Jennifer Lifgren</v>
          </cell>
        </row>
        <row r="6378">
          <cell r="C6378" t="str">
            <v>SVB_070-DA-ST-Enable Pillar for EDO Ext</v>
          </cell>
          <cell r="H6378">
            <v>5042067</v>
          </cell>
          <cell r="AK6378" t="str">
            <v>Karl Augenstein</v>
          </cell>
        </row>
        <row r="6379">
          <cell r="C6379" t="str">
            <v>USAA MBT Additional BAU Support</v>
          </cell>
          <cell r="H6379">
            <v>5042035</v>
          </cell>
          <cell r="AK6379" t="str">
            <v>Samuel Desta</v>
          </cell>
        </row>
        <row r="6380">
          <cell r="C6380" t="str">
            <v>SVB_069-PR-VT-ODP Launch Campaign</v>
          </cell>
          <cell r="H6380">
            <v>5042067</v>
          </cell>
          <cell r="AK6380" t="str">
            <v>Karl Augenstein</v>
          </cell>
        </row>
        <row r="6381">
          <cell r="C6381" t="str">
            <v>JEFF_FX BA / TESTER</v>
          </cell>
          <cell r="H6381">
            <v>5038860</v>
          </cell>
          <cell r="AK6381" t="str">
            <v>Conor Dowling</v>
          </cell>
        </row>
        <row r="6382">
          <cell r="C6382" t="str">
            <v>Integration Planning Pt 9</v>
          </cell>
          <cell r="H6382">
            <v>5042915</v>
          </cell>
          <cell r="AK6382" t="str">
            <v>Eric Fairchild</v>
          </cell>
        </row>
        <row r="6383">
          <cell r="C6383" t="str">
            <v>RPA Support August</v>
          </cell>
          <cell r="H6383">
            <v>5039905</v>
          </cell>
          <cell r="AK6383" t="str">
            <v>Scott Kennedy</v>
          </cell>
        </row>
        <row r="6384">
          <cell r="C6384" t="str">
            <v>HSBC-RSK-FRB DMA Q3 Extension</v>
          </cell>
          <cell r="H6384">
            <v>5038104</v>
          </cell>
          <cell r="AK6384" t="str">
            <v>Peter Brown</v>
          </cell>
        </row>
        <row r="6385">
          <cell r="C6385" t="str">
            <v>Jefferies SecFin RPA Aug-Dec</v>
          </cell>
          <cell r="H6385">
            <v>5043023</v>
          </cell>
          <cell r="AK6385" t="str">
            <v>Scott Kennedy</v>
          </cell>
        </row>
        <row r="6386">
          <cell r="C6386" t="str">
            <v>iptiQ - SwissRe; TPA Market Scan, Vendor Selection and Roadmap</v>
          </cell>
          <cell r="H6386">
            <v>5042882</v>
          </cell>
          <cell r="AK6386" t="str">
            <v>Tedd Patel</v>
          </cell>
        </row>
        <row r="6387">
          <cell r="C6387" t="str">
            <v>Ally_Lending LOC Execution</v>
          </cell>
          <cell r="H6387">
            <v>5042962</v>
          </cell>
          <cell r="AK6387" t="str">
            <v>Michael Crumpler</v>
          </cell>
        </row>
        <row r="6388">
          <cell r="C6388" t="str">
            <v>SVB_064-OP-ST-Operations Strategy Assessment</v>
          </cell>
          <cell r="H6388">
            <v>5042067</v>
          </cell>
          <cell r="AK6388" t="str">
            <v>Karl Augenstein</v>
          </cell>
        </row>
        <row r="6389">
          <cell r="C6389" t="str">
            <v>SVB_041-UK Subsidiary-E2E IT Delivery</v>
          </cell>
          <cell r="H6389">
            <v>5042067</v>
          </cell>
          <cell r="AK6389" t="str">
            <v>Karl Augenstein</v>
          </cell>
        </row>
        <row r="6390">
          <cell r="C6390" t="str">
            <v>MS_ISG_TTRO_Mumbai Incrementals 2021</v>
          </cell>
          <cell r="H6390">
            <v>5041458</v>
          </cell>
          <cell r="AK6390" t="str">
            <v>Mitali Drews</v>
          </cell>
        </row>
        <row r="6391">
          <cell r="C6391" t="str">
            <v>1st Colonial MQC 2021-2022</v>
          </cell>
          <cell r="H6391">
            <v>5043038</v>
          </cell>
          <cell r="AK6391" t="str">
            <v>Christian Maier</v>
          </cell>
        </row>
        <row r="6392">
          <cell r="C6392" t="str">
            <v>MSWM Investment Platforms Advice BA Support</v>
          </cell>
          <cell r="H6392">
            <v>5042898</v>
          </cell>
          <cell r="AK6392" t="str">
            <v>Leah Watson</v>
          </cell>
        </row>
        <row r="6393">
          <cell r="C6393" t="str">
            <v>Jefferies OpenFin Certified Dev COE</v>
          </cell>
          <cell r="H6393">
            <v>5043021</v>
          </cell>
          <cell r="AK6393" t="str">
            <v>Jason Noran</v>
          </cell>
        </row>
        <row r="6394">
          <cell r="C6394" t="str">
            <v>DB-PB-WLT-IT-Core Platform Program Lead</v>
          </cell>
          <cell r="H6394">
            <v>5042955</v>
          </cell>
          <cell r="AK6394" t="str">
            <v>Phil Kerkel</v>
          </cell>
        </row>
        <row r="6395">
          <cell r="C6395" t="str">
            <v>Broadridge Certification Platform</v>
          </cell>
          <cell r="H6395">
            <v>5042958</v>
          </cell>
          <cell r="AK6395" t="str">
            <v>Cheri Warner</v>
          </cell>
        </row>
        <row r="6396">
          <cell r="C6396" t="str">
            <v>WM UAT Etrade_Phase 2</v>
          </cell>
          <cell r="H6396">
            <v>5042810</v>
          </cell>
          <cell r="AK6396" t="str">
            <v>Balaji Ramamurthy</v>
          </cell>
        </row>
        <row r="6397">
          <cell r="C6397" t="str">
            <v>HSBC-DBS-OCC Remediation Support Team (Wave 2-6)</v>
          </cell>
          <cell r="H6397">
            <v>5042948</v>
          </cell>
          <cell r="AK6397" t="str">
            <v>Peter Brown</v>
          </cell>
        </row>
        <row r="6398">
          <cell r="C6398" t="str">
            <v>Amerant_MQC 2021-22</v>
          </cell>
          <cell r="H6398">
            <v>5043013</v>
          </cell>
          <cell r="AK6398" t="str">
            <v>Juan Pimentel</v>
          </cell>
        </row>
        <row r="6399">
          <cell r="C6399" t="str">
            <v>BNYM Reg Tech/Developers</v>
          </cell>
          <cell r="H6399">
            <v>5042968</v>
          </cell>
          <cell r="AK6399" t="str">
            <v>Dulcie Browning</v>
          </cell>
        </row>
        <row r="6400">
          <cell r="C6400" t="str">
            <v>Unqork Qorkboard UX Design</v>
          </cell>
          <cell r="H6400">
            <v>5041548</v>
          </cell>
          <cell r="AK6400" t="str">
            <v>Frantz Casimir</v>
          </cell>
        </row>
        <row r="6401">
          <cell r="C6401" t="str">
            <v>SVB_073-IT-ST-EAT Support</v>
          </cell>
          <cell r="H6401">
            <v>5042067</v>
          </cell>
          <cell r="AK6401" t="str">
            <v>Karl Augenstein</v>
          </cell>
        </row>
        <row r="6402">
          <cell r="C6402" t="str">
            <v>GA digital p2</v>
          </cell>
          <cell r="H6402">
            <v>5042966</v>
          </cell>
          <cell r="AK6402" t="str">
            <v>Douglas Sieg</v>
          </cell>
        </row>
        <row r="6403">
          <cell r="C6403" t="str">
            <v>DB CMCLM UKUS Tech Q4 2021 Ext</v>
          </cell>
          <cell r="H6403">
            <v>5042946</v>
          </cell>
          <cell r="AK6403" t="str">
            <v>Ruben Sooriya</v>
          </cell>
        </row>
        <row r="6404">
          <cell r="C6404" t="str">
            <v>MS BM Support</v>
          </cell>
          <cell r="H6404">
            <v>5042946</v>
          </cell>
          <cell r="AK6404" t="str">
            <v>Ruben Sooriya</v>
          </cell>
        </row>
        <row r="6405">
          <cell r="C6405" t="str">
            <v>Broadridge - Junior Data Analyst</v>
          </cell>
          <cell r="H6405">
            <v>5041342</v>
          </cell>
          <cell r="AK6405" t="str">
            <v>Phil Kerkel</v>
          </cell>
        </row>
        <row r="6406">
          <cell r="C6406" t="str">
            <v>ION Production Support</v>
          </cell>
          <cell r="H6406">
            <v>5040214</v>
          </cell>
          <cell r="AK6406" t="str">
            <v>Sarmistha Bhattacharjee</v>
          </cell>
        </row>
        <row r="6407">
          <cell r="C6407" t="str">
            <v>Investment Platforms COO Support</v>
          </cell>
          <cell r="H6407">
            <v>5042961</v>
          </cell>
          <cell r="AK6407" t="str">
            <v>Leah Watson</v>
          </cell>
        </row>
        <row r="6408">
          <cell r="C6408" t="str">
            <v>Guidance Financial_Expansion Strategy</v>
          </cell>
          <cell r="H6408">
            <v>5043088</v>
          </cell>
          <cell r="AK6408" t="str">
            <v>Alexander Hamlin</v>
          </cell>
        </row>
        <row r="6409">
          <cell r="C6409" t="str">
            <v>JEF_IB BI Tech BA - 2021 Ext</v>
          </cell>
          <cell r="H6409">
            <v>5042301</v>
          </cell>
          <cell r="AK6409" t="str">
            <v>Aoife Hogan</v>
          </cell>
        </row>
        <row r="6410">
          <cell r="C6410" t="str">
            <v>Animo_EnLt_Mobliz Exec Sup Ph1</v>
          </cell>
          <cell r="H6410">
            <v>5043110</v>
          </cell>
          <cell r="AK6410" t="str">
            <v>Samuel Awsumb</v>
          </cell>
        </row>
        <row r="6411">
          <cell r="C6411" t="str">
            <v>Alaska USA ERM Diagnostic and Risk Appetite</v>
          </cell>
          <cell r="H6411">
            <v>5043019</v>
          </cell>
          <cell r="AK6411" t="str">
            <v>Tania Makuh</v>
          </cell>
        </row>
        <row r="6412">
          <cell r="C6412" t="str">
            <v>Revantage strategy support</v>
          </cell>
          <cell r="H6412">
            <v>5043039</v>
          </cell>
          <cell r="AK6412" t="str">
            <v>Michael Tang</v>
          </cell>
        </row>
        <row r="6413">
          <cell r="C6413" t="str">
            <v>CNB VMO SA4</v>
          </cell>
          <cell r="H6413">
            <v>5041598</v>
          </cell>
          <cell r="AK6413" t="str">
            <v>Tyreek Trammell</v>
          </cell>
        </row>
        <row r="6414">
          <cell r="C6414" t="str">
            <v>SVB_Talent Acquisition ACTUAL</v>
          </cell>
          <cell r="H6414">
            <v>5043074</v>
          </cell>
          <cell r="AK6414" t="str">
            <v>Karl Augenstein</v>
          </cell>
        </row>
        <row r="6415">
          <cell r="C6415" t="str">
            <v>Commerce Bank_Commercial Platform</v>
          </cell>
          <cell r="H6415">
            <v>5043042</v>
          </cell>
          <cell r="AK6415" t="str">
            <v>John McHugh</v>
          </cell>
        </row>
        <row r="6416">
          <cell r="C6416" t="str">
            <v>Norwood Bank</v>
          </cell>
          <cell r="H6416">
            <v>5043056</v>
          </cell>
          <cell r="AK6416" t="str">
            <v>Pamela Acciardo</v>
          </cell>
        </row>
        <row r="6417">
          <cell r="C6417" t="str">
            <v>Compliance Support</v>
          </cell>
          <cell r="H6417">
            <v>5043059</v>
          </cell>
          <cell r="AK6417" t="str">
            <v>Matthew Rodgers</v>
          </cell>
        </row>
        <row r="6418">
          <cell r="C6418" t="str">
            <v>HSBC-DBS-OCC Remediation Support Team (Wave 2-7)</v>
          </cell>
          <cell r="H6418">
            <v>5042948</v>
          </cell>
          <cell r="AK6418" t="str">
            <v>Peter Brown</v>
          </cell>
        </row>
        <row r="6419">
          <cell r="C6419" t="str">
            <v>SVB_076-DA-ST-Policy Def&amp;amp;Imp</v>
          </cell>
          <cell r="H6419">
            <v>5042067</v>
          </cell>
          <cell r="AK6419" t="str">
            <v>Karl Augenstein</v>
          </cell>
        </row>
        <row r="6420">
          <cell r="C6420" t="str">
            <v>FID Strats Design Ext 2021</v>
          </cell>
          <cell r="H6420">
            <v>5041052</v>
          </cell>
          <cell r="AK6420" t="str">
            <v>Mitali Drews</v>
          </cell>
        </row>
        <row r="6421">
          <cell r="C6421" t="str">
            <v>VMO Vendor Rationalization</v>
          </cell>
          <cell r="H6421">
            <v>5043022</v>
          </cell>
          <cell r="AK6421" t="str">
            <v>Emily Glaessner</v>
          </cell>
        </row>
        <row r="6422">
          <cell r="C6422" t="str">
            <v>ANBTX Comparative File Review</v>
          </cell>
          <cell r="H6422">
            <v>5043321</v>
          </cell>
          <cell r="AK6422" t="str">
            <v>Delsys Salas</v>
          </cell>
        </row>
        <row r="6423">
          <cell r="C6423" t="str">
            <v>Application Analyst</v>
          </cell>
          <cell r="H6423">
            <v>5043020</v>
          </cell>
          <cell r="AK6423" t="str">
            <v>Betsy Cherian</v>
          </cell>
        </row>
        <row r="6424">
          <cell r="C6424" t="str">
            <v>JEF_Madison Content Mgmt. PM Aug-Sept</v>
          </cell>
          <cell r="H6424">
            <v>5042373</v>
          </cell>
          <cell r="AK6424" t="str">
            <v>Aoife Hogan</v>
          </cell>
        </row>
        <row r="6425">
          <cell r="C6425" t="str">
            <v>MS_REM_TPPM:Christopher Zamarripa</v>
          </cell>
          <cell r="H6425">
            <v>5041371</v>
          </cell>
          <cell r="AK6425" t="str">
            <v>Dan Schutzman</v>
          </cell>
        </row>
        <row r="6426">
          <cell r="C6426" t="str">
            <v>Murex Reporting Developer 1</v>
          </cell>
          <cell r="H6426">
            <v>5043161</v>
          </cell>
          <cell r="AK6426" t="str">
            <v>Manal Ray</v>
          </cell>
        </row>
        <row r="6427">
          <cell r="C6427" t="str">
            <v>UBS_WMAP Data Governance 2021 Ext</v>
          </cell>
          <cell r="H6427">
            <v>5043060</v>
          </cell>
          <cell r="AK6427" t="str">
            <v>Michael Zambon</v>
          </cell>
        </row>
        <row r="6428">
          <cell r="C6428" t="str">
            <v>Jefferies Citizen Development Program Phase 2</v>
          </cell>
          <cell r="H6428">
            <v>5042653</v>
          </cell>
          <cell r="AK6428" t="str">
            <v>Mike Smollar</v>
          </cell>
        </row>
        <row r="6429">
          <cell r="C6429" t="str">
            <v>MS ISG Bangalore NY Ext 2</v>
          </cell>
          <cell r="H6429">
            <v>5041368</v>
          </cell>
          <cell r="AK6429" t="str">
            <v>Mitali Drews</v>
          </cell>
        </row>
        <row r="6430">
          <cell r="C6430" t="str">
            <v>PM Support for TP BT70v4 pt 2</v>
          </cell>
          <cell r="H6430">
            <v>5041893</v>
          </cell>
          <cell r="AK6430" t="str">
            <v>Eric Fairchild</v>
          </cell>
        </row>
        <row r="6431">
          <cell r="C6431" t="str">
            <v>Jeff_Transcend Extension_Sep to Nov 2021</v>
          </cell>
          <cell r="H6431">
            <v>5039334</v>
          </cell>
          <cell r="AK6431" t="str">
            <v>Matthew Rodgers</v>
          </cell>
        </row>
        <row r="6432">
          <cell r="C6432" t="str">
            <v>CFPB Extension #2</v>
          </cell>
          <cell r="H6432">
            <v>5029784</v>
          </cell>
          <cell r="AK6432" t="str">
            <v>Diane Banks</v>
          </cell>
        </row>
        <row r="6433">
          <cell r="C6433" t="str">
            <v>FNBOE Internal Audits</v>
          </cell>
          <cell r="H6433">
            <v>5042989</v>
          </cell>
          <cell r="AK6433" t="str">
            <v>Mary Louise Radley</v>
          </cell>
        </row>
        <row r="6434">
          <cell r="C6434" t="str">
            <v>FrMc_Collibra ICM Role</v>
          </cell>
          <cell r="H6434">
            <v>5043109</v>
          </cell>
          <cell r="AK6434" t="str">
            <v>Jeliaz Chtilianov</v>
          </cell>
        </row>
        <row r="6435">
          <cell r="C6435" t="str">
            <v>Lazard Cloud Security and DevSecOps</v>
          </cell>
          <cell r="H6435">
            <v>5043065</v>
          </cell>
          <cell r="AK6435" t="str">
            <v>Jason Noran</v>
          </cell>
        </row>
        <row r="6436">
          <cell r="C6436" t="str">
            <v>Investors_Escrow Analyst</v>
          </cell>
          <cell r="H6436">
            <v>5043160</v>
          </cell>
          <cell r="AK6436" t="str">
            <v>Jennifer Lifgren</v>
          </cell>
        </row>
        <row r="6437">
          <cell r="C6437" t="str">
            <v>Two Sigma UMR Advisory on Retainer</v>
          </cell>
          <cell r="H6437">
            <v>5043155</v>
          </cell>
          <cell r="AK6437" t="str">
            <v>Justin Gonlag</v>
          </cell>
        </row>
        <row r="6438">
          <cell r="C6438" t="str">
            <v>SVB_077-IT-ST-GS Reporting Extension</v>
          </cell>
          <cell r="H6438">
            <v>5042067</v>
          </cell>
          <cell r="AK6438" t="str">
            <v>Karl Augenstein</v>
          </cell>
        </row>
        <row r="6439">
          <cell r="C6439" t="str">
            <v>Fieldpoint Encompass Project Extension</v>
          </cell>
          <cell r="H6439">
            <v>5040998</v>
          </cell>
          <cell r="AK6439" t="str">
            <v>Mariana Dumanovsky</v>
          </cell>
        </row>
        <row r="6440">
          <cell r="C6440" t="str">
            <v>MSAL_BSA Independent Testing</v>
          </cell>
          <cell r="H6440">
            <v>5041675</v>
          </cell>
          <cell r="AK6440" t="str">
            <v>Charles Lynn Piper</v>
          </cell>
        </row>
        <row r="6441">
          <cell r="C6441" t="str">
            <v>MS Wealth UAT_Asset Management Team</v>
          </cell>
          <cell r="H6441">
            <v>5043254</v>
          </cell>
          <cell r="AK6441" t="str">
            <v>Balaji Ramamurthy</v>
          </cell>
        </row>
        <row r="6442">
          <cell r="C6442" t="str">
            <v>088-FO-TR-Client Data Remediation Ext</v>
          </cell>
          <cell r="H6442">
            <v>5042067</v>
          </cell>
          <cell r="AK6442" t="str">
            <v>Karl Augenstein</v>
          </cell>
        </row>
        <row r="6443">
          <cell r="C6443" t="str">
            <v>First Elec_Annual CMS Audit</v>
          </cell>
          <cell r="H6443">
            <v>5042866</v>
          </cell>
          <cell r="AK6443" t="str">
            <v>Mary Louise Radley</v>
          </cell>
        </row>
        <row r="6444">
          <cell r="C6444" t="str">
            <v>Census FCU - BSA Update and Minor Policy Enhancement</v>
          </cell>
          <cell r="H6444">
            <v>5043131</v>
          </cell>
          <cell r="AK6444" t="str">
            <v>W. Annette Dredden</v>
          </cell>
        </row>
        <row r="6445">
          <cell r="C6445" t="str">
            <v>Cmty Bnk_Vendor Assessment</v>
          </cell>
          <cell r="H6445">
            <v>5043114</v>
          </cell>
          <cell r="AK6445" t="str">
            <v>Jason Davis</v>
          </cell>
        </row>
        <row r="6446">
          <cell r="C6446" t="str">
            <v>ACH Testing</v>
          </cell>
          <cell r="H6446">
            <v>5043091</v>
          </cell>
          <cell r="AK6446" t="str">
            <v>Robert Farmer</v>
          </cell>
        </row>
        <row r="6447">
          <cell r="C6447" t="str">
            <v>OceanFirst Bank / Risk Assessments</v>
          </cell>
          <cell r="H6447">
            <v>5043055</v>
          </cell>
          <cell r="AK6447" t="str">
            <v>Robert Farmer</v>
          </cell>
        </row>
        <row r="6448">
          <cell r="C6448" t="str">
            <v>IT PM Sourcing</v>
          </cell>
          <cell r="H6448">
            <v>5043002</v>
          </cell>
          <cell r="AK6448" t="str">
            <v>Chelsea Mattias</v>
          </cell>
        </row>
        <row r="6449">
          <cell r="C6449" t="str">
            <v>BCBank - CMSO</v>
          </cell>
          <cell r="H6449">
            <v>5043383</v>
          </cell>
          <cell r="AK6449" t="str">
            <v>Steve Manitzas</v>
          </cell>
        </row>
        <row r="6450">
          <cell r="C6450" t="str">
            <v>CLC EA Project Support Ph2</v>
          </cell>
          <cell r="H6450">
            <v>5041705</v>
          </cell>
          <cell r="AK6450" t="str">
            <v>Eric Fairchild</v>
          </cell>
        </row>
        <row r="6451">
          <cell r="C6451" t="str">
            <v>CBT_VA BSA Independent Testing</v>
          </cell>
          <cell r="H6451">
            <v>5042058</v>
          </cell>
          <cell r="AK6451" t="str">
            <v>Charles Mcwilliam</v>
          </cell>
        </row>
        <row r="6452">
          <cell r="C6452" t="str">
            <v>P&amp;G Mehoopany - IT Reviews</v>
          </cell>
          <cell r="H6452">
            <v>5040996</v>
          </cell>
          <cell r="AK6452" t="str">
            <v>Robert Farmer</v>
          </cell>
        </row>
        <row r="6453">
          <cell r="C6453" t="str">
            <v>Treasury Production Support</v>
          </cell>
          <cell r="H6453">
            <v>5039377</v>
          </cell>
          <cell r="AK6453" t="str">
            <v>Sarmistha Bhattacharjee</v>
          </cell>
        </row>
        <row r="6454">
          <cell r="C6454" t="str">
            <v>FIS Debit Migration Design Dev CR1</v>
          </cell>
          <cell r="H6454">
            <v>5043475</v>
          </cell>
          <cell r="AK6454" t="str">
            <v>Scott Jurgensen</v>
          </cell>
        </row>
        <row r="6455">
          <cell r="C6455" t="str">
            <v>SVB_078-IT-BP-Tech Backlog Mgmt Ext</v>
          </cell>
          <cell r="H6455">
            <v>5042067</v>
          </cell>
          <cell r="AK6455" t="str">
            <v>Karl Augenstein</v>
          </cell>
        </row>
        <row r="6456">
          <cell r="C6456" t="str">
            <v>SecFin RPA Support Sept</v>
          </cell>
          <cell r="H6456">
            <v>5039905</v>
          </cell>
          <cell r="AK6456" t="str">
            <v>Scott Kennedy</v>
          </cell>
        </row>
        <row r="6457">
          <cell r="C6457" t="str">
            <v>SVB_083-RP-GB-QA Investments</v>
          </cell>
          <cell r="H6457">
            <v>5042067</v>
          </cell>
          <cell r="AK6457" t="str">
            <v>Karl Augenstein</v>
          </cell>
        </row>
        <row r="6458">
          <cell r="C6458" t="str">
            <v>SVB_079-IT-ST-Portfolio Mgmt &amp;amp; Delivery Ext</v>
          </cell>
          <cell r="H6458">
            <v>5042067</v>
          </cell>
          <cell r="AK6458" t="str">
            <v>Karl Augenstein</v>
          </cell>
        </row>
        <row r="6459">
          <cell r="C6459" t="str">
            <v>SVB_086-GS-GB-India Test Engineer</v>
          </cell>
          <cell r="H6459">
            <v>5042067</v>
          </cell>
          <cell r="AK6459" t="str">
            <v>Karl Augenstein</v>
          </cell>
        </row>
        <row r="6460">
          <cell r="C6460" t="str">
            <v>HB_BOL Modernization 2021 Ext</v>
          </cell>
          <cell r="H6460">
            <v>5042763</v>
          </cell>
          <cell r="AK6460" t="str">
            <v>Imran Aquil</v>
          </cell>
        </row>
        <row r="6461">
          <cell r="C6461" t="str">
            <v>SVB_072-IT-ST-Cloud Governance</v>
          </cell>
          <cell r="H6461">
            <v>5042067</v>
          </cell>
          <cell r="AK6461" t="str">
            <v>Karl Augenstein</v>
          </cell>
        </row>
        <row r="6462">
          <cell r="C6462" t="str">
            <v>HSBC-DBS-OCC Remediation Support Team (Wave 2-8)</v>
          </cell>
          <cell r="H6462">
            <v>5042948</v>
          </cell>
          <cell r="AK6462" t="str">
            <v>Peter Brown</v>
          </cell>
        </row>
        <row r="6463">
          <cell r="C6463" t="str">
            <v>SVB_068-IT-ST-Org Change Management</v>
          </cell>
          <cell r="H6463">
            <v>5042067</v>
          </cell>
          <cell r="AK6463" t="str">
            <v>Karl Augenstein</v>
          </cell>
        </row>
        <row r="6464">
          <cell r="C6464" t="str">
            <v>Fannie Mae EUC Migration Expansion</v>
          </cell>
          <cell r="H6464">
            <v>5041635</v>
          </cell>
          <cell r="AK6464" t="str">
            <v>Brett Knickle</v>
          </cell>
        </row>
        <row r="6465">
          <cell r="C6465" t="str">
            <v>SVB_84-PS-TR-Payments Workshop</v>
          </cell>
          <cell r="H6465">
            <v>5042067</v>
          </cell>
          <cell r="AK6465" t="str">
            <v>Karl Augenstein</v>
          </cell>
        </row>
        <row r="6466">
          <cell r="C6466" t="str">
            <v>InvestCloud Implementation: BA/P-tier Support Q4</v>
          </cell>
          <cell r="H6466">
            <v>5042704</v>
          </cell>
          <cell r="AK6466" t="str">
            <v>James Jeffries</v>
          </cell>
        </row>
        <row r="6467">
          <cell r="C6467" t="str">
            <v>RPA Automation Support - Phase II</v>
          </cell>
          <cell r="H6467">
            <v>5043178</v>
          </cell>
          <cell r="AK6467" t="str">
            <v>Jason Noran</v>
          </cell>
        </row>
        <row r="6468">
          <cell r="C6468" t="str">
            <v>5043172 - CityFirst_BSA Staff Aug</v>
          </cell>
          <cell r="H6468">
            <v>5043172</v>
          </cell>
          <cell r="AK6468" t="str">
            <v>W. Annette Dredden</v>
          </cell>
        </row>
        <row r="6469">
          <cell r="C6469" t="str">
            <v>HSBC-WS-Client Migration Lead</v>
          </cell>
          <cell r="H6469">
            <v>5043157</v>
          </cell>
          <cell r="AK6469" t="str">
            <v>Peter Brown</v>
          </cell>
        </row>
        <row r="6470">
          <cell r="C6470" t="str">
            <v>Investors Acquired Loans Review</v>
          </cell>
          <cell r="H6470">
            <v>5043158</v>
          </cell>
          <cell r="AK6470" t="str">
            <v>Jennifer Lifgren</v>
          </cell>
        </row>
        <row r="6471">
          <cell r="C6471" t="str">
            <v>HSBC-DBS-Affiliate Transaction Office</v>
          </cell>
          <cell r="H6471">
            <v>5043143</v>
          </cell>
          <cell r="AK6471" t="str">
            <v>Peter Brown</v>
          </cell>
        </row>
        <row r="6472">
          <cell r="C6472" t="str">
            <v>ICBC USA MQC</v>
          </cell>
          <cell r="H6472">
            <v>5043296</v>
          </cell>
          <cell r="AK6472" t="str">
            <v>Christian Maier</v>
          </cell>
        </row>
        <row r="6473">
          <cell r="C6473" t="str">
            <v>VyStar BSA Model Validation</v>
          </cell>
          <cell r="H6473">
            <v>5043517</v>
          </cell>
          <cell r="AK6473" t="str">
            <v>Aiswarya Parameswaran</v>
          </cell>
        </row>
        <row r="6474">
          <cell r="C6474" t="str">
            <v>Animo_SOW 2_MVP 1 Support</v>
          </cell>
          <cell r="H6474">
            <v>5043500</v>
          </cell>
          <cell r="AK6474" t="str">
            <v>Samuel Awsumb</v>
          </cell>
        </row>
        <row r="6475">
          <cell r="C6475" t="str">
            <v>Animo_SOW 2_MVP 1 Support</v>
          </cell>
          <cell r="H6475">
            <v>5043500</v>
          </cell>
          <cell r="AK6475" t="str">
            <v>Samuel Awsumb</v>
          </cell>
        </row>
        <row r="6476">
          <cell r="C6476" t="str">
            <v>HSBC-MSS-PM/BA LATAM Custody Migration</v>
          </cell>
          <cell r="H6476">
            <v>5043152</v>
          </cell>
          <cell r="AK6476" t="str">
            <v>Peter Brown</v>
          </cell>
        </row>
        <row r="6477">
          <cell r="C6477" t="str">
            <v>Morgan Stanley Engagement &amp;amp; Adoption Role</v>
          </cell>
          <cell r="H6477">
            <v>5041382</v>
          </cell>
          <cell r="AK6477" t="str">
            <v>Leah Watson</v>
          </cell>
        </row>
        <row r="6478">
          <cell r="C6478" t="str">
            <v>Zainab Conversion</v>
          </cell>
          <cell r="H6478">
            <v>5041382</v>
          </cell>
          <cell r="AK6478" t="str">
            <v>Leah Watson</v>
          </cell>
        </row>
        <row r="6479">
          <cell r="C6479" t="str">
            <v>SVB_075-IT-ST-API Platform</v>
          </cell>
          <cell r="H6479">
            <v>5042067</v>
          </cell>
          <cell r="AK6479" t="str">
            <v>Karl Augenstein</v>
          </cell>
        </row>
        <row r="6480">
          <cell r="C6480" t="str">
            <v>SVB_094-GS-BAU-Workforce Optimization Extension</v>
          </cell>
          <cell r="H6480">
            <v>5042067</v>
          </cell>
          <cell r="AK6480" t="str">
            <v>Karl Augenstein</v>
          </cell>
        </row>
        <row r="6481">
          <cell r="C6481" t="str">
            <v>SVB_087-GS-BAU-Omina (MDM)</v>
          </cell>
          <cell r="H6481">
            <v>5042067</v>
          </cell>
          <cell r="AK6481" t="str">
            <v>Karl Augenstein</v>
          </cell>
        </row>
        <row r="6482">
          <cell r="C6482" t="str">
            <v>InvestCloud BA Support</v>
          </cell>
          <cell r="H6482">
            <v>5042318</v>
          </cell>
          <cell r="AK6482" t="str">
            <v>James Jeffries</v>
          </cell>
        </row>
        <row r="6483">
          <cell r="C6483" t="str">
            <v>Backbase_Roles for AFCU</v>
          </cell>
          <cell r="H6483">
            <v>5043473</v>
          </cell>
          <cell r="AK6483" t="str">
            <v>Luke Penca</v>
          </cell>
        </row>
        <row r="6484">
          <cell r="C6484" t="str">
            <v>Annuities &amp;amp; Insurance</v>
          </cell>
          <cell r="H6484">
            <v>5041382</v>
          </cell>
          <cell r="AK6484" t="str">
            <v>Leah Watson</v>
          </cell>
        </row>
        <row r="6485">
          <cell r="C6485" t="str">
            <v>CFPB- Compliance Traning 21-26</v>
          </cell>
          <cell r="H6485">
            <v>5043177</v>
          </cell>
          <cell r="AK6485" t="str">
            <v>Diane Banks</v>
          </cell>
        </row>
        <row r="6486">
          <cell r="C6486" t="str">
            <v>SVB_089-DA-ST-Policy Def&amp;amp;Imp Extension</v>
          </cell>
          <cell r="H6486">
            <v>5042067</v>
          </cell>
          <cell r="AK6486" t="str">
            <v>Karl Augenstein</v>
          </cell>
        </row>
        <row r="6487">
          <cell r="C6487" t="str">
            <v>Jefferies DevOps Transformation</v>
          </cell>
          <cell r="H6487">
            <v>5043326</v>
          </cell>
          <cell r="AK6487" t="str">
            <v>Nicholas Perkins</v>
          </cell>
        </row>
        <row r="6488">
          <cell r="C6488" t="str">
            <v>HSBC-DBS-OCC Remediation Support Team (Wave 2-9)</v>
          </cell>
          <cell r="H6488">
            <v>5042948</v>
          </cell>
          <cell r="AK6488" t="str">
            <v>Peter Brown</v>
          </cell>
        </row>
        <row r="6489">
          <cell r="C6489" t="str">
            <v>DSG_Operating Model Sup</v>
          </cell>
          <cell r="H6489">
            <v>5043253</v>
          </cell>
          <cell r="AK6489" t="str">
            <v>Justin Wellen</v>
          </cell>
        </row>
        <row r="6490">
          <cell r="C6490" t="str">
            <v>DSG_Portfolio Mgmnt Sup</v>
          </cell>
          <cell r="H6490">
            <v>5043252</v>
          </cell>
          <cell r="AK6490" t="str">
            <v>Kyle Chavers</v>
          </cell>
        </row>
        <row r="6491">
          <cell r="C6491" t="str">
            <v>Unqork Configuration Staffing</v>
          </cell>
          <cell r="H6491">
            <v>5043221</v>
          </cell>
          <cell r="AK6491" t="str">
            <v>Phil Kerkel</v>
          </cell>
        </row>
        <row r="6492">
          <cell r="C6492" t="str">
            <v>SB Danbury HMDA 2021 Reviews</v>
          </cell>
          <cell r="H6492">
            <v>5044154</v>
          </cell>
          <cell r="AK6492" t="str">
            <v>Juan Pimentel</v>
          </cell>
        </row>
        <row r="6493">
          <cell r="C6493" t="str">
            <v>FrMc_ICM Product Analyst Role</v>
          </cell>
          <cell r="H6493">
            <v>5043195</v>
          </cell>
          <cell r="AK6493" t="str">
            <v>Michael Mathew</v>
          </cell>
        </row>
        <row r="6494">
          <cell r="C6494" t="str">
            <v>ICG NWTL and QFC Project Management</v>
          </cell>
          <cell r="H6494">
            <v>5043210</v>
          </cell>
          <cell r="AK6494" t="str">
            <v>Ervinas Janavicius</v>
          </cell>
        </row>
        <row r="6495">
          <cell r="C6495" t="str">
            <v>DB-CRB-AS-IT-UX Design Workshops</v>
          </cell>
          <cell r="H6495">
            <v>5043237</v>
          </cell>
          <cell r="AK6495" t="str">
            <v>Conor Hodnett</v>
          </cell>
        </row>
        <row r="6496">
          <cell r="C6496" t="str">
            <v>Prudential Independent Agent model Part 2</v>
          </cell>
          <cell r="H6496">
            <v>5042937</v>
          </cell>
          <cell r="AK6496" t="str">
            <v>Matthew Berkowitz</v>
          </cell>
        </row>
        <row r="6497">
          <cell r="C6497" t="str">
            <v>SVB_092-GS-IF-API Platform Addition</v>
          </cell>
          <cell r="H6497">
            <v>5042067</v>
          </cell>
          <cell r="AK6497" t="str">
            <v>Karl Augenstein</v>
          </cell>
        </row>
        <row r="6498">
          <cell r="C6498" t="str">
            <v>HSBC-DBS-OCC Remediation Data PM (1) - PB - Extension</v>
          </cell>
          <cell r="H6498">
            <v>5041810</v>
          </cell>
          <cell r="AK6498" t="str">
            <v>Steven D'Angelo</v>
          </cell>
        </row>
        <row r="6499">
          <cell r="C6499" t="str">
            <v>Fannie Mae EUC Team Expansion, 8/24</v>
          </cell>
          <cell r="H6499">
            <v>5041635</v>
          </cell>
          <cell r="AK6499" t="str">
            <v>Brett Knickle</v>
          </cell>
        </row>
        <row r="6500">
          <cell r="C6500" t="str">
            <v>SVB_096-IT-VT-OCM Support Data Loss Prevention</v>
          </cell>
          <cell r="H6500">
            <v>5042067</v>
          </cell>
          <cell r="AK6500" t="str">
            <v>Karl Augenstein</v>
          </cell>
        </row>
        <row r="6501">
          <cell r="C6501" t="str">
            <v>Centennial_SBA PPP FLRA</v>
          </cell>
          <cell r="H6501">
            <v>5043278</v>
          </cell>
          <cell r="AK6501" t="str">
            <v>Delsys Salas</v>
          </cell>
        </row>
        <row r="6502">
          <cell r="C6502" t="str">
            <v>Equities Risk PM</v>
          </cell>
          <cell r="H6502">
            <v>5043523</v>
          </cell>
          <cell r="AK6502" t="str">
            <v>Chelsea Mattias</v>
          </cell>
        </row>
        <row r="6503">
          <cell r="C6503" t="str">
            <v>JEF_Madison Content Mgmt. PM Sept-Oct</v>
          </cell>
          <cell r="H6503">
            <v>5042373</v>
          </cell>
          <cell r="AK6503" t="str">
            <v>Aoife Hogan</v>
          </cell>
        </row>
        <row r="6504">
          <cell r="C6504" t="str">
            <v>Murex Project Manager</v>
          </cell>
          <cell r="H6504">
            <v>5043559</v>
          </cell>
          <cell r="AK6504" t="str">
            <v>Chelsea Mattias</v>
          </cell>
        </row>
        <row r="6505">
          <cell r="C6505" t="str">
            <v>HSBC-DBS-OCC Remediation Data PM (3) - MR - Extension</v>
          </cell>
          <cell r="H6505">
            <v>5041809</v>
          </cell>
          <cell r="AK6505" t="str">
            <v>Peter Brown</v>
          </cell>
        </row>
        <row r="6506">
          <cell r="C6506" t="str">
            <v>Carewell - TPA process and contract support</v>
          </cell>
          <cell r="H6506">
            <v>5043297</v>
          </cell>
          <cell r="AK6506" t="str">
            <v>Eric Fairchild</v>
          </cell>
        </row>
        <row r="6507">
          <cell r="C6507" t="str">
            <v>COO Project Support</v>
          </cell>
          <cell r="H6507">
            <v>5042961</v>
          </cell>
          <cell r="AK6507" t="str">
            <v>Leah Watson</v>
          </cell>
        </row>
        <row r="6508">
          <cell r="C6508" t="str">
            <v>Prud - Assurance - Compliance Offsite Facilitation</v>
          </cell>
          <cell r="H6508">
            <v>5043323</v>
          </cell>
          <cell r="AK6508" t="str">
            <v>Eric Fairchild</v>
          </cell>
        </row>
        <row r="6509">
          <cell r="C6509" t="str">
            <v>Investors Bank  CCO</v>
          </cell>
          <cell r="H6509">
            <v>5043229</v>
          </cell>
          <cell r="AK6509" t="str">
            <v>Robert Cardwell</v>
          </cell>
        </row>
        <row r="6510">
          <cell r="C6510" t="str">
            <v>WF_2021 Retail Transformation Extension</v>
          </cell>
          <cell r="H6510">
            <v>5043375</v>
          </cell>
          <cell r="AK6510" t="str">
            <v>John Geertsema</v>
          </cell>
        </row>
        <row r="6511">
          <cell r="C6511" t="str">
            <v>Customers Bank CRA Strategic Plan Development</v>
          </cell>
          <cell r="H6511">
            <v>5043100</v>
          </cell>
          <cell r="AK6511" t="str">
            <v>Leigh Tribou</v>
          </cell>
        </row>
        <row r="6512">
          <cell r="C6512" t="str">
            <v>BMT Trust File Review</v>
          </cell>
          <cell r="H6512">
            <v>5043402</v>
          </cell>
          <cell r="AK6512" t="str">
            <v>David Stalnaker</v>
          </cell>
        </row>
        <row r="6513">
          <cell r="C6513" t="str">
            <v>First North - Fair Lending RA</v>
          </cell>
          <cell r="H6513">
            <v>5042878</v>
          </cell>
          <cell r="AK6513" t="str">
            <v>Gail Rassler</v>
          </cell>
        </row>
        <row r="6514">
          <cell r="C6514" t="str">
            <v>Enterprise MQC</v>
          </cell>
          <cell r="H6514">
            <v>5045342</v>
          </cell>
          <cell r="AK6514" t="str">
            <v>Christian Maier</v>
          </cell>
        </row>
        <row r="6515">
          <cell r="C6515" t="str">
            <v>CBK CRM RtB Operations and Cloud Migration</v>
          </cell>
          <cell r="H6515">
            <v>5043360</v>
          </cell>
          <cell r="AK6515" t="str">
            <v>Bonita Riccaboni</v>
          </cell>
        </row>
        <row r="6516">
          <cell r="C6516" t="str">
            <v>FrMc_ICM Q4</v>
          </cell>
          <cell r="H6516">
            <v>5042185</v>
          </cell>
          <cell r="AK6516" t="str">
            <v>Jeliaz Chtilianov</v>
          </cell>
        </row>
        <row r="6517">
          <cell r="C6517" t="str">
            <v>Popular Bank - AML/BSA</v>
          </cell>
          <cell r="H6517">
            <v>5043170</v>
          </cell>
          <cell r="AK6517" t="str">
            <v>Sara Sanchez</v>
          </cell>
        </row>
        <row r="6518">
          <cell r="C6518" t="str">
            <v>CB T4O Extension Q4</v>
          </cell>
          <cell r="H6518">
            <v>5043392</v>
          </cell>
          <cell r="AK6518" t="str">
            <v>Conor Hodnett</v>
          </cell>
        </row>
        <row r="6519">
          <cell r="C6519" t="str">
            <v>SVB_074-PR-GW-TAG Product Manager</v>
          </cell>
          <cell r="H6519">
            <v>5042067</v>
          </cell>
          <cell r="AK6519" t="str">
            <v>Karl Augenstein</v>
          </cell>
        </row>
        <row r="6520">
          <cell r="C6520" t="str">
            <v>Preferred - Mortgage Operations Audit</v>
          </cell>
          <cell r="H6520">
            <v>5042554</v>
          </cell>
          <cell r="AK6520" t="str">
            <v>Mary Louise Radley</v>
          </cell>
        </row>
        <row r="6521">
          <cell r="C6521" t="str">
            <v>FIS IMO Extension Q4</v>
          </cell>
          <cell r="H6521">
            <v>5043377</v>
          </cell>
          <cell r="AK6521" t="str">
            <v>Erik Johnson</v>
          </cell>
        </row>
        <row r="6522">
          <cell r="C6522" t="str">
            <v>Harford Bank CRA Performance Eval</v>
          </cell>
          <cell r="H6522">
            <v>5043078</v>
          </cell>
          <cell r="AK6522" t="str">
            <v>W. Annette Dredden</v>
          </cell>
        </row>
        <row r="6523">
          <cell r="C6523" t="str">
            <v>WSFS BSA Risk Assessment</v>
          </cell>
          <cell r="H6523">
            <v>5042952</v>
          </cell>
          <cell r="AK6523" t="str">
            <v>Aiswarya Parameswaran</v>
          </cell>
        </row>
        <row r="6524">
          <cell r="C6524" t="str">
            <v>MS_WM_CIS_eTrade ReInvestment Analytical Support Extension 3</v>
          </cell>
          <cell r="H6524">
            <v>5041051</v>
          </cell>
          <cell r="AK6524" t="str">
            <v>Robin Williams</v>
          </cell>
        </row>
        <row r="6525">
          <cell r="C6525" t="str">
            <v>JP Morgan - Project Bloom: Digital Support Team</v>
          </cell>
          <cell r="H6525">
            <v>5043242</v>
          </cell>
          <cell r="AK6525" t="str">
            <v>Brian Mason</v>
          </cell>
        </row>
        <row r="6526">
          <cell r="C6526" t="str">
            <v>FrMc_ILM Q4</v>
          </cell>
          <cell r="H6526">
            <v>5041141</v>
          </cell>
          <cell r="AK6526" t="str">
            <v>Thadi Murali</v>
          </cell>
        </row>
        <row r="6527">
          <cell r="C6527" t="str">
            <v>Capital Projects Analyst Extension</v>
          </cell>
          <cell r="H6527">
            <v>5042473</v>
          </cell>
          <cell r="AK6527" t="str">
            <v>Emily Glaessner</v>
          </cell>
        </row>
        <row r="6528">
          <cell r="C6528" t="str">
            <v>Dime Bank_Staff Aug/CMS</v>
          </cell>
          <cell r="H6528">
            <v>5043450</v>
          </cell>
          <cell r="AK6528" t="str">
            <v>Lawana Clark</v>
          </cell>
        </row>
        <row r="6529">
          <cell r="C6529" t="str">
            <v>WSFS_RE_ConsumerLending Review</v>
          </cell>
          <cell r="H6529">
            <v>5043360</v>
          </cell>
          <cell r="AK6529" t="str">
            <v>Bonita Riccaboni</v>
          </cell>
        </row>
        <row r="6530">
          <cell r="C6530" t="str">
            <v>SVB_099-IT-ST-Cloud Governance Support Extension</v>
          </cell>
          <cell r="H6530">
            <v>5042067</v>
          </cell>
          <cell r="AK6530" t="str">
            <v>Karl Augenstein</v>
          </cell>
        </row>
        <row r="6531">
          <cell r="C6531" t="str">
            <v>SVB_098-IT-ST-Tech Strategy Panel Extension</v>
          </cell>
          <cell r="H6531">
            <v>5042067</v>
          </cell>
          <cell r="AK6531" t="str">
            <v>Karl Augenstein</v>
          </cell>
        </row>
        <row r="6532">
          <cell r="C6532" t="str">
            <v>FID Strats Extension 2021</v>
          </cell>
          <cell r="H6532">
            <v>5041052</v>
          </cell>
          <cell r="AK6532" t="str">
            <v>Mitali Drews</v>
          </cell>
        </row>
        <row r="6533">
          <cell r="C6533" t="str">
            <v>Jcrew BAE H2 Two week Extension</v>
          </cell>
          <cell r="H6533">
            <v>5041826</v>
          </cell>
          <cell r="AK6533" t="str">
            <v>John McCaffrey</v>
          </cell>
        </row>
        <row r="6534">
          <cell r="C6534" t="str">
            <v>FrMc_RMT AMD 4</v>
          </cell>
          <cell r="H6534">
            <v>5039317</v>
          </cell>
          <cell r="AK6534" t="str">
            <v>Poorna Bhimavarapu</v>
          </cell>
        </row>
        <row r="6535">
          <cell r="C6535" t="str">
            <v>SVB_100-IT-ST-Enterprise Agile Core Ext</v>
          </cell>
          <cell r="H6535">
            <v>5042067</v>
          </cell>
          <cell r="AK6535" t="str">
            <v>Karl Augenstein</v>
          </cell>
        </row>
        <row r="6536">
          <cell r="C6536" t="str">
            <v>DB Wealth Core Platform - Finance and Tax_Ext</v>
          </cell>
          <cell r="H6536">
            <v>5042158</v>
          </cell>
          <cell r="AK6536" t="str">
            <v>Phil Kerkel</v>
          </cell>
        </row>
        <row r="6537">
          <cell r="C6537" t="str">
            <v>RBCUS - CNB PMO Support Q4 2021</v>
          </cell>
          <cell r="H6537">
            <v>5038707</v>
          </cell>
          <cell r="AK6537" t="str">
            <v>Carl Repoli</v>
          </cell>
        </row>
        <row r="6538">
          <cell r="C6538" t="str">
            <v>SVB_095-PR-BAU-Q3 Marketing Extension</v>
          </cell>
          <cell r="H6538">
            <v>5042067</v>
          </cell>
          <cell r="AK6538" t="str">
            <v>Karl Augenstein</v>
          </cell>
        </row>
        <row r="6539">
          <cell r="C6539" t="str">
            <v>ICG FRMT 2021 Q4</v>
          </cell>
          <cell r="H6539">
            <v>5039302</v>
          </cell>
          <cell r="AK6539" t="str">
            <v>Ervinas Janavicius</v>
          </cell>
        </row>
        <row r="6540">
          <cell r="C6540" t="str">
            <v>SVB_101-IT-ST-GS Talent &amp;amp; Engagement Support Extension</v>
          </cell>
          <cell r="H6540">
            <v>5042067</v>
          </cell>
          <cell r="AK6540" t="str">
            <v>Karl Augenstein</v>
          </cell>
        </row>
        <row r="6541">
          <cell r="C6541" t="str">
            <v>SVB_107-PR-BG-Product Sales Strategy</v>
          </cell>
          <cell r="H6541">
            <v>5042067</v>
          </cell>
          <cell r="AK6541" t="str">
            <v>Karl Augenstein</v>
          </cell>
        </row>
        <row r="6542">
          <cell r="C6542" t="str">
            <v>HSBC-FIN RAF PM - Q4 Extension</v>
          </cell>
          <cell r="H6542">
            <v>5039835</v>
          </cell>
          <cell r="AK6542" t="str">
            <v>Peter Brown</v>
          </cell>
        </row>
        <row r="6543">
          <cell r="C6543" t="str">
            <v>Apiture 21 Q4 Ext</v>
          </cell>
          <cell r="H6543">
            <v>5042028</v>
          </cell>
          <cell r="AK6543" t="str">
            <v>Kevin Miologos</v>
          </cell>
        </row>
        <row r="6544">
          <cell r="C6544" t="str">
            <v>SVB_103-IT-ST-Tech Strategy Panel Extension</v>
          </cell>
          <cell r="H6544">
            <v>5041951</v>
          </cell>
          <cell r="AK6544" t="str">
            <v>Karl Augenstein</v>
          </cell>
        </row>
        <row r="6545">
          <cell r="C6545" t="str">
            <v>GA - Digital RTE Support</v>
          </cell>
          <cell r="H6545">
            <v>5042824</v>
          </cell>
          <cell r="AK6545" t="str">
            <v>Douglas Sieg</v>
          </cell>
        </row>
        <row r="6546">
          <cell r="C6546" t="str">
            <v>HSBC-DBS-OCC Remediation Support Team (Wave 2-10)</v>
          </cell>
          <cell r="H6546">
            <v>5042948</v>
          </cell>
          <cell r="AK6546" t="str">
            <v>Peter Brown</v>
          </cell>
        </row>
        <row r="6547">
          <cell r="C6547" t="str">
            <v>GA Phase 2 - Design Extension</v>
          </cell>
          <cell r="H6547">
            <v>5043337</v>
          </cell>
          <cell r="AK6547" t="str">
            <v>Christopher Dickinson</v>
          </cell>
        </row>
        <row r="6548">
          <cell r="C6548" t="str">
            <v>Investors BSA/AML Analysts</v>
          </cell>
          <cell r="H6548">
            <v>5043048</v>
          </cell>
          <cell r="AK6548" t="str">
            <v>Jonathan Hunt</v>
          </cell>
        </row>
        <row r="6549">
          <cell r="C6549" t="str">
            <v>KofC Cyber Security Support</v>
          </cell>
          <cell r="H6549">
            <v>5043363</v>
          </cell>
          <cell r="AK6549" t="str">
            <v>Darrell Ponzio</v>
          </cell>
        </row>
        <row r="6550">
          <cell r="C6550" t="str">
            <v>WTB BUCO HLD</v>
          </cell>
          <cell r="H6550">
            <v>5043264</v>
          </cell>
          <cell r="AK6550" t="str">
            <v>Brian Phillips</v>
          </cell>
        </row>
        <row r="6551">
          <cell r="C6551" t="str">
            <v>FrMc_Modern Delivery Amd 9</v>
          </cell>
          <cell r="H6551">
            <v>5038434</v>
          </cell>
          <cell r="AK6551" t="str">
            <v>Kalkidan Tedla</v>
          </cell>
        </row>
        <row r="6552">
          <cell r="C6552" t="str">
            <v>EGM - Truist Dev Delivery Q4</v>
          </cell>
          <cell r="H6552">
            <v>5043325</v>
          </cell>
          <cell r="AK6552" t="str">
            <v>Brett Knickle</v>
          </cell>
        </row>
        <row r="6553">
          <cell r="C6553" t="str">
            <v>GA Digital Phase 3</v>
          </cell>
          <cell r="H6553">
            <v>5043335</v>
          </cell>
          <cell r="AK6553" t="str">
            <v>Douglas Sieg</v>
          </cell>
        </row>
        <row r="6554">
          <cell r="C6554" t="str">
            <v>BKU Indiv Resource Ext</v>
          </cell>
          <cell r="H6554">
            <v>5042460</v>
          </cell>
          <cell r="AK6554" t="str">
            <v>Kevin Miologos</v>
          </cell>
        </row>
        <row r="6555">
          <cell r="C6555" t="str">
            <v>Broadridge - PAS data aggregation</v>
          </cell>
          <cell r="H6555">
            <v>5043324</v>
          </cell>
          <cell r="AK6555" t="str">
            <v>Phil Kerkel</v>
          </cell>
        </row>
        <row r="6556">
          <cell r="C6556" t="str">
            <v>KB_Paperless ext p2</v>
          </cell>
          <cell r="H6556">
            <v>5043361</v>
          </cell>
          <cell r="AK6556" t="str">
            <v>Samuel Awsumb</v>
          </cell>
        </row>
        <row r="6557">
          <cell r="C6557" t="str">
            <v>Cetera Financial  Dev Ops Model - Advance Team</v>
          </cell>
          <cell r="H6557">
            <v>5043385</v>
          </cell>
          <cell r="AK6557" t="str">
            <v>Scott Jurgensen</v>
          </cell>
        </row>
        <row r="6558">
          <cell r="C6558" t="str">
            <v>ICG FRMT Business Analysis (US and India) - Amendment #6</v>
          </cell>
          <cell r="H6558">
            <v>5039302</v>
          </cell>
          <cell r="AK6558" t="str">
            <v>Ervinas Janavicius</v>
          </cell>
        </row>
        <row r="6559">
          <cell r="C6559" t="str">
            <v>Addition of E2E Change Management Resource</v>
          </cell>
          <cell r="H6559">
            <v>5043252</v>
          </cell>
          <cell r="AK6559" t="str">
            <v>Kyle Chavers</v>
          </cell>
        </row>
        <row r="6560">
          <cell r="C6560" t="str">
            <v>MS Wealth UAT_WealthDesk_Ph1</v>
          </cell>
          <cell r="H6560">
            <v>5043514</v>
          </cell>
          <cell r="AK6560" t="str">
            <v>Balaji Ramamurthy</v>
          </cell>
        </row>
        <row r="6561">
          <cell r="C6561" t="str">
            <v>Equities Swap Developer</v>
          </cell>
          <cell r="H6561">
            <v>5039022</v>
          </cell>
          <cell r="AK6561" t="str">
            <v>Chelsea Mattias</v>
          </cell>
        </row>
        <row r="6562">
          <cell r="C6562" t="str">
            <v>Alliance Bernstein - Digital Retail Wealth Site Redesign (Phase 3)</v>
          </cell>
          <cell r="H6562">
            <v>5043457</v>
          </cell>
          <cell r="AK6562" t="str">
            <v>Matt Mason</v>
          </cell>
        </row>
        <row r="6563">
          <cell r="C6563" t="str">
            <v>BlueFCU Digital Build Inception</v>
          </cell>
          <cell r="H6563">
            <v>5043436</v>
          </cell>
          <cell r="AK6563" t="str">
            <v>Jocelyn Sandberg</v>
          </cell>
        </row>
        <row r="6564">
          <cell r="C6564" t="str">
            <v>SVB_112-GS-IF-JIRA and Confluence Support</v>
          </cell>
          <cell r="H6564">
            <v>5042067</v>
          </cell>
          <cell r="AK6564" t="str">
            <v>Karl Augenstein</v>
          </cell>
        </row>
        <row r="6565">
          <cell r="C6565" t="str">
            <v>MS OBM_Testers_Reporting Ph1</v>
          </cell>
          <cell r="H6565">
            <v>5043466</v>
          </cell>
          <cell r="AK6565" t="str">
            <v>Balaji Ramamurthy</v>
          </cell>
        </row>
        <row r="6566">
          <cell r="C6566" t="str">
            <v>FrMc_KeyChain AMD 1</v>
          </cell>
          <cell r="H6566">
            <v>5042074</v>
          </cell>
          <cell r="AK6566" t="str">
            <v>Kalkidan Tedla</v>
          </cell>
        </row>
        <row r="6567">
          <cell r="C6567" t="str">
            <v>HSBC-WPB-Wealth and Investment Management BA/PM</v>
          </cell>
          <cell r="H6567">
            <v>5043362</v>
          </cell>
          <cell r="AK6567" t="str">
            <v>Steven D'Angelo</v>
          </cell>
        </row>
        <row r="6568">
          <cell r="C6568" t="str">
            <v>RBCUS - TransactionTestingMRA</v>
          </cell>
          <cell r="H6568">
            <v>5043456</v>
          </cell>
          <cell r="AK6568" t="str">
            <v>Danny Li</v>
          </cell>
        </row>
        <row r="6569">
          <cell r="C6569" t="str">
            <v>RBCUS - TransactionTestingMRA</v>
          </cell>
          <cell r="H6569">
            <v>5043456</v>
          </cell>
          <cell r="AK6569" t="str">
            <v>Danny Li</v>
          </cell>
        </row>
        <row r="6570">
          <cell r="C6570" t="str">
            <v>SVB_080-IT-MR-IT Asset Management</v>
          </cell>
          <cell r="H6570">
            <v>5042067</v>
          </cell>
          <cell r="AK6570" t="str">
            <v>Karl Augenstein</v>
          </cell>
        </row>
        <row r="6571">
          <cell r="C6571" t="str">
            <v>SVB_105-IT-GS-QA Engineer</v>
          </cell>
          <cell r="H6571">
            <v>5042067</v>
          </cell>
          <cell r="AK6571" t="str">
            <v>Karl Augenstein</v>
          </cell>
        </row>
        <row r="6572">
          <cell r="C6572" t="str">
            <v>Investment Solutions Integration PMO Support</v>
          </cell>
          <cell r="H6572">
            <v>5041437</v>
          </cell>
          <cell r="AK6572" t="str">
            <v>Leah Watson</v>
          </cell>
        </row>
        <row r="6573">
          <cell r="C6573" t="str">
            <v>ANBTX_CRA Officer Services</v>
          </cell>
          <cell r="H6573">
            <v>5043550</v>
          </cell>
          <cell r="AK6573" t="str">
            <v>Leigh Tribou</v>
          </cell>
        </row>
        <row r="6574">
          <cell r="C6574" t="str">
            <v>SVB_109-GS-BAU-VTO support</v>
          </cell>
          <cell r="H6574">
            <v>5042067</v>
          </cell>
          <cell r="AK6574" t="str">
            <v>Karl Augenstein</v>
          </cell>
        </row>
        <row r="6575">
          <cell r="C6575" t="str">
            <v>PMO Program Support</v>
          </cell>
          <cell r="H6575">
            <v>5042961</v>
          </cell>
          <cell r="AK6575" t="str">
            <v>Leah Watson</v>
          </cell>
        </row>
        <row r="6576">
          <cell r="C6576" t="str">
            <v>MS_WM QA Investment Platforms 2021</v>
          </cell>
          <cell r="H6576">
            <v>5043485</v>
          </cell>
          <cell r="AK6576" t="str">
            <v>Arti Sharma</v>
          </cell>
        </row>
        <row r="6577">
          <cell r="C6577" t="str">
            <v>Veritex Data Governance Diagnostic</v>
          </cell>
          <cell r="H6577">
            <v>5043549</v>
          </cell>
          <cell r="AK6577" t="str">
            <v>Tania Makuh</v>
          </cell>
        </row>
        <row r="6578">
          <cell r="C6578" t="str">
            <v>Berkshire BSA Verafin Tuning</v>
          </cell>
          <cell r="H6578">
            <v>5043492</v>
          </cell>
          <cell r="AK6578" t="str">
            <v>William Sachs</v>
          </cell>
        </row>
        <row r="6579">
          <cell r="C6579" t="str">
            <v>SvnHan_BSA/AML Testing</v>
          </cell>
          <cell r="H6579">
            <v>5043491</v>
          </cell>
          <cell r="AK6579" t="str">
            <v>William Sachs</v>
          </cell>
        </row>
        <row r="6580">
          <cell r="C6580" t="str">
            <v>SvnHan_AML Independent Testing</v>
          </cell>
          <cell r="H6580">
            <v>5043490</v>
          </cell>
          <cell r="AK6580" t="str">
            <v>William Sachs</v>
          </cell>
        </row>
        <row r="6581">
          <cell r="C6581" t="str">
            <v>DB-CAO-INV-BS-Investigations Support</v>
          </cell>
          <cell r="H6581">
            <v>5043390</v>
          </cell>
          <cell r="AK6581" t="str">
            <v>Jonathan Hunt</v>
          </cell>
        </row>
        <row r="6582">
          <cell r="C6582" t="str">
            <v>SVB_082-GS-TM-PSP Stabilization Pod</v>
          </cell>
          <cell r="H6582">
            <v>5042067</v>
          </cell>
          <cell r="AK6582" t="str">
            <v>Karl Augenstein</v>
          </cell>
        </row>
        <row r="6583">
          <cell r="C6583" t="str">
            <v>SVB_106-IT-GS-Software Engineer</v>
          </cell>
          <cell r="H6583">
            <v>5042067</v>
          </cell>
          <cell r="AK6583" t="str">
            <v>Karl Augenstein</v>
          </cell>
        </row>
        <row r="6584">
          <cell r="C6584" t="str">
            <v>The Harbor Bank  Interim Compliance Officer Support</v>
          </cell>
          <cell r="H6584">
            <v>5043553</v>
          </cell>
          <cell r="AK6584" t="str">
            <v>W. Annette Dredden</v>
          </cell>
        </row>
        <row r="6585">
          <cell r="C6585" t="str">
            <v>MS Training for Executive Assistants (CSS)</v>
          </cell>
          <cell r="H6585">
            <v>5042594</v>
          </cell>
          <cell r="AK6585" t="str">
            <v>Christine Garrard</v>
          </cell>
        </row>
        <row r="6586">
          <cell r="C6586" t="str">
            <v>JEF_Madison Offshore BI Cognos Developer</v>
          </cell>
          <cell r="H6586">
            <v>5043629</v>
          </cell>
          <cell r="AK6586" t="str">
            <v>Aoife Hogan</v>
          </cell>
        </row>
        <row r="6587">
          <cell r="C6587" t="str">
            <v>JEF_Madison Offshore BI Full Stack Developer</v>
          </cell>
          <cell r="H6587">
            <v>5043624</v>
          </cell>
          <cell r="AK6587" t="str">
            <v>Aoife Hogan</v>
          </cell>
        </row>
        <row r="6588">
          <cell r="C6588" t="str">
            <v>SVB_113-PR-ST-Internal Marketing Strategy</v>
          </cell>
          <cell r="H6588">
            <v>5042067</v>
          </cell>
          <cell r="AK6588" t="str">
            <v>Karl Augenstein</v>
          </cell>
        </row>
        <row r="6589">
          <cell r="C6589" t="str">
            <v>SVB_114-GS-BAU-Workforce Optimization Extension</v>
          </cell>
          <cell r="H6589">
            <v>5042067</v>
          </cell>
          <cell r="AK6589" t="str">
            <v>Karl Augenstein</v>
          </cell>
        </row>
        <row r="6590">
          <cell r="C6590" t="str">
            <v>Omer TPPM YE Extension</v>
          </cell>
          <cell r="H6590">
            <v>5041371</v>
          </cell>
          <cell r="AK6590" t="str">
            <v>Dan Schutzman</v>
          </cell>
        </row>
        <row r="6591">
          <cell r="C6591" t="str">
            <v>NT_Market Risk Review</v>
          </cell>
          <cell r="H6591">
            <v>5043633</v>
          </cell>
          <cell r="AK6591" t="str">
            <v>Prabhat Singh</v>
          </cell>
        </row>
        <row r="6592">
          <cell r="C6592" t="str">
            <v>MS_IB Change Management and Awareness - Rover pt3</v>
          </cell>
          <cell r="H6592">
            <v>5043515</v>
          </cell>
          <cell r="AK6592" t="str">
            <v>Laura D'Alessandro</v>
          </cell>
        </row>
        <row r="6593">
          <cell r="C6593" t="str">
            <v>HSBC-DBS-OCC Remediation Support Team (Wave 2-11)</v>
          </cell>
          <cell r="H6593">
            <v>5042948</v>
          </cell>
          <cell r="AK6593" t="str">
            <v>Peter Brown</v>
          </cell>
        </row>
        <row r="6594">
          <cell r="C6594" t="str">
            <v>HSBC-WS-CMB-QC PPP Program - Q4 Extension</v>
          </cell>
          <cell r="H6594">
            <v>5043501</v>
          </cell>
          <cell r="AK6594" t="str">
            <v>Peter Brown</v>
          </cell>
        </row>
        <row r="6595">
          <cell r="C6595" t="str">
            <v>FSB_BSA Compliance Audit</v>
          </cell>
          <cell r="H6595">
            <v>5043516</v>
          </cell>
          <cell r="AK6595" t="str">
            <v>Pamela Acciardo</v>
          </cell>
        </row>
        <row r="6596">
          <cell r="C6596" t="str">
            <v>MS Procurement Sourcing Support_SPAR (YE)</v>
          </cell>
          <cell r="H6596">
            <v>5041371</v>
          </cell>
          <cell r="AK6596" t="str">
            <v>Dan Schutzman</v>
          </cell>
        </row>
        <row r="6597">
          <cell r="C6597" t="str">
            <v>LCEF_Com Loan Gap Analysis</v>
          </cell>
          <cell r="H6597">
            <v>5043522</v>
          </cell>
          <cell r="AK6597" t="str">
            <v>Mike Peretz</v>
          </cell>
        </row>
        <row r="6598">
          <cell r="C6598" t="str">
            <v>Murex Test Manager</v>
          </cell>
          <cell r="H6598">
            <v>5043579</v>
          </cell>
          <cell r="AK6598" t="str">
            <v>Manal Ray</v>
          </cell>
        </row>
        <row r="6599">
          <cell r="C6599" t="str">
            <v>Plumas Bank_FLRA Q4 2021</v>
          </cell>
          <cell r="H6599">
            <v>5042553</v>
          </cell>
          <cell r="AK6599" t="str">
            <v>Leigh Tribou</v>
          </cell>
        </row>
        <row r="6600">
          <cell r="C6600" t="str">
            <v>HB Omni Dev Q4 Ext</v>
          </cell>
          <cell r="H6600">
            <v>5041295</v>
          </cell>
          <cell r="AK6600" t="str">
            <v>Andrew Radka</v>
          </cell>
        </row>
        <row r="6601">
          <cell r="C6601" t="str">
            <v>Key-service digtization planning p1</v>
          </cell>
          <cell r="H6601">
            <v>5043361</v>
          </cell>
          <cell r="AK6601" t="str">
            <v>Samuel Awsumb</v>
          </cell>
        </row>
        <row r="6602">
          <cell r="C6602" t="str">
            <v>MS_Short Term Investment Solutions Support_PART 1</v>
          </cell>
          <cell r="H6602">
            <v>5043533</v>
          </cell>
          <cell r="AK6602" t="str">
            <v>Iruka Brown</v>
          </cell>
        </row>
        <row r="6603">
          <cell r="C6603" t="str">
            <v>SVB_085-PR-TM-UI/UX Addition</v>
          </cell>
          <cell r="H6603">
            <v>5042067</v>
          </cell>
          <cell r="AK6603" t="str">
            <v>Karl Augenstein</v>
          </cell>
        </row>
        <row r="6604">
          <cell r="C6604" t="str">
            <v>SBSD Program Manager Day 2</v>
          </cell>
          <cell r="H6604">
            <v>5041590</v>
          </cell>
          <cell r="AK6604" t="str">
            <v>Matthew Rodgers</v>
          </cell>
        </row>
        <row r="6605">
          <cell r="C6605" t="str">
            <v>SVB_115-RP-UK-Implementation</v>
          </cell>
          <cell r="H6605">
            <v>5042067</v>
          </cell>
          <cell r="AK6605" t="str">
            <v>Karl Augenstein</v>
          </cell>
        </row>
        <row r="6606">
          <cell r="C6606" t="str">
            <v>Broadridge WMAP - QA PM Files/Domain</v>
          </cell>
          <cell r="H6606">
            <v>5041342</v>
          </cell>
          <cell r="AK6606" t="str">
            <v>Phil Kerkel</v>
          </cell>
        </row>
        <row r="6607">
          <cell r="C6607" t="str">
            <v>HSBC Project Magnus PM (SC)</v>
          </cell>
          <cell r="H6607">
            <v>5043759</v>
          </cell>
          <cell r="AK6607" t="str">
            <v>Peter Brown</v>
          </cell>
        </row>
        <row r="6608">
          <cell r="C6608" t="str">
            <v>MS_Tech&amp;amp;Ops_COO_Future of Work Extension_3</v>
          </cell>
          <cell r="H6608">
            <v>5041691</v>
          </cell>
          <cell r="AK6608" t="str">
            <v>Mitali Drews</v>
          </cell>
        </row>
        <row r="6609">
          <cell r="C6609" t="str">
            <v>CNB VMO Operations</v>
          </cell>
          <cell r="H6609">
            <v>5043498</v>
          </cell>
          <cell r="AK6609" t="str">
            <v>Betsy Cherian</v>
          </cell>
        </row>
        <row r="6610">
          <cell r="C6610" t="str">
            <v>CNB Risk Extension</v>
          </cell>
          <cell r="H6610">
            <v>5043532</v>
          </cell>
          <cell r="AK6610" t="str">
            <v>Betsy Cherian</v>
          </cell>
        </row>
        <row r="6611">
          <cell r="C6611" t="str">
            <v>OceanFirst Bank Insider Threats Risk Assessment</v>
          </cell>
          <cell r="H6611">
            <v>5043471</v>
          </cell>
          <cell r="AK6611" t="str">
            <v>David Stalnaker</v>
          </cell>
        </row>
        <row r="6612">
          <cell r="C6612" t="str">
            <v>Wealth Management / Trust Risk Assessment</v>
          </cell>
          <cell r="H6612">
            <v>5043617</v>
          </cell>
          <cell r="AK6612" t="str">
            <v>David Stalnaker</v>
          </cell>
        </row>
        <row r="6613">
          <cell r="C6613" t="str">
            <v>CMS/Fintech Testing</v>
          </cell>
          <cell r="H6613">
            <v>5043576</v>
          </cell>
          <cell r="AK6613" t="str">
            <v>Charles Mcwilliam</v>
          </cell>
        </row>
        <row r="6614">
          <cell r="C6614" t="str">
            <v>RBCUS_Qlik Ext 2022</v>
          </cell>
          <cell r="H6614">
            <v>5043599</v>
          </cell>
          <cell r="AK6614" t="str">
            <v>Kirby Pulver</v>
          </cell>
        </row>
        <row r="6615">
          <cell r="C6615" t="str">
            <v>MSIMOPS_Agile Coach</v>
          </cell>
          <cell r="H6615">
            <v>5043552</v>
          </cell>
          <cell r="AK6615" t="str">
            <v>Angela McGregor</v>
          </cell>
        </row>
        <row r="6616">
          <cell r="C6616" t="str">
            <v>iptiQ - TPA Vendor Final Selection &amp;amp; Implementation Planning</v>
          </cell>
          <cell r="H6616">
            <v>5043618</v>
          </cell>
          <cell r="AK6616" t="str">
            <v>Tedd Patel</v>
          </cell>
        </row>
        <row r="6617">
          <cell r="C6617" t="str">
            <v>Sabal Trust Annual Audits 2021</v>
          </cell>
          <cell r="H6617">
            <v>5043250</v>
          </cell>
          <cell r="AK6617" t="str">
            <v>Mary Louise Radley</v>
          </cell>
        </row>
        <row r="6618">
          <cell r="C6618" t="str">
            <v>MM Strategic Distribution - Annuity Triage Team</v>
          </cell>
          <cell r="H6618">
            <v>5043578</v>
          </cell>
          <cell r="AK6618" t="str">
            <v>Gordon Lunsford</v>
          </cell>
        </row>
        <row r="6619">
          <cell r="C6619" t="str">
            <v>Reg IM Program Office Day 2</v>
          </cell>
          <cell r="H6619">
            <v>5043626</v>
          </cell>
          <cell r="AK6619" t="str">
            <v>Julia Simmons</v>
          </cell>
        </row>
        <row r="6620">
          <cell r="C6620" t="str">
            <v>EQ FI Flow Monitor Junior Dev</v>
          </cell>
          <cell r="H6620">
            <v>5041011</v>
          </cell>
          <cell r="AK6620" t="str">
            <v>Taylor Mason</v>
          </cell>
        </row>
        <row r="6621">
          <cell r="C6621" t="str">
            <v>ViaBill Annual CMS Audit</v>
          </cell>
          <cell r="H6621">
            <v>5043493</v>
          </cell>
          <cell r="AK6621" t="str">
            <v>Mary Louise Radley</v>
          </cell>
        </row>
        <row r="6622">
          <cell r="C6622" t="str">
            <v>SVB_120-BP-LF-Private Bank LFI reporting</v>
          </cell>
          <cell r="H6622">
            <v>5042067</v>
          </cell>
          <cell r="AK6622" t="str">
            <v>Karl Augenstein</v>
          </cell>
        </row>
        <row r="6623">
          <cell r="C6623" t="str">
            <v>GL - Park Avenue Securities - Advisor Platform Strategy</v>
          </cell>
          <cell r="H6623">
            <v>5043560</v>
          </cell>
          <cell r="AK6623" t="str">
            <v>Michael Zambon</v>
          </cell>
        </row>
        <row r="6624">
          <cell r="C6624" t="str">
            <v>Wells Fargo Enterprise Reporting</v>
          </cell>
          <cell r="H6624">
            <v>5042186</v>
          </cell>
          <cell r="AK6624" t="str">
            <v>Zac Ross</v>
          </cell>
        </row>
        <row r="6625">
          <cell r="C6625" t="str">
            <v>SVB_111-PR-BAU-Q4 Marketing Extension</v>
          </cell>
          <cell r="H6625">
            <v>5042067</v>
          </cell>
          <cell r="AK6625" t="str">
            <v>Karl Augenstein</v>
          </cell>
        </row>
        <row r="6626">
          <cell r="C6626" t="str">
            <v>FNMA - EUC Cloud Migration- BSA Support</v>
          </cell>
          <cell r="H6626">
            <v>5042602</v>
          </cell>
          <cell r="AK6626" t="str">
            <v>Brett Krasner</v>
          </cell>
        </row>
        <row r="6627">
          <cell r="C6627" t="str">
            <v>SBSD Phase 2</v>
          </cell>
          <cell r="H6627">
            <v>5042331</v>
          </cell>
          <cell r="AK6627" t="str">
            <v>Jack Stevens</v>
          </cell>
        </row>
        <row r="6628">
          <cell r="C6628" t="str">
            <v>MS_ISG_GPG: GPG 2021 Extension</v>
          </cell>
          <cell r="H6628">
            <v>5040923</v>
          </cell>
          <cell r="AK6628" t="str">
            <v>Mitali Drews</v>
          </cell>
        </row>
        <row r="6629">
          <cell r="C6629" t="str">
            <v>Alight Alert Clearing Extn</v>
          </cell>
          <cell r="H6629">
            <v>5040578</v>
          </cell>
          <cell r="AK6629" t="str">
            <v>Jonathan Hunt</v>
          </cell>
        </row>
        <row r="6630">
          <cell r="C6630" t="str">
            <v>Kearny Website Review</v>
          </cell>
          <cell r="H6630">
            <v>5042038</v>
          </cell>
          <cell r="AK6630" t="str">
            <v>Kristina Slattery</v>
          </cell>
        </row>
        <row r="6631">
          <cell r="C6631" t="str">
            <v>BNYM Reg Ops Sme Q4-21 to Q1-22 Ext</v>
          </cell>
          <cell r="H6631">
            <v>5042472</v>
          </cell>
          <cell r="AK6631" t="str">
            <v>Dhrupal Shah</v>
          </cell>
        </row>
        <row r="6632">
          <cell r="C6632" t="str">
            <v>SVB_110-PR-TM-UI UX Additional Researchers</v>
          </cell>
          <cell r="H6632">
            <v>5042067</v>
          </cell>
          <cell r="AK6632" t="str">
            <v>Karl Augenstein</v>
          </cell>
        </row>
        <row r="6633">
          <cell r="C6633" t="str">
            <v>BlueFCU Digital Build</v>
          </cell>
          <cell r="H6633">
            <v>5043436</v>
          </cell>
          <cell r="AK6633" t="str">
            <v>Jocelyn Sandberg</v>
          </cell>
        </row>
        <row r="6634">
          <cell r="C6634" t="str">
            <v>ICBC NY - Regulatory Updates ext 2</v>
          </cell>
          <cell r="H6634">
            <v>5034379</v>
          </cell>
          <cell r="AK6634" t="str">
            <v>Leah Robinson</v>
          </cell>
        </row>
        <row r="6635">
          <cell r="C6635" t="str">
            <v>PM Support for TP BT70v4 pt 3</v>
          </cell>
          <cell r="H6635">
            <v>5041893</v>
          </cell>
          <cell r="AK6635" t="str">
            <v>Eric Fairchild</v>
          </cell>
        </row>
        <row r="6636">
          <cell r="C6636" t="str">
            <v>SVB_123-PR-BAU-Internal Marketing Strategy Ext</v>
          </cell>
          <cell r="H6636">
            <v>5042067</v>
          </cell>
          <cell r="AK6636" t="str">
            <v>Karl Augenstein</v>
          </cell>
        </row>
        <row r="6637">
          <cell r="C6637" t="str">
            <v>GS CAT Business Analysis</v>
          </cell>
          <cell r="H6637">
            <v>5043603</v>
          </cell>
          <cell r="AK6637" t="str">
            <v>Parul Chowdhry</v>
          </cell>
        </row>
        <row r="6638">
          <cell r="C6638" t="str">
            <v>Savana_WO1 _Animo Exc Sup</v>
          </cell>
          <cell r="H6638">
            <v>5043598</v>
          </cell>
          <cell r="AK6638" t="str">
            <v>Mohammad Jahansoozan</v>
          </cell>
        </row>
        <row r="6639">
          <cell r="C6639" t="str">
            <v>Microsoft Defender for Identity (MDI) SME</v>
          </cell>
          <cell r="H6639">
            <v>5041140</v>
          </cell>
          <cell r="AK6639" t="str">
            <v>Boris Mallet</v>
          </cell>
        </row>
        <row r="6640">
          <cell r="C6640" t="str">
            <v>Prudential Independent Agent model Part 3</v>
          </cell>
          <cell r="H6640">
            <v>5042937</v>
          </cell>
          <cell r="AK6640" t="str">
            <v>Matthew Berkowitz</v>
          </cell>
        </row>
        <row r="6641">
          <cell r="C6641" t="str">
            <v>JEF_Madison Salesforce Developer-November 2021 Ext</v>
          </cell>
          <cell r="H6641">
            <v>5035964</v>
          </cell>
          <cell r="AK6641" t="str">
            <v>Aoife Hogan</v>
          </cell>
        </row>
        <row r="6642">
          <cell r="C6642" t="str">
            <v>Ally_Money Movement Assessment</v>
          </cell>
          <cell r="H6642">
            <v>5043684</v>
          </cell>
          <cell r="AK6642" t="str">
            <v>Daniela Hawkins</v>
          </cell>
        </row>
        <row r="6643">
          <cell r="C6643" t="str">
            <v>DSG_Digital Engineering Support BAU</v>
          </cell>
          <cell r="H6643">
            <v>5043644</v>
          </cell>
          <cell r="AK6643" t="str">
            <v>Thomas Moore Jr.</v>
          </cell>
        </row>
        <row r="6644">
          <cell r="C6644" t="str">
            <v>Investors Lending Compliance Review - Collett</v>
          </cell>
          <cell r="H6644">
            <v>5043726</v>
          </cell>
          <cell r="AK6644" t="str">
            <v>Eugene Collett</v>
          </cell>
        </row>
        <row r="6645">
          <cell r="C6645" t="str">
            <v>Broadridge RBC - PMO Smartsheets</v>
          </cell>
          <cell r="H6645">
            <v>5043659</v>
          </cell>
          <cell r="AK6645" t="str">
            <v>Jennifer Hsiung</v>
          </cell>
        </row>
        <row r="6646">
          <cell r="C6646" t="str">
            <v>DSG_Digital Engineering_Technical Writer_1</v>
          </cell>
          <cell r="H6646">
            <v>5043658</v>
          </cell>
          <cell r="AK6646" t="str">
            <v>Kareem Elsaid</v>
          </cell>
        </row>
        <row r="6647">
          <cell r="C6647" t="str">
            <v>InvestorsBank_Loan Analysts</v>
          </cell>
          <cell r="H6647">
            <v>5043272</v>
          </cell>
          <cell r="AK6647" t="str">
            <v>Eugene Collett</v>
          </cell>
        </row>
        <row r="6648">
          <cell r="C6648" t="str">
            <v>MS_ISG_Finance PM</v>
          </cell>
          <cell r="H6648">
            <v>5043881</v>
          </cell>
          <cell r="AK6648" t="str">
            <v>Mitali Drews</v>
          </cell>
        </row>
        <row r="6649">
          <cell r="C6649" t="str">
            <v>MS_Short Term Investment Solutions Support_Part 2</v>
          </cell>
          <cell r="H6649">
            <v>5043533</v>
          </cell>
          <cell r="AK6649" t="str">
            <v>Iruka Brown</v>
          </cell>
        </row>
        <row r="6650">
          <cell r="C6650" t="str">
            <v>HSBC Project Magnus PM (PC)</v>
          </cell>
          <cell r="H6650">
            <v>5043759</v>
          </cell>
          <cell r="AK6650" t="str">
            <v>Peter Brown</v>
          </cell>
        </row>
        <row r="6651">
          <cell r="C6651" t="str">
            <v>DSG_Customer Journey Maps</v>
          </cell>
          <cell r="H6651">
            <v>5043731</v>
          </cell>
          <cell r="AK6651" t="str">
            <v>Thomas Moore Jr.</v>
          </cell>
        </row>
        <row r="6652">
          <cell r="C6652" t="str">
            <v>Murex Reporting Developer 2</v>
          </cell>
          <cell r="H6652">
            <v>5043696</v>
          </cell>
          <cell r="AK6652" t="str">
            <v>Manal Ray</v>
          </cell>
        </row>
        <row r="6653">
          <cell r="C6653" t="str">
            <v>MS India Innovation Lab Cloud9</v>
          </cell>
          <cell r="H6653">
            <v>5043914</v>
          </cell>
          <cell r="AK6653" t="str">
            <v>Shivaji Chakraborty</v>
          </cell>
        </row>
        <row r="6654">
          <cell r="C6654" t="str">
            <v>MMSD - Readiness Structure</v>
          </cell>
          <cell r="H6654">
            <v>5043713</v>
          </cell>
          <cell r="AK6654" t="str">
            <v>Christopher Dickinson</v>
          </cell>
        </row>
        <row r="6655">
          <cell r="C6655" t="str">
            <v>Ally Deposit and Invest Fraud Consolidated Operations</v>
          </cell>
          <cell r="H6655">
            <v>5043771</v>
          </cell>
          <cell r="AK6655" t="str">
            <v>Daniela Hawkins</v>
          </cell>
        </row>
        <row r="6656">
          <cell r="C6656" t="str">
            <v>Markets Surveillance Analyst</v>
          </cell>
          <cell r="H6656">
            <v>5043781</v>
          </cell>
          <cell r="AK6656" t="str">
            <v>Matthew Rodgers</v>
          </cell>
        </row>
        <row r="6657">
          <cell r="C6657" t="str">
            <v>BD SD Compliance Testing Program</v>
          </cell>
          <cell r="H6657">
            <v>5043780</v>
          </cell>
          <cell r="AK6657" t="str">
            <v>Matthew Rodgers</v>
          </cell>
        </row>
        <row r="6658">
          <cell r="C6658" t="str">
            <v>Change Management Phase II</v>
          </cell>
          <cell r="H6658">
            <v>5043660</v>
          </cell>
          <cell r="AK6658" t="str">
            <v>Darrell Ponzio</v>
          </cell>
        </row>
        <row r="6659">
          <cell r="C6659" t="str">
            <v>Assurance - Mortgage - Loan File Review</v>
          </cell>
          <cell r="H6659">
            <v>5043933</v>
          </cell>
          <cell r="AK6659" t="str">
            <v>Willis Leitner</v>
          </cell>
        </row>
        <row r="6660">
          <cell r="C6660" t="str">
            <v>Popular_Comparative FileReview</v>
          </cell>
          <cell r="H6660">
            <v>5043876</v>
          </cell>
          <cell r="AK6660" t="str">
            <v>Delsys Salas</v>
          </cell>
        </row>
        <row r="6661">
          <cell r="C6661" t="str">
            <v>OceanFirst Govt Banking Risk Assessment</v>
          </cell>
          <cell r="H6661">
            <v>5043470</v>
          </cell>
          <cell r="AK6661" t="str">
            <v>David Stalnaker</v>
          </cell>
        </row>
        <row r="6662">
          <cell r="C6662" t="str">
            <v>Better DocMagic Compliance Testing</v>
          </cell>
          <cell r="H6662">
            <v>5043695</v>
          </cell>
          <cell r="AK6662" t="str">
            <v>Tuong Huy Ha</v>
          </cell>
        </row>
        <row r="6663">
          <cell r="C6663" t="str">
            <v>IBIT Technical Specialist H1 2021 Extension</v>
          </cell>
          <cell r="H6663">
            <v>5042341</v>
          </cell>
          <cell r="AK6663" t="str">
            <v>John McCaffrey</v>
          </cell>
        </row>
        <row r="6664">
          <cell r="C6664" t="str">
            <v>FrMc_ODS Retirement</v>
          </cell>
          <cell r="H6664">
            <v>5041890</v>
          </cell>
          <cell r="AK6664" t="str">
            <v>Chad Bonadonna</v>
          </cell>
        </row>
        <row r="6665">
          <cell r="C6665" t="str">
            <v>SVB_122-GS-TR-GOES Transformation Mobilization</v>
          </cell>
          <cell r="H6665">
            <v>5042067</v>
          </cell>
          <cell r="AK6665" t="str">
            <v>Karl Augenstein</v>
          </cell>
        </row>
        <row r="6666">
          <cell r="C6666" t="str">
            <v>RBCUS_CNB Issue Mgmt</v>
          </cell>
          <cell r="H6666">
            <v>5043811</v>
          </cell>
          <cell r="AK6666" t="str">
            <v>Michael Grotan</v>
          </cell>
        </row>
        <row r="6667">
          <cell r="C6667" t="str">
            <v>First Central Savings Bank Audit Review</v>
          </cell>
          <cell r="H6667">
            <v>5043614</v>
          </cell>
          <cell r="AK6667" t="str">
            <v>Mariana Dumanovsky</v>
          </cell>
        </row>
        <row r="6668">
          <cell r="C6668" t="str">
            <v>DSG_Digital Engineering_BAU Support_5</v>
          </cell>
          <cell r="H6668">
            <v>5043645</v>
          </cell>
          <cell r="AK6668" t="str">
            <v>Grzegorz Walukanis</v>
          </cell>
        </row>
        <row r="6669">
          <cell r="C6669" t="str">
            <v>WF_Graph Database</v>
          </cell>
          <cell r="H6669">
            <v>5043729</v>
          </cell>
          <cell r="AK6669" t="str">
            <v>Austin White</v>
          </cell>
        </row>
        <row r="6670">
          <cell r="C6670" t="str">
            <v>Revantage Affordable housing return</v>
          </cell>
          <cell r="H6670">
            <v>5043694</v>
          </cell>
          <cell r="AK6670" t="str">
            <v>Erin Turulski</v>
          </cell>
        </row>
        <row r="6671">
          <cell r="C6671" t="str">
            <v>HSBC-MSS-US 15a-6 PM - Extension</v>
          </cell>
          <cell r="H6671">
            <v>5042947</v>
          </cell>
          <cell r="AK6671" t="str">
            <v>Peter Brown</v>
          </cell>
        </row>
        <row r="6672">
          <cell r="C6672" t="str">
            <v>GA Agile Executive Training</v>
          </cell>
          <cell r="H6672">
            <v>5043740</v>
          </cell>
          <cell r="AK6672" t="str">
            <v>Christopher Dickinson</v>
          </cell>
        </row>
        <row r="6673">
          <cell r="C6673" t="str">
            <v>GRC Advisory Consulting - LogicManager Solution</v>
          </cell>
          <cell r="H6673">
            <v>5043878</v>
          </cell>
          <cell r="AK6673" t="str">
            <v>Tania Makuh</v>
          </cell>
        </row>
        <row r="6674">
          <cell r="C6674" t="str">
            <v>Regulatory IT Program Manager</v>
          </cell>
          <cell r="H6674">
            <v>5040712</v>
          </cell>
          <cell r="AK6674" t="str">
            <v>Sri Nonabur Srinivasamurthy</v>
          </cell>
        </row>
        <row r="6675">
          <cell r="C6675" t="str">
            <v>SVB_126-GS-UK-UK Data</v>
          </cell>
          <cell r="H6675">
            <v>5042067</v>
          </cell>
          <cell r="AK6675" t="str">
            <v>Karl Augenstein</v>
          </cell>
        </row>
        <row r="6676">
          <cell r="C6676" t="str">
            <v>HSBC-DBS-OCC Remediation Support Team (Wave 2-12)</v>
          </cell>
          <cell r="H6676">
            <v>5042948</v>
          </cell>
          <cell r="AK6676" t="str">
            <v>Peter Brown</v>
          </cell>
        </row>
        <row r="6677">
          <cell r="C6677" t="str">
            <v>Citi_ICG 2021 Loan Operations - Extn</v>
          </cell>
          <cell r="H6677">
            <v>5043846</v>
          </cell>
          <cell r="AK6677" t="str">
            <v>Ervinas Janavicius</v>
          </cell>
        </row>
        <row r="6678">
          <cell r="C6678" t="str">
            <v>SVB_108-PR-BG-Trade Finance RFP</v>
          </cell>
          <cell r="H6678">
            <v>5042067</v>
          </cell>
          <cell r="AK6678" t="str">
            <v>Karl Augenstein</v>
          </cell>
        </row>
        <row r="6679">
          <cell r="C6679" t="str">
            <v>JP Morgan - Project Bloom: ExtensionTeam</v>
          </cell>
          <cell r="H6679">
            <v>5043242</v>
          </cell>
          <cell r="AK6679" t="str">
            <v>Brian Mason</v>
          </cell>
        </row>
        <row r="6680">
          <cell r="C6680" t="str">
            <v>CLC EA Project Support Ph3</v>
          </cell>
          <cell r="H6680">
            <v>5041705</v>
          </cell>
          <cell r="AK6680" t="str">
            <v>Eric Fairchild</v>
          </cell>
        </row>
        <row r="6681">
          <cell r="C6681" t="str">
            <v>UBS - Flood Training</v>
          </cell>
          <cell r="H6681">
            <v>5043894</v>
          </cell>
          <cell r="AK6681" t="str">
            <v>Diane Banks</v>
          </cell>
        </row>
        <row r="6682">
          <cell r="C6682" t="str">
            <v>Compliance Reviews</v>
          </cell>
          <cell r="H6682">
            <v>5043744</v>
          </cell>
          <cell r="AK6682" t="str">
            <v>Eugene Collett</v>
          </cell>
        </row>
        <row r="6683">
          <cell r="C6683" t="str">
            <v>Citi ICG Private Bank Mobile App Research</v>
          </cell>
          <cell r="H6683">
            <v>5043829</v>
          </cell>
          <cell r="AK6683" t="str">
            <v>Ervinas Janavicius</v>
          </cell>
        </row>
        <row r="6684">
          <cell r="C6684" t="str">
            <v>FrMc_ICM Payment Modernization</v>
          </cell>
          <cell r="H6684">
            <v>5043741</v>
          </cell>
          <cell r="AK6684" t="str">
            <v>Kalkidan Tedla</v>
          </cell>
        </row>
        <row r="6685">
          <cell r="C6685" t="str">
            <v>Savana_002_Exec Sup</v>
          </cell>
          <cell r="H6685">
            <v>5043779</v>
          </cell>
          <cell r="AK6685" t="str">
            <v>Mohammad Jahansoozan</v>
          </cell>
        </row>
        <row r="6686">
          <cell r="C6686" t="str">
            <v>SVB_131-IT-ST-Marketing Tech Strategy Addition</v>
          </cell>
          <cell r="H6686">
            <v>5042067</v>
          </cell>
          <cell r="AK6686" t="str">
            <v>Karl Augenstein</v>
          </cell>
        </row>
        <row r="6687">
          <cell r="C6687" t="str">
            <v>East West Bank_Phase 0-Biz Case</v>
          </cell>
          <cell r="H6687">
            <v>5043830</v>
          </cell>
          <cell r="AK6687" t="str">
            <v>Paul Fulmer</v>
          </cell>
        </row>
        <row r="6688">
          <cell r="C6688" t="str">
            <v>Key CRA data remediation - RISC</v>
          </cell>
          <cell r="H6688">
            <v>5043976</v>
          </cell>
          <cell r="AK6688" t="str">
            <v>Shri Dabholkar</v>
          </cell>
        </row>
        <row r="6689">
          <cell r="C6689" t="str">
            <v>Key CRA data remediation - RISC</v>
          </cell>
          <cell r="H6689">
            <v>5043976</v>
          </cell>
          <cell r="AK6689" t="str">
            <v>Shri Dabholkar</v>
          </cell>
        </row>
        <row r="6690">
          <cell r="C6690" t="str">
            <v>DSG_Digital Engineering_BAU Support_2</v>
          </cell>
          <cell r="H6690">
            <v>5043739</v>
          </cell>
          <cell r="AK6690" t="str">
            <v>Grzegorz Walukanis</v>
          </cell>
        </row>
        <row r="6691">
          <cell r="C6691" t="str">
            <v>Eaton Vance Procurement Cost Synergy PM</v>
          </cell>
          <cell r="H6691">
            <v>5041371</v>
          </cell>
          <cell r="AK6691" t="str">
            <v>Dan Schutzman</v>
          </cell>
        </row>
        <row r="6692">
          <cell r="C6692" t="str">
            <v>Jefferies OpenFin COE Extension</v>
          </cell>
          <cell r="H6692">
            <v>5043021</v>
          </cell>
          <cell r="AK6692" t="str">
            <v>Jason Noran</v>
          </cell>
        </row>
        <row r="6693">
          <cell r="C6693" t="str">
            <v>SVB_130-GS-BAU-Omnia (MDM) Extension</v>
          </cell>
          <cell r="H6693">
            <v>5042067</v>
          </cell>
          <cell r="AK6693" t="str">
            <v>Karl Augenstein</v>
          </cell>
        </row>
        <row r="6694">
          <cell r="C6694" t="str">
            <v>Hyperion_HMDA Data Integrity R</v>
          </cell>
          <cell r="H6694">
            <v>5043139</v>
          </cell>
          <cell r="AK6694" t="str">
            <v>Kristina Slattery</v>
          </cell>
        </row>
        <row r="6695">
          <cell r="C6695" t="str">
            <v>Payment Tech Exam Readiness Assessment</v>
          </cell>
          <cell r="H6695">
            <v>5043883</v>
          </cell>
          <cell r="AK6695" t="str">
            <v>Boris Mallet</v>
          </cell>
        </row>
        <row r="6696">
          <cell r="C6696" t="str">
            <v>Jcrew 2022 Extension</v>
          </cell>
          <cell r="H6696">
            <v>5044957</v>
          </cell>
          <cell r="AK6696" t="str">
            <v>John McCaffrey</v>
          </cell>
        </row>
        <row r="6697">
          <cell r="C6697" t="str">
            <v>Key Process AMD 3</v>
          </cell>
          <cell r="H6697">
            <v>5042840</v>
          </cell>
          <cell r="AK6697" t="str">
            <v>Samuel Awsumb</v>
          </cell>
        </row>
        <row r="6698">
          <cell r="C6698" t="str">
            <v>JEF_Madison PMO Analyst - H1 2022 Ext</v>
          </cell>
          <cell r="H6698">
            <v>5044044</v>
          </cell>
          <cell r="AK6698" t="str">
            <v>Aoife Hogan</v>
          </cell>
        </row>
        <row r="6699">
          <cell r="C6699" t="str">
            <v>CapitalBnk_BSA ModelValidation</v>
          </cell>
          <cell r="H6699">
            <v>5043265</v>
          </cell>
          <cell r="AK6699" t="str">
            <v>Aiswarya Parameswaran</v>
          </cell>
        </row>
        <row r="6700">
          <cell r="C6700" t="str">
            <v>JEF_Madison Salesforce Dev - H1 2022 Ext</v>
          </cell>
          <cell r="H6700">
            <v>5044300</v>
          </cell>
          <cell r="AK6700" t="str">
            <v>Aoife Hogan</v>
          </cell>
        </row>
        <row r="6701">
          <cell r="C6701" t="str">
            <v>Mid Penn MQC Reviews</v>
          </cell>
          <cell r="H6701">
            <v>5029589</v>
          </cell>
          <cell r="AK6701" t="str">
            <v>Keith Cole</v>
          </cell>
        </row>
        <row r="6702">
          <cell r="C6702" t="str">
            <v>MS_WM UAT Portfolio Construction 2022</v>
          </cell>
          <cell r="H6702">
            <v>5044458</v>
          </cell>
          <cell r="AK6702" t="str">
            <v>Balaji Ramamurthy</v>
          </cell>
        </row>
        <row r="6703">
          <cell r="C6703" t="str">
            <v>Citi ICG FRMT India-UK Nov 21- Apr 22</v>
          </cell>
          <cell r="H6703">
            <v>5043734</v>
          </cell>
          <cell r="AK6703" t="str">
            <v>Chris Johnston</v>
          </cell>
        </row>
        <row r="6704">
          <cell r="C6704" t="str">
            <v>JCREW BAU RTB Support For 2022</v>
          </cell>
          <cell r="H6704">
            <v>5045058</v>
          </cell>
          <cell r="AK6704" t="str">
            <v>John McCaffrey</v>
          </cell>
        </row>
        <row r="6705">
          <cell r="C6705" t="str">
            <v>Amalgamated Bank_State Data Feed</v>
          </cell>
          <cell r="H6705">
            <v>5044155</v>
          </cell>
          <cell r="AK6705" t="str">
            <v>Leah Robinson</v>
          </cell>
        </row>
        <row r="6706">
          <cell r="C6706" t="str">
            <v>SVB_124-PR-BAU-EOY Marketing Extension</v>
          </cell>
          <cell r="H6706">
            <v>5042067</v>
          </cell>
          <cell r="AK6706" t="str">
            <v>Karl Augenstein</v>
          </cell>
        </row>
        <row r="6707">
          <cell r="C6707" t="str">
            <v>Wells Fargo RCSA Extension</v>
          </cell>
          <cell r="H6707">
            <v>5043955</v>
          </cell>
          <cell r="AK6707" t="str">
            <v>Victor Bejarano</v>
          </cell>
        </row>
        <row r="6708">
          <cell r="C6708" t="str">
            <v>JEF_Madison OneJef Rev Data Support Onshore - H1 2022 Ext</v>
          </cell>
          <cell r="H6708">
            <v>5039368</v>
          </cell>
          <cell r="AK6708" t="str">
            <v>Aoife Hogan</v>
          </cell>
        </row>
        <row r="6709">
          <cell r="C6709" t="str">
            <v>JEF_Madison II Campaign - Q1 2022 Ext</v>
          </cell>
          <cell r="H6709">
            <v>5044540</v>
          </cell>
          <cell r="AK6709" t="str">
            <v>Aoife Hogan</v>
          </cell>
        </row>
        <row r="6710">
          <cell r="C6710" t="str">
            <v>Cetera_Digital Client-Advisor Dev Ops Model</v>
          </cell>
          <cell r="H6710">
            <v>5043912</v>
          </cell>
          <cell r="AK6710" t="str">
            <v>Scott Jurgensen</v>
          </cell>
        </row>
        <row r="6711">
          <cell r="C6711" t="str">
            <v>JEF_Madison OneJef Rev Data Support Offshore - H1 2022 Ext</v>
          </cell>
          <cell r="H6711">
            <v>5044538</v>
          </cell>
          <cell r="AK6711" t="str">
            <v>Aoife Hogan</v>
          </cell>
        </row>
        <row r="6712">
          <cell r="C6712" t="str">
            <v>Jeff_Transcend_Dec-Feb</v>
          </cell>
          <cell r="H6712">
            <v>5039334</v>
          </cell>
          <cell r="AK6712" t="str">
            <v>Matthew Rodgers</v>
          </cell>
        </row>
        <row r="6713">
          <cell r="C6713" t="str">
            <v>JEF_Madison OneJef Rev Production Support Offshore - H1 2022 Ext</v>
          </cell>
          <cell r="H6713">
            <v>5044584</v>
          </cell>
          <cell r="AK6713" t="str">
            <v>Aoife Hogan</v>
          </cell>
        </row>
        <row r="6714">
          <cell r="C6714" t="str">
            <v>JEF_Madison Offshore BI Full Stack Developer - H1 2022 Ext</v>
          </cell>
          <cell r="H6714">
            <v>5043624</v>
          </cell>
          <cell r="AK6714" t="str">
            <v>Aoife Hogan</v>
          </cell>
        </row>
        <row r="6715">
          <cell r="C6715" t="str">
            <v>CNB_Application Analyst Ext</v>
          </cell>
          <cell r="H6715">
            <v>5043020</v>
          </cell>
          <cell r="AK6715" t="str">
            <v>Betsy Cherian</v>
          </cell>
        </row>
        <row r="6716">
          <cell r="C6716" t="str">
            <v>Jeff_Compliance Support</v>
          </cell>
          <cell r="H6716">
            <v>5043059</v>
          </cell>
          <cell r="AK6716" t="str">
            <v>Matthew Rodgers</v>
          </cell>
        </row>
        <row r="6717">
          <cell r="C6717" t="str">
            <v>JEF_Madison IB BI Tech BA - H1 2022 Ext</v>
          </cell>
          <cell r="H6717">
            <v>5042301</v>
          </cell>
          <cell r="AK6717" t="str">
            <v>Aoife Hogan</v>
          </cell>
        </row>
        <row r="6718">
          <cell r="C6718" t="str">
            <v>JEF_Madison Jr. UX/UI Designer - H1 2022 Ext</v>
          </cell>
          <cell r="H6718">
            <v>5042439</v>
          </cell>
          <cell r="AK6718" t="str">
            <v>Aoife Hogan</v>
          </cell>
        </row>
        <row r="6719">
          <cell r="C6719" t="str">
            <v>JEF_Madison Offshore BI Cognos Developer - H1 2022 Ext</v>
          </cell>
          <cell r="H6719">
            <v>5043629</v>
          </cell>
          <cell r="AK6719" t="str">
            <v>Aoife Hogan</v>
          </cell>
        </row>
        <row r="6720">
          <cell r="C6720" t="str">
            <v>Equities PB Risk</v>
          </cell>
          <cell r="H6720">
            <v>5043523</v>
          </cell>
          <cell r="AK6720" t="str">
            <v>Chelsea Mattias</v>
          </cell>
        </row>
        <row r="6721">
          <cell r="C6721" t="str">
            <v>HSBC-DBS OCC Remediation Support Team (Wave 2-13)</v>
          </cell>
          <cell r="H6721">
            <v>5042948</v>
          </cell>
          <cell r="AK6721" t="str">
            <v>Peter Brown</v>
          </cell>
        </row>
        <row r="6722">
          <cell r="C6722" t="str">
            <v>InvestCloud Q4 21 - Q2 2022 Extension</v>
          </cell>
          <cell r="H6722">
            <v>5042704</v>
          </cell>
          <cell r="AK6722" t="str">
            <v>James Jeffries</v>
          </cell>
        </row>
        <row r="6723">
          <cell r="C6723" t="str">
            <v>DFEA - Compl Training 2021</v>
          </cell>
          <cell r="H6723">
            <v>5043896</v>
          </cell>
          <cell r="AK6723" t="str">
            <v>Robert Cardwell</v>
          </cell>
        </row>
        <row r="6724">
          <cell r="C6724" t="str">
            <v>MM - Project Delivery</v>
          </cell>
          <cell r="H6724">
            <v>5043847</v>
          </cell>
          <cell r="AK6724" t="str">
            <v>Christopher Dickinson</v>
          </cell>
        </row>
        <row r="6725">
          <cell r="C6725" t="str">
            <v>Ford_Project Fiesta</v>
          </cell>
          <cell r="H6725">
            <v>5043863</v>
          </cell>
          <cell r="AK6725" t="str">
            <v>Kari Raimondi</v>
          </cell>
        </row>
        <row r="6726">
          <cell r="C6726" t="str">
            <v>JEF_Madison FI Homepage UI Designer</v>
          </cell>
          <cell r="H6726">
            <v>5043872</v>
          </cell>
          <cell r="AK6726" t="str">
            <v>Aoife Hogan</v>
          </cell>
        </row>
        <row r="6727">
          <cell r="C6727" t="str">
            <v>SBSD Phase II extension</v>
          </cell>
          <cell r="H6727">
            <v>5044331</v>
          </cell>
          <cell r="AK6727" t="str">
            <v>Jack Stevens</v>
          </cell>
        </row>
        <row r="6728">
          <cell r="C6728" t="str">
            <v>Alliance Bernstein - Digital Content Strategy/Production</v>
          </cell>
          <cell r="H6728">
            <v>5043882</v>
          </cell>
          <cell r="AK6728" t="str">
            <v>Douglas Sieg</v>
          </cell>
        </row>
        <row r="6729">
          <cell r="C6729" t="str">
            <v>SVB_121-GS-GB-Test Engineer Extension</v>
          </cell>
          <cell r="H6729">
            <v>5042067</v>
          </cell>
          <cell r="AK6729" t="str">
            <v>Karl Augenstein</v>
          </cell>
        </row>
        <row r="6730">
          <cell r="C6730" t="str">
            <v>DB-CAO-AFC-BC-AFC Modelling TM 2021</v>
          </cell>
          <cell r="H6730">
            <v>5044647</v>
          </cell>
          <cell r="AK6730" t="str">
            <v>Ruby Cherian</v>
          </cell>
        </row>
        <row r="6731">
          <cell r="C6731" t="str">
            <v>KofC -  Data Modernization Extension Dec 2021</v>
          </cell>
          <cell r="H6731">
            <v>5042510</v>
          </cell>
          <cell r="AK6731" t="str">
            <v>Darrell Ponzio</v>
          </cell>
        </row>
        <row r="6732">
          <cell r="C6732" t="str">
            <v>Citizen Business Bank EDD Reviews</v>
          </cell>
          <cell r="H6732">
            <v>5043910</v>
          </cell>
          <cell r="AK6732" t="str">
            <v>Jonathan Hunt</v>
          </cell>
        </row>
        <row r="6733">
          <cell r="C6733" t="str">
            <v>118-RO-BAU CFPB Mock Exam</v>
          </cell>
          <cell r="H6733">
            <v>5043877</v>
          </cell>
          <cell r="AK6733" t="str">
            <v>Andrew Radka</v>
          </cell>
        </row>
        <row r="6734">
          <cell r="C6734" t="str">
            <v>SVB_133-PR-BAU-Portfolio Value Capture</v>
          </cell>
          <cell r="H6734">
            <v>5042067</v>
          </cell>
          <cell r="AK6734" t="str">
            <v>Karl Augenstein</v>
          </cell>
        </row>
        <row r="6735">
          <cell r="C6735" t="str">
            <v>Eq Tech Desi and PM ext3</v>
          </cell>
          <cell r="H6735">
            <v>5044548</v>
          </cell>
          <cell r="AK6735" t="str">
            <v>Chelsea Mattias</v>
          </cell>
        </row>
        <row r="6736">
          <cell r="C6736" t="str">
            <v>Lazard Automation Support - Phase 3</v>
          </cell>
          <cell r="H6736">
            <v>5043880</v>
          </cell>
          <cell r="AK6736" t="str">
            <v>Jason Noran</v>
          </cell>
        </row>
        <row r="6737">
          <cell r="C6737" t="str">
            <v>HMDA Data Integrity Review 2020</v>
          </cell>
          <cell r="H6737">
            <v>5044036</v>
          </cell>
          <cell r="AK6737" t="str">
            <v>Juan Pimentel</v>
          </cell>
        </row>
        <row r="6738">
          <cell r="C6738" t="str">
            <v>Guardian Org Strategy / Op Model</v>
          </cell>
          <cell r="H6738">
            <v>5043982</v>
          </cell>
          <cell r="AK6738" t="str">
            <v>Beth Yiznitsky</v>
          </cell>
        </row>
        <row r="6739">
          <cell r="C6739" t="str">
            <v>Investors CRA Review - Rozsa</v>
          </cell>
          <cell r="H6739">
            <v>5044107</v>
          </cell>
          <cell r="AK6739" t="str">
            <v>Elizabeth Rozsa</v>
          </cell>
        </row>
        <row r="6740">
          <cell r="C6740" t="str">
            <v>Apiture Q1 22 Ext</v>
          </cell>
          <cell r="H6740">
            <v>5042028</v>
          </cell>
          <cell r="AK6740" t="str">
            <v>Kevin Miologos</v>
          </cell>
        </row>
        <row r="6741">
          <cell r="C6741" t="str">
            <v>Fieldpoint Encompass Implementation</v>
          </cell>
          <cell r="H6741">
            <v>5040998</v>
          </cell>
          <cell r="AK6741" t="str">
            <v>Mariana Dumanovsky</v>
          </cell>
        </row>
        <row r="6742">
          <cell r="C6742" t="str">
            <v>JEF_Madison GM BI Tech BA 2022 Ext 1</v>
          </cell>
          <cell r="H6742">
            <v>5044353</v>
          </cell>
          <cell r="AK6742" t="str">
            <v>Aoife Hogan</v>
          </cell>
        </row>
        <row r="6743">
          <cell r="C6743" t="str">
            <v>First Bank Richmond_MQC 2022</v>
          </cell>
          <cell r="H6743">
            <v>5046408</v>
          </cell>
          <cell r="AK6743" t="str">
            <v>Keith Cole</v>
          </cell>
        </row>
        <row r="6744">
          <cell r="C6744" t="str">
            <v>Clear Mount - CMSO</v>
          </cell>
          <cell r="H6744">
            <v>5044517</v>
          </cell>
          <cell r="AK6744" t="str">
            <v>Steve Manitzas</v>
          </cell>
        </row>
        <row r="6745">
          <cell r="C6745" t="str">
            <v>Broadridge WMAP 2022</v>
          </cell>
          <cell r="H6745">
            <v>5044318</v>
          </cell>
          <cell r="AK6745" t="str">
            <v>Phil Kerkel</v>
          </cell>
        </row>
        <row r="6746">
          <cell r="C6746" t="str">
            <v>Broadridge RBC 2022</v>
          </cell>
          <cell r="H6746">
            <v>5044333</v>
          </cell>
          <cell r="AK6746" t="str">
            <v>Raymond Ortiz II</v>
          </cell>
        </row>
        <row r="6747">
          <cell r="C6747" t="str">
            <v>Blue Foundry Bank_CMS Support</v>
          </cell>
          <cell r="H6747">
            <v>5044700</v>
          </cell>
          <cell r="AK6747" t="str">
            <v>Anna Proleika</v>
          </cell>
        </row>
        <row r="6748">
          <cell r="C6748" t="str">
            <v>DB-TDI-DAT-IT-Data Remediation Extension H1 2022</v>
          </cell>
          <cell r="H6748">
            <v>5044329</v>
          </cell>
          <cell r="AK6748" t="str">
            <v>David Roberts</v>
          </cell>
        </row>
        <row r="6749">
          <cell r="C6749" t="str">
            <v>DB-CRB-AS-IT-T4O Team Extension H1 2022 - REACT (Justin Lambert)</v>
          </cell>
          <cell r="H6749">
            <v>5044381</v>
          </cell>
          <cell r="AK6749" t="str">
            <v>Conor Hodnett</v>
          </cell>
        </row>
        <row r="6750">
          <cell r="C6750" t="str">
            <v>MS_WM_S and A_PMO 2022</v>
          </cell>
          <cell r="H6750">
            <v>5041283</v>
          </cell>
          <cell r="AK6750" t="str">
            <v>Rayna Gittelman</v>
          </cell>
        </row>
        <row r="6751">
          <cell r="C6751" t="str">
            <v>VirginiaPartnersBnk_CMS Sup 22</v>
          </cell>
          <cell r="H6751">
            <v>5044595</v>
          </cell>
          <cell r="AK6751" t="str">
            <v>Kristina Slattery</v>
          </cell>
        </row>
        <row r="6752">
          <cell r="C6752" t="str">
            <v>MS_WM_Ops_Governance and MSSN 22</v>
          </cell>
          <cell r="H6752">
            <v>5041332</v>
          </cell>
          <cell r="AK6752" t="str">
            <v>Robin Williams</v>
          </cell>
        </row>
        <row r="6753">
          <cell r="C6753" t="str">
            <v>FrMc_CSP 2022 H1</v>
          </cell>
          <cell r="H6753">
            <v>5044203</v>
          </cell>
          <cell r="AK6753" t="str">
            <v>Thomas Wilson</v>
          </cell>
        </row>
        <row r="6754">
          <cell r="C6754" t="str">
            <v>MS_WM_CIS_eTrade Analytical Support</v>
          </cell>
          <cell r="H6754">
            <v>5041051</v>
          </cell>
          <cell r="AK6754" t="str">
            <v>Robin Williams</v>
          </cell>
        </row>
        <row r="6755">
          <cell r="C6755" t="str">
            <v>SD Compliance Project Manager</v>
          </cell>
          <cell r="H6755">
            <v>5039780</v>
          </cell>
          <cell r="AK6755" t="str">
            <v>Matthew Rodgers</v>
          </cell>
        </row>
        <row r="6756">
          <cell r="C6756" t="str">
            <v>T4O Team Extension H1 2022 - In Year Growth</v>
          </cell>
          <cell r="H6756">
            <v>5044381</v>
          </cell>
          <cell r="AK6756" t="str">
            <v>Conor Hodnett</v>
          </cell>
        </row>
        <row r="6757">
          <cell r="C6757" t="str">
            <v>Data CoE US Team (Jan 22 to Mar 22)</v>
          </cell>
          <cell r="H6757">
            <v>5041398</v>
          </cell>
          <cell r="AK6757" t="str">
            <v>Keith Paradise</v>
          </cell>
        </row>
        <row r="6758">
          <cell r="C6758" t="str">
            <v>Fieldpoint- CMSO</v>
          </cell>
          <cell r="H6758">
            <v>5043932</v>
          </cell>
          <cell r="AK6758" t="str">
            <v>David Belfer</v>
          </cell>
        </row>
        <row r="6759">
          <cell r="C6759" t="str">
            <v>Cape Cod Five CMSO</v>
          </cell>
          <cell r="H6759">
            <v>5044196</v>
          </cell>
          <cell r="AK6759" t="str">
            <v>Delsys Salas</v>
          </cell>
        </row>
        <row r="6760">
          <cell r="C6760" t="str">
            <v>MS_WM_Integration_Etrade 2022</v>
          </cell>
          <cell r="H6760">
            <v>5041437</v>
          </cell>
          <cell r="AK6760" t="str">
            <v>Leah Watson</v>
          </cell>
        </row>
        <row r="6761">
          <cell r="C6761" t="str">
            <v>SVB_145-PR-TR-UI and UX Design H1 2022</v>
          </cell>
          <cell r="H6761">
            <v>5042067</v>
          </cell>
          <cell r="AK6761" t="str">
            <v>Karl Augenstein</v>
          </cell>
        </row>
        <row r="6762">
          <cell r="C6762" t="str">
            <v>NorwoodBnk_RMSC Alert Clearing</v>
          </cell>
          <cell r="H6762">
            <v>5044613</v>
          </cell>
          <cell r="AK6762" t="str">
            <v>William Sachs</v>
          </cell>
        </row>
        <row r="6763">
          <cell r="C6763" t="str">
            <v>Citi-ICG 2022 Business Lineage - Extension</v>
          </cell>
          <cell r="H6763">
            <v>5044281</v>
          </cell>
          <cell r="AK6763" t="str">
            <v>Thomas Evans</v>
          </cell>
        </row>
        <row r="6764">
          <cell r="C6764" t="str">
            <v>CMS Optimizer</v>
          </cell>
          <cell r="H6764">
            <v>5044108</v>
          </cell>
          <cell r="AK6764" t="str">
            <v>Pamela Acciardo</v>
          </cell>
        </row>
        <row r="6765">
          <cell r="C6765" t="str">
            <v>MS_ISG_Mumbai Q4 Ext</v>
          </cell>
          <cell r="H6765">
            <v>5041458</v>
          </cell>
          <cell r="AK6765" t="str">
            <v>Mitali Drews</v>
          </cell>
        </row>
        <row r="6766">
          <cell r="C6766" t="str">
            <v>HUECU CMS Support</v>
          </cell>
          <cell r="H6766">
            <v>5044061</v>
          </cell>
          <cell r="AK6766" t="str">
            <v>Mary Louise Radley</v>
          </cell>
        </row>
        <row r="6767">
          <cell r="C6767" t="str">
            <v>Deriv IT PMO BBG MARS H1 2022</v>
          </cell>
          <cell r="H6767">
            <v>5044357</v>
          </cell>
          <cell r="AK6767" t="str">
            <v>Chelsea Mattias</v>
          </cell>
        </row>
        <row r="6768">
          <cell r="C6768" t="str">
            <v>FX IT PMO H1 2022</v>
          </cell>
          <cell r="H6768">
            <v>5044457</v>
          </cell>
          <cell r="AK6768" t="str">
            <v>Conor Dowling</v>
          </cell>
        </row>
        <row r="6769">
          <cell r="C6769" t="str">
            <v>Martha's Vineyard Savings Bank</v>
          </cell>
          <cell r="H6769">
            <v>5041972</v>
          </cell>
          <cell r="AK6769" t="str">
            <v>Lawana Clark</v>
          </cell>
        </row>
        <row r="6770">
          <cell r="C6770" t="str">
            <v>Deutsche Bank, USA - FLRA Addendum</v>
          </cell>
          <cell r="H6770">
            <v>5036327</v>
          </cell>
          <cell r="AK6770" t="str">
            <v>Pamela Acciardo</v>
          </cell>
        </row>
        <row r="6771">
          <cell r="C6771" t="str">
            <v>MS_WM_Ops_Knowledge Management 2022</v>
          </cell>
          <cell r="H6771">
            <v>5041055</v>
          </cell>
          <cell r="AK6771" t="str">
            <v>Robin Williams</v>
          </cell>
        </row>
        <row r="6772">
          <cell r="C6772" t="str">
            <v>MS_WM_Ops_Digital 2022</v>
          </cell>
          <cell r="H6772">
            <v>5041059</v>
          </cell>
          <cell r="AK6772" t="str">
            <v>Robin Williams</v>
          </cell>
        </row>
        <row r="6773">
          <cell r="C6773" t="str">
            <v>USB - State Data Feed</v>
          </cell>
          <cell r="H6773">
            <v>5043827</v>
          </cell>
          <cell r="AK6773" t="str">
            <v>Leah Robinson</v>
          </cell>
        </row>
        <row r="6774">
          <cell r="C6774" t="str">
            <v>MS_WM_Ops_AI RTB 2022</v>
          </cell>
          <cell r="H6774">
            <v>5041083</v>
          </cell>
          <cell r="AK6774" t="str">
            <v>Robin Williams</v>
          </cell>
        </row>
        <row r="6775">
          <cell r="C6775" t="str">
            <v>Verifin Behavioral Rationalization and Optimization.</v>
          </cell>
          <cell r="H6775">
            <v>5043184</v>
          </cell>
          <cell r="AK6775" t="str">
            <v>William Sachs</v>
          </cell>
        </row>
        <row r="6776">
          <cell r="C6776" t="str">
            <v>Broadridge - PAS data aggregation II</v>
          </cell>
          <cell r="H6776">
            <v>5043324</v>
          </cell>
          <cell r="AK6776" t="str">
            <v>Phil Kerkel</v>
          </cell>
        </row>
        <row r="6777">
          <cell r="C6777" t="str">
            <v>Customers Bank Vendor Due Diligence extension</v>
          </cell>
          <cell r="H6777">
            <v>5042733</v>
          </cell>
          <cell r="AK6777" t="str">
            <v>Gail Rassler</v>
          </cell>
        </row>
        <row r="6778">
          <cell r="C6778" t="str">
            <v>SVB_153-IT-BP- PMO&amp;Tech Leads Ext</v>
          </cell>
          <cell r="H6778">
            <v>5042067</v>
          </cell>
          <cell r="AK6778" t="str">
            <v>Karl Augenstein</v>
          </cell>
        </row>
        <row r="6779">
          <cell r="C6779" t="str">
            <v>HB Omni H1 2022</v>
          </cell>
          <cell r="H6779">
            <v>5044160</v>
          </cell>
          <cell r="AK6779" t="str">
            <v>Luke Penca</v>
          </cell>
        </row>
        <row r="6780">
          <cell r="C6780" t="str">
            <v>SVB_142-GS-BAU-VTO support Ext</v>
          </cell>
          <cell r="H6780">
            <v>5042067</v>
          </cell>
          <cell r="AK6780" t="str">
            <v>Karl Augenstein</v>
          </cell>
        </row>
        <row r="6781">
          <cell r="C6781" t="str">
            <v>SVB_129-PR-BAU-22Q1 Marketing Extension</v>
          </cell>
          <cell r="H6781">
            <v>5042067</v>
          </cell>
          <cell r="AK6781" t="str">
            <v>Karl Augenstein</v>
          </cell>
        </row>
        <row r="6782">
          <cell r="C6782" t="str">
            <v>Old Dominion National Bank / Digital Banking RA</v>
          </cell>
          <cell r="H6782">
            <v>5043844</v>
          </cell>
          <cell r="AK6782" t="str">
            <v>Robert Farmer</v>
          </cell>
        </row>
        <row r="6783">
          <cell r="C6783" t="str">
            <v>SVB_152-GS-TR-GS Talent &amp; Engagement Support</v>
          </cell>
          <cell r="H6783">
            <v>5042067</v>
          </cell>
          <cell r="AK6783" t="str">
            <v>Karl Augenstein</v>
          </cell>
        </row>
        <row r="6784">
          <cell r="C6784" t="str">
            <v>DB-PB-WLT-IT-Wealth Core Platform - Finance and Tax_Ext2</v>
          </cell>
          <cell r="H6784">
            <v>5044032</v>
          </cell>
          <cell r="AK6784" t="str">
            <v>Angela McGregor</v>
          </cell>
        </row>
        <row r="6785">
          <cell r="C6785" t="str">
            <v>Sandy Spring Bank - BSA RA Review</v>
          </cell>
          <cell r="H6785">
            <v>5044308</v>
          </cell>
          <cell r="AK6785" t="str">
            <v>William Sachs</v>
          </cell>
        </row>
        <row r="6786">
          <cell r="C6786" t="str">
            <v>MS_WM_Escheatment_2022</v>
          </cell>
          <cell r="H6786">
            <v>5041054</v>
          </cell>
          <cell r="AK6786" t="str">
            <v>Robin Williams</v>
          </cell>
        </row>
        <row r="6787">
          <cell r="C6787" t="str">
            <v>WSFS TRID Review 2022 - 2023</v>
          </cell>
          <cell r="H6787">
            <v>5044105</v>
          </cell>
          <cell r="AK6787" t="str">
            <v>Amanda Pickering</v>
          </cell>
        </row>
        <row r="6788">
          <cell r="C6788" t="str">
            <v>Home Depot FL Custom ILT</v>
          </cell>
          <cell r="H6788">
            <v>5043841</v>
          </cell>
          <cell r="AK6788" t="str">
            <v>Diane Banks</v>
          </cell>
        </row>
        <row r="6789">
          <cell r="C6789" t="str">
            <v>SVB_140-GS-TM-Tech Strategy Panel Ext</v>
          </cell>
          <cell r="H6789">
            <v>5042067</v>
          </cell>
          <cell r="AK6789" t="str">
            <v>Karl Augenstein</v>
          </cell>
        </row>
        <row r="6790">
          <cell r="C6790" t="str">
            <v>Goldman Sachs_MQC 2021</v>
          </cell>
          <cell r="H6790">
            <v>5043655</v>
          </cell>
          <cell r="AK6790" t="str">
            <v>Christian Maier</v>
          </cell>
        </row>
        <row r="6791">
          <cell r="C6791" t="str">
            <v>USAA MBT Support 2022</v>
          </cell>
          <cell r="H6791">
            <v>5042035</v>
          </cell>
          <cell r="AK6791" t="str">
            <v>Samuel Desta</v>
          </cell>
        </row>
        <row r="6792">
          <cell r="C6792" t="str">
            <v>Investment Platforms COO Support 2022</v>
          </cell>
          <cell r="H6792">
            <v>5042961</v>
          </cell>
          <cell r="AK6792" t="str">
            <v>Leah Watson</v>
          </cell>
        </row>
        <row r="6793">
          <cell r="C6793" t="str">
            <v>Noah Bank - CMS Support</v>
          </cell>
          <cell r="H6793">
            <v>5044518</v>
          </cell>
          <cell r="AK6793" t="str">
            <v>Anna Proleika</v>
          </cell>
        </row>
        <row r="6794">
          <cell r="C6794" t="str">
            <v>WtrTwn-Compliance Consulting</v>
          </cell>
          <cell r="H6794">
            <v>5043813</v>
          </cell>
          <cell r="AK6794" t="str">
            <v>Lawana Clark</v>
          </cell>
        </row>
        <row r="6795">
          <cell r="C6795" t="str">
            <v>1st NorthernBnk_CMSOptimizer22</v>
          </cell>
          <cell r="H6795">
            <v>5044616</v>
          </cell>
          <cell r="AK6795" t="str">
            <v>Gail Rassler</v>
          </cell>
        </row>
        <row r="6796">
          <cell r="C6796" t="str">
            <v>FNB Absecon_CMS Support 2022</v>
          </cell>
          <cell r="H6796">
            <v>5044872</v>
          </cell>
          <cell r="AK6796" t="str">
            <v>Elizabeth Rozsa</v>
          </cell>
        </row>
        <row r="6797">
          <cell r="C6797" t="str">
            <v>KofC - Data Modernization Extension Jan 1 - Jan 10 2022</v>
          </cell>
          <cell r="H6797">
            <v>5042510</v>
          </cell>
          <cell r="AK6797" t="str">
            <v>Darrell Ponzio</v>
          </cell>
        </row>
        <row r="6798">
          <cell r="C6798" t="str">
            <v>MS_WM_PBO: 2022</v>
          </cell>
          <cell r="H6798">
            <v>5041379</v>
          </cell>
          <cell r="AK6798" t="str">
            <v>Vishal Vyas</v>
          </cell>
        </row>
        <row r="6799">
          <cell r="C6799" t="str">
            <v>SVB_148-GS-TR-Governance, Policies, &amp;amp; Controls</v>
          </cell>
          <cell r="H6799">
            <v>5042067</v>
          </cell>
          <cell r="AK6799" t="str">
            <v>Karl Augenstein</v>
          </cell>
        </row>
        <row r="6800">
          <cell r="C6800" t="str">
            <v>MS_WM_Ops_Workflow 2022</v>
          </cell>
          <cell r="H6800">
            <v>5041057</v>
          </cell>
          <cell r="AK6800" t="str">
            <v>Robin Williams</v>
          </cell>
        </row>
        <row r="6801">
          <cell r="C6801" t="str">
            <v>SVB_149-GS-TR-Leadership and amp Management</v>
          </cell>
          <cell r="H6801">
            <v>5042067</v>
          </cell>
          <cell r="AK6801" t="str">
            <v>Karl Augenstein</v>
          </cell>
        </row>
        <row r="6802">
          <cell r="C6802" t="str">
            <v>MS_ISG_ISGPO_ Q4 Ext</v>
          </cell>
          <cell r="H6802">
            <v>5041107</v>
          </cell>
          <cell r="AK6802" t="str">
            <v>Mitali Drews</v>
          </cell>
        </row>
        <row r="6803">
          <cell r="C6803" t="str">
            <v>Unqork UX Design 2022</v>
          </cell>
          <cell r="H6803">
            <v>5041548</v>
          </cell>
          <cell r="AK6803" t="str">
            <v>Frantz Casimir</v>
          </cell>
        </row>
        <row r="6804">
          <cell r="C6804" t="str">
            <v>SVB_146-GS-TR-Foundational Data Products</v>
          </cell>
          <cell r="H6804">
            <v>5042067</v>
          </cell>
          <cell r="AK6804" t="str">
            <v>Karl Augenstein</v>
          </cell>
        </row>
        <row r="6805">
          <cell r="C6805" t="str">
            <v>Jeff_Murex 2022 Project Team</v>
          </cell>
          <cell r="H6805">
            <v>5038113</v>
          </cell>
          <cell r="AK6805" t="str">
            <v>Chelsea Mattias</v>
          </cell>
        </row>
        <row r="6806">
          <cell r="C6806" t="str">
            <v>MVSB Consulting</v>
          </cell>
          <cell r="H6806">
            <v>5041972</v>
          </cell>
          <cell r="AK6806" t="str">
            <v>Lawana Clark</v>
          </cell>
        </row>
        <row r="6807">
          <cell r="C6807" t="str">
            <v>MS_WM_S and A 2022</v>
          </cell>
          <cell r="H6807">
            <v>5041382</v>
          </cell>
          <cell r="AK6807" t="str">
            <v>Leah Watson</v>
          </cell>
        </row>
        <row r="6808">
          <cell r="C6808" t="str">
            <v>MS_WM_Ops_FAST 2022</v>
          </cell>
          <cell r="H6808">
            <v>5041319</v>
          </cell>
          <cell r="AK6808" t="str">
            <v>Robin Williams</v>
          </cell>
        </row>
        <row r="6809">
          <cell r="C6809" t="str">
            <v>MSWM Investment Platforms Advice BA Support_2022 Extend</v>
          </cell>
          <cell r="H6809">
            <v>5042898</v>
          </cell>
          <cell r="AK6809" t="str">
            <v>Leah Watson</v>
          </cell>
        </row>
        <row r="6810">
          <cell r="C6810" t="str">
            <v>SVB_138-GS-TM-TE Change Management Ext</v>
          </cell>
          <cell r="H6810">
            <v>5042067</v>
          </cell>
          <cell r="AK6810" t="str">
            <v>Karl Augenstein</v>
          </cell>
        </row>
        <row r="6811">
          <cell r="C6811" t="str">
            <v>GS AMD 2022 Q1</v>
          </cell>
          <cell r="H6811">
            <v>5042772</v>
          </cell>
          <cell r="AK6811" t="str">
            <v>Parul Chowdhry</v>
          </cell>
        </row>
        <row r="6812">
          <cell r="C6812" t="str">
            <v>MS_ISG_GPG_Q4 Ext</v>
          </cell>
          <cell r="H6812">
            <v>5040923</v>
          </cell>
          <cell r="AK6812" t="str">
            <v>Mitali Drews</v>
          </cell>
        </row>
        <row r="6813">
          <cell r="C6813" t="str">
            <v>SVB_125-IT-ST-Portfolio Mgmt &amp;amp; Delivery Extension</v>
          </cell>
          <cell r="H6813">
            <v>5042067</v>
          </cell>
          <cell r="AK6813" t="str">
            <v>Karl Augenstein</v>
          </cell>
        </row>
        <row r="6814">
          <cell r="C6814" t="str">
            <v>Jeff Cloud PM 2022</v>
          </cell>
          <cell r="H6814">
            <v>5039823</v>
          </cell>
          <cell r="AK6814" t="str">
            <v>John McCaffrey</v>
          </cell>
        </row>
        <row r="6815">
          <cell r="C6815" t="str">
            <v>MS_ISG_FID Strats Q4 Ext</v>
          </cell>
          <cell r="H6815">
            <v>5041052</v>
          </cell>
          <cell r="AK6815" t="str">
            <v>Mitali Drews</v>
          </cell>
        </row>
        <row r="6816">
          <cell r="C6816" t="str">
            <v>MS_ISG_India_Bangalore NY Q4 Ext</v>
          </cell>
          <cell r="H6816">
            <v>5041368</v>
          </cell>
          <cell r="AK6816" t="str">
            <v>Mitali Drews</v>
          </cell>
        </row>
        <row r="6817">
          <cell r="C6817" t="str">
            <v>FIS IMO Q1 2022 Extension</v>
          </cell>
          <cell r="H6817">
            <v>5043377</v>
          </cell>
          <cell r="AK6817" t="str">
            <v>Erik Johnson</v>
          </cell>
        </row>
        <row r="6818">
          <cell r="C6818" t="str">
            <v>SVB_143-GS-TR-Enterprise Agile Core Ext</v>
          </cell>
          <cell r="H6818">
            <v>5042067</v>
          </cell>
          <cell r="AK6818" t="str">
            <v>Karl Augenstein</v>
          </cell>
        </row>
        <row r="6819">
          <cell r="C6819" t="str">
            <v>SVB_150-GS-TR-Data Catalog &amp;amp; Classifcation</v>
          </cell>
          <cell r="H6819">
            <v>5042067</v>
          </cell>
          <cell r="AK6819" t="str">
            <v>Karl Augenstein</v>
          </cell>
        </row>
        <row r="6820">
          <cell r="C6820" t="str">
            <v>MS_WM_Ops_Tax and Client Reporting 2022</v>
          </cell>
          <cell r="H6820">
            <v>5041440</v>
          </cell>
          <cell r="AK6820" t="str">
            <v>Robin Williams</v>
          </cell>
        </row>
        <row r="6821">
          <cell r="C6821" t="str">
            <v>SVB_141-RP-UK-Sub Addition</v>
          </cell>
          <cell r="H6821">
            <v>5042067</v>
          </cell>
          <cell r="AK6821" t="str">
            <v>Karl Augenstein</v>
          </cell>
        </row>
        <row r="6822">
          <cell r="C6822" t="str">
            <v>GS Wealth 2022 Q1</v>
          </cell>
          <cell r="H6822">
            <v>5042760</v>
          </cell>
          <cell r="AK6822" t="str">
            <v>Parul Chowdhry</v>
          </cell>
        </row>
        <row r="6823">
          <cell r="C6823" t="str">
            <v>MS_WM_S and A_Advisory Trading 2022</v>
          </cell>
          <cell r="H6823">
            <v>5040949</v>
          </cell>
          <cell r="AK6823" t="str">
            <v>Rayna Gittelman</v>
          </cell>
        </row>
        <row r="6824">
          <cell r="C6824" t="str">
            <v>MS_WM_PBCentral and SpendingBudg 2022</v>
          </cell>
          <cell r="H6824">
            <v>5042621</v>
          </cell>
          <cell r="AK6824" t="str">
            <v>Nic Parmaksizian</v>
          </cell>
        </row>
        <row r="6825">
          <cell r="C6825" t="str">
            <v>Bank of Delmarva_CMS Support22</v>
          </cell>
          <cell r="H6825">
            <v>5044593</v>
          </cell>
          <cell r="AK6825" t="str">
            <v>Steve Manitzas</v>
          </cell>
        </row>
        <row r="6826">
          <cell r="C6826" t="str">
            <v>Artisans CMS Support</v>
          </cell>
          <cell r="H6826">
            <v>5044034</v>
          </cell>
          <cell r="AK6826" t="str">
            <v>Amanda Pickering</v>
          </cell>
        </row>
        <row r="6827">
          <cell r="C6827" t="str">
            <v>Cathay Bank ILT</v>
          </cell>
          <cell r="H6827">
            <v>5044506</v>
          </cell>
          <cell r="AK6827" t="str">
            <v>Rebecca Breland</v>
          </cell>
        </row>
        <row r="6828">
          <cell r="C6828" t="str">
            <v>BOL Modernization Extension - 2022</v>
          </cell>
          <cell r="H6828">
            <v>5044255</v>
          </cell>
          <cell r="AK6828" t="str">
            <v>Andrew Radka</v>
          </cell>
        </row>
        <row r="6829">
          <cell r="C6829" t="str">
            <v>CTCB CMS Optimizer</v>
          </cell>
          <cell r="H6829">
            <v>5043671</v>
          </cell>
          <cell r="AK6829" t="str">
            <v>Mary Louise Radley</v>
          </cell>
        </row>
        <row r="6830">
          <cell r="C6830" t="str">
            <v>ICBC USA - 2022 CMS</v>
          </cell>
          <cell r="H6830">
            <v>5043812</v>
          </cell>
          <cell r="AK6830" t="str">
            <v>David Belfer</v>
          </cell>
        </row>
        <row r="6831">
          <cell r="C6831" t="str">
            <v>Leader Bank - CMSO 2022</v>
          </cell>
          <cell r="H6831">
            <v>5044726</v>
          </cell>
          <cell r="AK6831" t="str">
            <v>Charles Mcwilliam</v>
          </cell>
        </row>
        <row r="6832">
          <cell r="C6832" t="str">
            <v>NEaston - CMSO</v>
          </cell>
          <cell r="H6832">
            <v>5044035</v>
          </cell>
          <cell r="AK6832" t="str">
            <v>Lawana Clark</v>
          </cell>
        </row>
        <row r="6833">
          <cell r="C6833" t="str">
            <v>FIS-Systematics Consulting 2022</v>
          </cell>
          <cell r="H6833">
            <v>5045040</v>
          </cell>
          <cell r="AK6833" t="str">
            <v>Anna Proleika</v>
          </cell>
        </row>
        <row r="6834">
          <cell r="C6834" t="str">
            <v>Argent FCU - CMSO</v>
          </cell>
          <cell r="H6834">
            <v>5044614</v>
          </cell>
          <cell r="AK6834" t="str">
            <v>Steve Manitzas</v>
          </cell>
        </row>
        <row r="6835">
          <cell r="C6835" t="str">
            <v>Calhoun Bank - CMSO</v>
          </cell>
          <cell r="H6835">
            <v>5042811</v>
          </cell>
          <cell r="AK6835" t="str">
            <v>Steve Manitzas</v>
          </cell>
        </row>
        <row r="6836">
          <cell r="C6836" t="str">
            <v>Cecil Bank_CMS Optimizer 2022</v>
          </cell>
          <cell r="H6836">
            <v>5044374</v>
          </cell>
          <cell r="AK6836" t="str">
            <v>David Stalnaker</v>
          </cell>
        </row>
        <row r="6837">
          <cell r="C6837" t="str">
            <v>CNB CMS Optimizer 2022</v>
          </cell>
          <cell r="H6837">
            <v>5044057</v>
          </cell>
          <cell r="AK6837" t="str">
            <v>Kristina Slattery</v>
          </cell>
        </row>
        <row r="6838">
          <cell r="C6838" t="str">
            <v>Farmers&amp;MerchantsBnk_CMS Opt22</v>
          </cell>
          <cell r="H6838">
            <v>5044594</v>
          </cell>
          <cell r="AK6838" t="str">
            <v>W. Annette Dredden</v>
          </cell>
        </row>
        <row r="6839">
          <cell r="C6839" t="str">
            <v>HAR-CO - CMS Support</v>
          </cell>
          <cell r="H6839">
            <v>5043895</v>
          </cell>
          <cell r="AK6839" t="str">
            <v>W. Annette Dredden</v>
          </cell>
        </row>
        <row r="6840">
          <cell r="C6840" t="str">
            <v>MainStreetBank_CMS Support22</v>
          </cell>
          <cell r="H6840">
            <v>5044661</v>
          </cell>
          <cell r="AK6840" t="str">
            <v>David Stalnaker</v>
          </cell>
        </row>
        <row r="6841">
          <cell r="C6841" t="str">
            <v>PS Bank_CMS Optimizer 2022</v>
          </cell>
          <cell r="H6841">
            <v>5044375</v>
          </cell>
          <cell r="AK6841" t="str">
            <v>Gail Rassler</v>
          </cell>
        </row>
        <row r="6842">
          <cell r="C6842" t="str">
            <v>Post Closing TRID Review 2022</v>
          </cell>
          <cell r="H6842">
            <v>5044421</v>
          </cell>
          <cell r="AK6842" t="str">
            <v>Thuy Whitaker</v>
          </cell>
        </row>
        <row r="6843">
          <cell r="C6843" t="str">
            <v>PenFed Disclosure Desk 2022</v>
          </cell>
          <cell r="H6843">
            <v>5044422</v>
          </cell>
          <cell r="AK6843" t="str">
            <v>Ricardo Julio</v>
          </cell>
        </row>
        <row r="6844">
          <cell r="C6844" t="str">
            <v>FrMc_ILM Q1</v>
          </cell>
          <cell r="H6844">
            <v>5044206</v>
          </cell>
          <cell r="AK6844" t="str">
            <v>Thadi Murali</v>
          </cell>
        </row>
        <row r="6845">
          <cell r="C6845" t="str">
            <v>FrMc_ICM Q1 22</v>
          </cell>
          <cell r="H6845">
            <v>5044287</v>
          </cell>
          <cell r="AK6845" t="str">
            <v>Jeliaz Chtilianov</v>
          </cell>
        </row>
        <row r="6846">
          <cell r="C6846" t="str">
            <v>Goldman Sachs_TRID 2022</v>
          </cell>
          <cell r="H6846">
            <v>5043656</v>
          </cell>
          <cell r="AK6846" t="str">
            <v>Christian Maier</v>
          </cell>
        </row>
        <row r="6847">
          <cell r="C6847" t="str">
            <v>Goldman Sachs_MQC Orlando</v>
          </cell>
          <cell r="H6847">
            <v>5043657</v>
          </cell>
          <cell r="AK6847" t="str">
            <v>Christian Maier</v>
          </cell>
        </row>
        <row r="6848">
          <cell r="C6848" t="str">
            <v>TCBCC CMSO</v>
          </cell>
          <cell r="H6848">
            <v>5044033</v>
          </cell>
          <cell r="AK6848" t="str">
            <v>David Belfer</v>
          </cell>
        </row>
        <row r="6849">
          <cell r="C6849" t="str">
            <v>MS_CORS_PM Q4</v>
          </cell>
          <cell r="H6849">
            <v>5044326</v>
          </cell>
          <cell r="AK6849" t="str">
            <v>Mitali Drews</v>
          </cell>
        </row>
        <row r="6850">
          <cell r="C6850" t="str">
            <v>Huntington Bank InvestCloud Implementation - Q1-Q3 2022</v>
          </cell>
          <cell r="H6850">
            <v>5044231</v>
          </cell>
          <cell r="AK6850" t="str">
            <v>Nikhil Sharma</v>
          </cell>
        </row>
        <row r="6851">
          <cell r="C6851" t="str">
            <v>DimeBank_CMS Optimizer 2022</v>
          </cell>
          <cell r="H6851">
            <v>5044453</v>
          </cell>
          <cell r="AK6851" t="str">
            <v>Gail Rassler</v>
          </cell>
        </row>
        <row r="6852">
          <cell r="C6852" t="str">
            <v>Citi UK India lineage 2022</v>
          </cell>
          <cell r="H6852">
            <v>5044249</v>
          </cell>
          <cell r="AK6852" t="str">
            <v>Thomas Evans</v>
          </cell>
        </row>
        <row r="6853">
          <cell r="C6853" t="str">
            <v>Haddon Savings CMS Support</v>
          </cell>
          <cell r="H6853">
            <v>5044659</v>
          </cell>
          <cell r="AK6853" t="str">
            <v>Anna Proleika</v>
          </cell>
        </row>
        <row r="6854">
          <cell r="C6854" t="str">
            <v>GRC Support Services</v>
          </cell>
          <cell r="H6854">
            <v>5044937</v>
          </cell>
          <cell r="AK6854" t="str">
            <v>Tania Makuh</v>
          </cell>
        </row>
        <row r="6855">
          <cell r="C6855" t="str">
            <v>GRC Consulting - MetricStream Platform Enhancements</v>
          </cell>
          <cell r="H6855">
            <v>5045327</v>
          </cell>
          <cell r="AK6855" t="str">
            <v>Tania Makuh</v>
          </cell>
        </row>
        <row r="6856">
          <cell r="C6856" t="str">
            <v>Rockland Trust MQC 2022</v>
          </cell>
          <cell r="H6856">
            <v>5045282</v>
          </cell>
          <cell r="AK6856" t="str">
            <v>Christian Maier</v>
          </cell>
        </row>
        <row r="6857">
          <cell r="C6857" t="str">
            <v>SVB_139-GS-MR-IT Asset Management Ext</v>
          </cell>
          <cell r="H6857">
            <v>5042067</v>
          </cell>
          <cell r="AK6857" t="str">
            <v>Karl Augenstein</v>
          </cell>
        </row>
        <row r="6858">
          <cell r="C6858" t="str">
            <v>UX Design Team Extension H1 22</v>
          </cell>
          <cell r="H6858">
            <v>5043237</v>
          </cell>
          <cell r="AK6858" t="str">
            <v>Conor Hodnett</v>
          </cell>
        </row>
        <row r="6859">
          <cell r="C6859" t="str">
            <v>SVB_144-PR-TR-Program Support Ext</v>
          </cell>
          <cell r="H6859">
            <v>5042067</v>
          </cell>
          <cell r="AK6859" t="str">
            <v>Karl Augenstein</v>
          </cell>
        </row>
        <row r="6860">
          <cell r="C6860" t="str">
            <v>SVB_151-PR-BG-Gateway Planning/Mgmt Ext</v>
          </cell>
          <cell r="H6860">
            <v>5042067</v>
          </cell>
          <cell r="AK6860" t="str">
            <v>Karl Augenstein</v>
          </cell>
        </row>
        <row r="6861">
          <cell r="C6861" t="str">
            <v>GBS RISK (AMD 6)</v>
          </cell>
          <cell r="H6861">
            <v>5038432</v>
          </cell>
          <cell r="AK6861" t="str">
            <v>Michael Mathew</v>
          </cell>
        </row>
        <row r="6862">
          <cell r="C6862" t="str">
            <v>MS_WM Advisory Tech 2022 NY</v>
          </cell>
          <cell r="H6862">
            <v>5041310</v>
          </cell>
          <cell r="AK6862" t="str">
            <v>Balaji Ramamurthy</v>
          </cell>
        </row>
        <row r="6863">
          <cell r="C6863" t="str">
            <v>BOT Part 504 Compliance Review</v>
          </cell>
          <cell r="H6863">
            <v>5043554</v>
          </cell>
          <cell r="AK6863" t="str">
            <v>William Sachs</v>
          </cell>
        </row>
        <row r="6864">
          <cell r="C6864" t="str">
            <v>USAA - 3PD Program Leadership 2022 Q1</v>
          </cell>
          <cell r="H6864">
            <v>5043643</v>
          </cell>
          <cell r="AK6864" t="str">
            <v>Darrell Ponzio</v>
          </cell>
        </row>
        <row r="6865">
          <cell r="C6865" t="str">
            <v>WF_Move Money and Client Onboarding_2022</v>
          </cell>
          <cell r="H6865">
            <v>5041648</v>
          </cell>
          <cell r="AK6865" t="str">
            <v>Edward Kelley</v>
          </cell>
        </row>
        <row r="6866">
          <cell r="C6866" t="str">
            <v>SVB_132-PR-GW-TAG Product Manager Extension</v>
          </cell>
          <cell r="H6866">
            <v>5042067</v>
          </cell>
          <cell r="AK6866" t="str">
            <v>Karl Augenstein</v>
          </cell>
        </row>
        <row r="6867">
          <cell r="C6867" t="str">
            <v>Jefferies Libor COE extension</v>
          </cell>
          <cell r="H6867">
            <v>5044728</v>
          </cell>
          <cell r="AK6867" t="str">
            <v>Julia Simmons</v>
          </cell>
        </row>
        <row r="6868">
          <cell r="C6868" t="str">
            <v>MS_Wealth UAT FSS 2022</v>
          </cell>
          <cell r="H6868">
            <v>5041056</v>
          </cell>
          <cell r="AK6868" t="str">
            <v>Balaji Ramamurthy</v>
          </cell>
        </row>
        <row r="6869">
          <cell r="C6869" t="str">
            <v>HSL_NetSuite and CFO Support 2022</v>
          </cell>
          <cell r="H6869">
            <v>5043898</v>
          </cell>
          <cell r="AK6869" t="str">
            <v>Eric Fairchild</v>
          </cell>
        </row>
        <row r="6870">
          <cell r="C6870" t="str">
            <v>SSBO 2022 Ext</v>
          </cell>
          <cell r="H6870">
            <v>5041284</v>
          </cell>
          <cell r="AK6870" t="str">
            <v>Ruben Sooriya</v>
          </cell>
        </row>
        <row r="6871">
          <cell r="C6871" t="str">
            <v>Transcend QA 2022</v>
          </cell>
          <cell r="H6871">
            <v>5044066</v>
          </cell>
          <cell r="AK6871" t="str">
            <v>John McCaffrey</v>
          </cell>
        </row>
        <row r="6872">
          <cell r="C6872" t="str">
            <v>Assurance Sales Supervision Pt 1</v>
          </cell>
          <cell r="H6872">
            <v>5043981</v>
          </cell>
          <cell r="AK6872" t="str">
            <v>Eric Fairchild</v>
          </cell>
        </row>
        <row r="6873">
          <cell r="C6873" t="str">
            <v>MS_ETRADE_Counterparty Agreements_Q1Extensions</v>
          </cell>
          <cell r="H6873">
            <v>5041781</v>
          </cell>
          <cell r="AK6873" t="str">
            <v>Dan Schutzman</v>
          </cell>
        </row>
        <row r="6874">
          <cell r="C6874" t="str">
            <v>Investors Compliance Advisory Lead - Davis</v>
          </cell>
          <cell r="H6874">
            <v>5043931</v>
          </cell>
          <cell r="AK6874" t="str">
            <v>Eugene Collett</v>
          </cell>
        </row>
        <row r="6875">
          <cell r="C6875" t="str">
            <v>Patelco_ERM Implementation</v>
          </cell>
          <cell r="H6875">
            <v>5043942</v>
          </cell>
          <cell r="AK6875" t="str">
            <v>Justin Wellen</v>
          </cell>
        </row>
        <row r="6876">
          <cell r="C6876" t="str">
            <v>MS_WM UAT Financial Planning 2022</v>
          </cell>
          <cell r="H6876">
            <v>5041798</v>
          </cell>
          <cell r="AK6876" t="str">
            <v>Balaji Ramamurthy</v>
          </cell>
        </row>
        <row r="6877">
          <cell r="C6877" t="str">
            <v>Automation as a Service Extension Jan 2022 - REACT (Brandon Kwintner)</v>
          </cell>
          <cell r="H6877">
            <v>5044621</v>
          </cell>
          <cell r="AK6877" t="str">
            <v>Conor Hodnett</v>
          </cell>
        </row>
        <row r="6878">
          <cell r="C6878" t="str">
            <v>Investors Residential Loan Analysts Ext.</v>
          </cell>
          <cell r="H6878">
            <v>5043158</v>
          </cell>
          <cell r="AK6878" t="str">
            <v>Jennifer Lifgren</v>
          </cell>
        </row>
        <row r="6879">
          <cell r="C6879" t="str">
            <v>Popular Bank HMDA 2022 Reviews</v>
          </cell>
          <cell r="H6879">
            <v>5044423</v>
          </cell>
          <cell r="AK6879" t="str">
            <v>Juan Pimentel</v>
          </cell>
        </row>
        <row r="6880">
          <cell r="C6880" t="str">
            <v>HB_Clean Architecture Framework</v>
          </cell>
          <cell r="H6880">
            <v>5044089</v>
          </cell>
          <cell r="AK6880" t="str">
            <v>Luke Penca</v>
          </cell>
        </row>
        <row r="6881">
          <cell r="C6881" t="str">
            <v>Compliance Risk Assessments</v>
          </cell>
          <cell r="H6881">
            <v>5044504</v>
          </cell>
          <cell r="AK6881" t="str">
            <v>Jigisha Patel</v>
          </cell>
        </row>
        <row r="6882">
          <cell r="C6882" t="str">
            <v>APAC QA Lead</v>
          </cell>
          <cell r="H6882">
            <v>5044254</v>
          </cell>
          <cell r="AK6882" t="str">
            <v>John McCaffrey</v>
          </cell>
        </row>
        <row r="6883">
          <cell r="C6883" t="str">
            <v>Cyber security program</v>
          </cell>
          <cell r="H6883">
            <v>5044153</v>
          </cell>
          <cell r="AK6883" t="str">
            <v>Garry Harvey</v>
          </cell>
        </row>
        <row r="6884">
          <cell r="C6884" t="str">
            <v>EGM - Truist Dev Delivery 2022 Q1</v>
          </cell>
          <cell r="H6884">
            <v>5044345</v>
          </cell>
          <cell r="AK6884" t="str">
            <v>Brett Knickle</v>
          </cell>
        </row>
        <row r="6885">
          <cell r="C6885" t="str">
            <v>Risk Based Capital QA 2022</v>
          </cell>
          <cell r="H6885">
            <v>5044045</v>
          </cell>
          <cell r="AK6885" t="str">
            <v>John McCaffrey</v>
          </cell>
        </row>
        <row r="6886">
          <cell r="C6886" t="str">
            <v>ANBTX_CRA Officer Services 2022</v>
          </cell>
          <cell r="H6886">
            <v>5044056</v>
          </cell>
          <cell r="AK6886" t="str">
            <v>Pamela Acciardo</v>
          </cell>
        </row>
        <row r="6887">
          <cell r="C6887" t="str">
            <v>DB-CRB-AS-IT-Automation as a Service- AFC Team</v>
          </cell>
          <cell r="H6887">
            <v>5044621</v>
          </cell>
          <cell r="AK6887" t="str">
            <v>Conor Hodnett</v>
          </cell>
        </row>
        <row r="6888">
          <cell r="C6888" t="str">
            <v>MS_WM Asset Management 2022</v>
          </cell>
          <cell r="H6888">
            <v>5043254</v>
          </cell>
          <cell r="AK6888" t="str">
            <v>Balaji Ramamurthy</v>
          </cell>
        </row>
        <row r="6889">
          <cell r="C6889" t="str">
            <v>IBOR IT Transition</v>
          </cell>
          <cell r="H6889">
            <v>5044729</v>
          </cell>
          <cell r="AK6889" t="str">
            <v>Conor Dowling</v>
          </cell>
        </row>
        <row r="6890">
          <cell r="C6890" t="str">
            <v>Broadridge Rockall 2022</v>
          </cell>
          <cell r="H6890">
            <v>5043984</v>
          </cell>
          <cell r="AK6890" t="str">
            <v>Brett Fisher</v>
          </cell>
        </row>
        <row r="6891">
          <cell r="C6891" t="str">
            <v>MS_WM UAT Investment Platforms 2022</v>
          </cell>
          <cell r="H6891">
            <v>5041387</v>
          </cell>
          <cell r="AK6891" t="str">
            <v>Balaji Ramamurthy</v>
          </cell>
        </row>
        <row r="6892">
          <cell r="C6892" t="str">
            <v>Santander_CISO support_PagoNXT + GRC PM extension</v>
          </cell>
          <cell r="H6892">
            <v>5041140</v>
          </cell>
          <cell r="AK6892" t="str">
            <v>Boris Mallet</v>
          </cell>
        </row>
        <row r="6893">
          <cell r="C6893" t="str">
            <v>Cape Cod 5 Cents SB - HMDA Data Integrity Review</v>
          </cell>
          <cell r="H6893">
            <v>5044199</v>
          </cell>
          <cell r="AK6893" t="str">
            <v>Juan Pimentel</v>
          </cell>
        </row>
        <row r="6894">
          <cell r="C6894" t="str">
            <v>HSBC-GFP-DBS Remediation Team 2022 (2022 Extension)</v>
          </cell>
          <cell r="H6894">
            <v>5044484</v>
          </cell>
          <cell r="AK6894" t="str">
            <v>Rahul Govada</v>
          </cell>
        </row>
        <row r="6895">
          <cell r="C6895" t="str">
            <v>Jeff_Risk IT Environment Team 2022</v>
          </cell>
          <cell r="H6895">
            <v>5044129</v>
          </cell>
          <cell r="AK6895" t="str">
            <v>John McCaffrey</v>
          </cell>
        </row>
        <row r="6896">
          <cell r="C6896" t="str">
            <v>HSBC-FIN-RAF PM - Q4 Extension</v>
          </cell>
          <cell r="H6896">
            <v>5039835</v>
          </cell>
          <cell r="AK6896" t="str">
            <v>Peter Brown</v>
          </cell>
        </row>
        <row r="6897">
          <cell r="C6897" t="str">
            <v>UK ION Support H1 2022</v>
          </cell>
          <cell r="H6897">
            <v>5044550</v>
          </cell>
          <cell r="AK6897" t="str">
            <v>John McCaffrey</v>
          </cell>
        </row>
        <row r="6898">
          <cell r="C6898" t="str">
            <v>Gilded_Global FinTech 3.0 Planning and Execution</v>
          </cell>
          <cell r="H6898">
            <v>5044156</v>
          </cell>
          <cell r="AK6898" t="str">
            <v>Grzegorz Walukanis</v>
          </cell>
        </row>
        <row r="6899">
          <cell r="C6899" t="str">
            <v>HSBC-MSS-15a-6 Q4 Extension - ATH</v>
          </cell>
          <cell r="H6899">
            <v>5042947</v>
          </cell>
          <cell r="AK6899" t="str">
            <v>Peter Brown</v>
          </cell>
        </row>
        <row r="6900">
          <cell r="C6900" t="str">
            <v>Transcend Application Support Offshore</v>
          </cell>
          <cell r="H6900">
            <v>5043921</v>
          </cell>
          <cell r="AK6900" t="str">
            <v>John McCaffrey</v>
          </cell>
        </row>
        <row r="6901">
          <cell r="C6901" t="str">
            <v>MS_WM UAT Wealthdesk 2022</v>
          </cell>
          <cell r="H6901">
            <v>5043514</v>
          </cell>
          <cell r="AK6901" t="str">
            <v>Balaji Ramamurthy</v>
          </cell>
        </row>
        <row r="6902">
          <cell r="C6902" t="str">
            <v>Revantage Report build p2</v>
          </cell>
          <cell r="H6902">
            <v>5043039</v>
          </cell>
          <cell r="AK6902" t="str">
            <v>Michael Tang</v>
          </cell>
        </row>
        <row r="6903">
          <cell r="C6903" t="str">
            <v>MS_REM_TPPM_Risk Transformation_Q1Extensions</v>
          </cell>
          <cell r="H6903">
            <v>5041371</v>
          </cell>
          <cell r="AK6903" t="str">
            <v>Dan Schutzman</v>
          </cell>
        </row>
        <row r="6904">
          <cell r="C6904" t="str">
            <v>FrMc_ICM Product Analyst (SOW 6338-01)</v>
          </cell>
          <cell r="H6904">
            <v>5043195</v>
          </cell>
          <cell r="AK6904" t="str">
            <v>Michael Mathew</v>
          </cell>
        </row>
        <row r="6905">
          <cell r="C6905" t="str">
            <v>Mitsui RMSC OFAC Extn</v>
          </cell>
          <cell r="H6905">
            <v>5042259</v>
          </cell>
          <cell r="AK6905" t="str">
            <v>Helen Person</v>
          </cell>
        </row>
        <row r="6906">
          <cell r="C6906" t="str">
            <v>MS_WM UAT OBM 2022</v>
          </cell>
          <cell r="H6906">
            <v>5043466</v>
          </cell>
          <cell r="AK6906" t="str">
            <v>Balaji Ramamurthy</v>
          </cell>
        </row>
        <row r="6907">
          <cell r="C6907" t="str">
            <v>FrMc_AWS 2022</v>
          </cell>
          <cell r="H6907">
            <v>5039092</v>
          </cell>
          <cell r="AK6907" t="str">
            <v>Chad Bonadonna</v>
          </cell>
        </row>
        <row r="6908">
          <cell r="C6908" t="str">
            <v>MS_ETRADE_Investment Solutions_Core PMs_Q1Extensions</v>
          </cell>
          <cell r="H6908">
            <v>5041717</v>
          </cell>
          <cell r="AK6908" t="str">
            <v>Dan Schutzman</v>
          </cell>
        </row>
        <row r="6909">
          <cell r="C6909" t="str">
            <v>MS_CFTC Back Reporting Ext</v>
          </cell>
          <cell r="H6909">
            <v>5041356</v>
          </cell>
          <cell r="AK6909" t="str">
            <v>Ruben Sooriya</v>
          </cell>
        </row>
        <row r="6910">
          <cell r="C6910" t="str">
            <v>MS_ETRADE_Merger Integration Office_Q1Extensions</v>
          </cell>
          <cell r="H6910">
            <v>5041717</v>
          </cell>
          <cell r="AK6910" t="str">
            <v>Dan Schutzman</v>
          </cell>
        </row>
        <row r="6911">
          <cell r="C6911" t="str">
            <v>SVB_102-RP-UK-Sub Extension 2022</v>
          </cell>
          <cell r="H6911">
            <v>5041951</v>
          </cell>
          <cell r="AK6911" t="str">
            <v>Karl Augenstein</v>
          </cell>
        </row>
        <row r="6912">
          <cell r="C6912" t="str">
            <v>TTRO NY Team Extension  2022</v>
          </cell>
          <cell r="H6912">
            <v>5041109</v>
          </cell>
          <cell r="AK6912" t="str">
            <v>Salim Modi</v>
          </cell>
        </row>
        <row r="6913">
          <cell r="C6913" t="str">
            <v>MS_REM_TPPM_Bangalore Risk Team_Q1Extensions</v>
          </cell>
          <cell r="H6913">
            <v>5041436</v>
          </cell>
          <cell r="AK6913" t="str">
            <v>Dan Schutzman</v>
          </cell>
        </row>
        <row r="6914">
          <cell r="C6914" t="str">
            <v>Jefferies Murex MXML Extension</v>
          </cell>
          <cell r="H6914">
            <v>5042787</v>
          </cell>
          <cell r="AK6914" t="str">
            <v>Manal Ray</v>
          </cell>
        </row>
        <row r="6915">
          <cell r="C6915" t="str">
            <v>GL_ESD Extension Bridge</v>
          </cell>
          <cell r="H6915">
            <v>5042600</v>
          </cell>
          <cell r="AK6915" t="str">
            <v>Beth Yiznitsky</v>
          </cell>
        </row>
        <row r="6916">
          <cell r="C6916" t="str">
            <v>MS_WM UAT Advice Trading 2022</v>
          </cell>
          <cell r="H6916">
            <v>5042481</v>
          </cell>
          <cell r="AK6916" t="str">
            <v>Balaji Ramamurthy</v>
          </cell>
        </row>
        <row r="6917">
          <cell r="C6917" t="str">
            <v>MS_Wealth Advisory Tech 2022 India</v>
          </cell>
          <cell r="H6917">
            <v>5041380</v>
          </cell>
          <cell r="AK6917" t="str">
            <v>Balaji Ramamurthy</v>
          </cell>
        </row>
        <row r="6918">
          <cell r="C6918" t="str">
            <v>MS_WM UAT E*Trade 2022</v>
          </cell>
          <cell r="H6918">
            <v>5042810</v>
          </cell>
          <cell r="AK6918" t="str">
            <v>Balaji Ramamurthy</v>
          </cell>
        </row>
        <row r="6919">
          <cell r="C6919" t="str">
            <v>SVB_136-PR-BG-Product Sales Strategy Ext#1</v>
          </cell>
          <cell r="H6919">
            <v>5042067</v>
          </cell>
          <cell r="AK6919" t="str">
            <v>Karl Augenstein</v>
          </cell>
        </row>
        <row r="6920">
          <cell r="C6920" t="str">
            <v>Consent and Preference Management Assessment</v>
          </cell>
          <cell r="H6920">
            <v>5043983</v>
          </cell>
          <cell r="AK6920" t="str">
            <v>Andy Soodek</v>
          </cell>
        </row>
        <row r="6921">
          <cell r="C6921" t="str">
            <v>Broadridge Solution Acceleration</v>
          </cell>
          <cell r="H6921">
            <v>5044227</v>
          </cell>
          <cell r="AK6921" t="str">
            <v>Ajay Kumar Upadhyay</v>
          </cell>
        </row>
        <row r="6922">
          <cell r="C6922" t="str">
            <v>HSBC-WS-CMB-QC-Payment Loan Processing</v>
          </cell>
          <cell r="H6922">
            <v>5044201</v>
          </cell>
          <cell r="AK6922" t="str">
            <v>Steven D'Angelo</v>
          </cell>
        </row>
        <row r="6923">
          <cell r="C6923" t="str">
            <v>KofC_Data Modernization Ext Jan 10-17 2022</v>
          </cell>
          <cell r="H6923">
            <v>5042510</v>
          </cell>
          <cell r="AK6923" t="str">
            <v>Darrell Ponzio</v>
          </cell>
        </row>
        <row r="6924">
          <cell r="C6924" t="str">
            <v>Animo_SOW 3_Tech and Data Ext</v>
          </cell>
          <cell r="H6924">
            <v>5043500</v>
          </cell>
          <cell r="AK6924" t="str">
            <v>Samuel Awsumb</v>
          </cell>
        </row>
        <row r="6925">
          <cell r="C6925" t="str">
            <v>HSBC-WPB- Private Equity Product/Project Manager</v>
          </cell>
          <cell r="H6925">
            <v>5044536</v>
          </cell>
          <cell r="AK6925" t="str">
            <v>Steven D'Angelo</v>
          </cell>
        </row>
        <row r="6926">
          <cell r="C6926" t="str">
            <v>CNB DR Program</v>
          </cell>
          <cell r="H6926">
            <v>5044224</v>
          </cell>
          <cell r="AK6926" t="str">
            <v>Linda Graham</v>
          </cell>
        </row>
        <row r="6927">
          <cell r="C6927" t="str">
            <v>Financial Crimes Consulting</v>
          </cell>
          <cell r="H6927">
            <v>5044322</v>
          </cell>
          <cell r="AK6927" t="str">
            <v>Jigisha Patel</v>
          </cell>
        </row>
        <row r="6928">
          <cell r="C6928" t="str">
            <v>Thrivent - Operating Model and Program Planning</v>
          </cell>
          <cell r="H6928">
            <v>5044428</v>
          </cell>
          <cell r="AK6928" t="str">
            <v>Justin Hayden</v>
          </cell>
        </row>
        <row r="6929">
          <cell r="C6929" t="str">
            <v>HSBC-WS-Robotics PM-ATH</v>
          </cell>
          <cell r="H6929">
            <v>5044355</v>
          </cell>
          <cell r="AK6929" t="str">
            <v>Steven D'Angelo</v>
          </cell>
        </row>
        <row r="6930">
          <cell r="C6930" t="str">
            <v>East West Bank - International Digital Wealth Strategy</v>
          </cell>
          <cell r="H6930">
            <v>5044332</v>
          </cell>
          <cell r="AK6930" t="str">
            <v>Paul Fulmer</v>
          </cell>
        </row>
        <row r="6931">
          <cell r="C6931" t="str">
            <v>UB_116 TO1_Symphony SP-008</v>
          </cell>
          <cell r="H6931">
            <v>5044330</v>
          </cell>
          <cell r="AK6931" t="str">
            <v>Samuel Awsumb</v>
          </cell>
        </row>
        <row r="6932">
          <cell r="C6932" t="str">
            <v>VRS UMR Advisory</v>
          </cell>
          <cell r="H6932">
            <v>5044534</v>
          </cell>
          <cell r="AK6932" t="str">
            <v>Joann Economou</v>
          </cell>
        </row>
        <row r="6933">
          <cell r="C6933" t="str">
            <v>Trading Harmonization 2022</v>
          </cell>
          <cell r="H6933">
            <v>5044455</v>
          </cell>
          <cell r="AK6933" t="str">
            <v>Rayna Gittelman</v>
          </cell>
        </row>
        <row r="6934">
          <cell r="C6934" t="str">
            <v>ITC Annual Fiduciary and AML Audits</v>
          </cell>
          <cell r="H6934">
            <v>5043911</v>
          </cell>
          <cell r="AK6934" t="str">
            <v>Mary Louise Radley</v>
          </cell>
        </row>
        <row r="6935">
          <cell r="C6935" t="str">
            <v>Broadridge  RBC - Alternatives PM</v>
          </cell>
          <cell r="H6935">
            <v>5044088</v>
          </cell>
          <cell r="AK6935" t="str">
            <v>Jennifer Hsiung</v>
          </cell>
        </row>
        <row r="6936">
          <cell r="C6936" t="str">
            <v>Outsourced Compliance Officer</v>
          </cell>
          <cell r="H6936">
            <v>5044508</v>
          </cell>
          <cell r="AK6936" t="str">
            <v>Eric Fairchild</v>
          </cell>
        </row>
        <row r="6937">
          <cell r="C6937" t="str">
            <v>BNYM Liquidity Orchestration</v>
          </cell>
          <cell r="H6937">
            <v>5044429</v>
          </cell>
          <cell r="AK6937" t="str">
            <v>Grzegorz Walukanis</v>
          </cell>
        </row>
        <row r="6938">
          <cell r="C6938" t="str">
            <v>FM-Underwriting Transformation Ext</v>
          </cell>
          <cell r="H6938">
            <v>5041493</v>
          </cell>
          <cell r="AK6938" t="str">
            <v>Nitin Raju</v>
          </cell>
        </row>
        <row r="6939">
          <cell r="C6939" t="str">
            <v>KYC Middle Office BAU PKR Team Extension</v>
          </cell>
          <cell r="H6939">
            <v>5040768</v>
          </cell>
          <cell r="AK6939" t="str">
            <v>Kristi Hegert</v>
          </cell>
        </row>
        <row r="6940">
          <cell r="C6940" t="str">
            <v>Interactive Brokers Trade Surveillance</v>
          </cell>
          <cell r="H6940">
            <v>5044511</v>
          </cell>
          <cell r="AK6940" t="str">
            <v>Matthew Rodgers</v>
          </cell>
        </row>
        <row r="6941">
          <cell r="C6941" t="str">
            <v>KeyBank IBD Deal Mgmt Process Redesign</v>
          </cell>
          <cell r="H6941">
            <v>5044427</v>
          </cell>
          <cell r="AK6941" t="str">
            <v>Marisa DeVincentis</v>
          </cell>
        </row>
        <row r="6942">
          <cell r="C6942" t="str">
            <v>MSWM_WM Billing Automation_Tactical</v>
          </cell>
          <cell r="H6942">
            <v>5048434</v>
          </cell>
          <cell r="AK6942" t="str">
            <v>Dan Schutzman</v>
          </cell>
        </row>
        <row r="6943">
          <cell r="C6943" t="str">
            <v>Revantage DATA PMO</v>
          </cell>
          <cell r="H6943">
            <v>5044481</v>
          </cell>
          <cell r="AK6943" t="str">
            <v>Nick Hufford</v>
          </cell>
        </row>
        <row r="6944">
          <cell r="C6944" t="str">
            <v>KofC_Data Modernization Continuation</v>
          </cell>
          <cell r="H6944">
            <v>5044424</v>
          </cell>
          <cell r="AK6944" t="str">
            <v>Robert Nocera</v>
          </cell>
        </row>
        <row r="6945">
          <cell r="C6945" t="str">
            <v>UB_116 TO2_Symphony SP-020</v>
          </cell>
          <cell r="H6945">
            <v>5044478</v>
          </cell>
          <cell r="AK6945" t="str">
            <v>Samuel Awsumb</v>
          </cell>
        </row>
        <row r="6946">
          <cell r="C6946" t="str">
            <v>Rover 2022 extension</v>
          </cell>
          <cell r="H6946">
            <v>5044607</v>
          </cell>
          <cell r="AK6946" t="str">
            <v>Christine Garrard</v>
          </cell>
        </row>
        <row r="6947">
          <cell r="C6947" t="str">
            <v>Broadridge - 3rd Party Integration Team</v>
          </cell>
          <cell r="H6947">
            <v>5044383</v>
          </cell>
          <cell r="AK6947" t="str">
            <v>Jennifer Hsiung</v>
          </cell>
        </row>
        <row r="6948">
          <cell r="C6948" t="str">
            <v>UMR Phase 6 Implementation Assistance</v>
          </cell>
          <cell r="H6948">
            <v>5044483</v>
          </cell>
          <cell r="AK6948" t="str">
            <v>Sri Nonabur Srinivasamurthy</v>
          </cell>
        </row>
        <row r="6949">
          <cell r="C6949" t="str">
            <v>MSWM_Investment Platforms_AI Support</v>
          </cell>
          <cell r="H6949">
            <v>5044459</v>
          </cell>
          <cell r="AK6949" t="str">
            <v>Rayna Gittelman</v>
          </cell>
        </row>
        <row r="6950">
          <cell r="C6950" t="str">
            <v>DB Wealth Core Platform Program Lead</v>
          </cell>
          <cell r="H6950">
            <v>5042955</v>
          </cell>
          <cell r="AK6950" t="str">
            <v>Phil Kerkel</v>
          </cell>
        </row>
        <row r="6951">
          <cell r="C6951" t="str">
            <v>CRA Compliance Training</v>
          </cell>
          <cell r="H6951">
            <v>5044520</v>
          </cell>
          <cell r="AK6951" t="str">
            <v>Diane Banks</v>
          </cell>
        </row>
        <row r="6952">
          <cell r="C6952" t="str">
            <v>BSA-CMS Audits</v>
          </cell>
          <cell r="H6952">
            <v>5044701</v>
          </cell>
          <cell r="AK6952" t="str">
            <v>Mary Louise Radley</v>
          </cell>
        </row>
        <row r="6953">
          <cell r="C6953" t="str">
            <v>FNMA - Unqork EUC Development 2022 Ext</v>
          </cell>
          <cell r="H6953">
            <v>5041635</v>
          </cell>
          <cell r="AK6953" t="str">
            <v>Brett Knickle</v>
          </cell>
        </row>
        <row r="6954">
          <cell r="C6954" t="str">
            <v>Commerce Connects Mobile App</v>
          </cell>
          <cell r="H6954">
            <v>5044522</v>
          </cell>
          <cell r="AK6954" t="str">
            <v>John McHugh</v>
          </cell>
        </row>
        <row r="6955">
          <cell r="C6955" t="str">
            <v>EB&amp;T_BSA/AML Alert Clearing</v>
          </cell>
          <cell r="H6955">
            <v>5044452</v>
          </cell>
          <cell r="AK6955" t="str">
            <v>Anthony Abruzzo</v>
          </cell>
        </row>
        <row r="6956">
          <cell r="C6956" t="str">
            <v>JRequest Redesign and Refresh</v>
          </cell>
          <cell r="H6956">
            <v>5044451</v>
          </cell>
          <cell r="AK6956" t="str">
            <v>Justin Gonlag</v>
          </cell>
        </row>
        <row r="6957">
          <cell r="C6957" t="str">
            <v>Assurance Sales Supervision Pt 2</v>
          </cell>
          <cell r="H6957">
            <v>5043981</v>
          </cell>
          <cell r="AK6957" t="str">
            <v>Eric Fairchild</v>
          </cell>
        </row>
        <row r="6958">
          <cell r="C6958" t="str">
            <v>Reg Ops SME Q1 2022</v>
          </cell>
          <cell r="H6958">
            <v>5042472</v>
          </cell>
          <cell r="AK6958" t="str">
            <v>Dhrupal Shah</v>
          </cell>
        </row>
        <row r="6959">
          <cell r="C6959" t="str">
            <v>FNMA - EUC Cloud Migration- BSA Support 2022 Ext</v>
          </cell>
          <cell r="H6959">
            <v>5043858</v>
          </cell>
          <cell r="AK6959" t="str">
            <v>Brett Knickle</v>
          </cell>
        </row>
        <row r="6960">
          <cell r="C6960" t="str">
            <v>UB_116 TO3_Symphony SP-040</v>
          </cell>
          <cell r="H6960">
            <v>5044537</v>
          </cell>
          <cell r="AK6960" t="str">
            <v>Samuel Awsumb</v>
          </cell>
        </row>
        <row r="6961">
          <cell r="C6961" t="str">
            <v>Legal and Compliance BA Extension</v>
          </cell>
          <cell r="H6961">
            <v>5044598</v>
          </cell>
          <cell r="AK6961" t="str">
            <v>Matthew Rodgers</v>
          </cell>
        </row>
        <row r="6962">
          <cell r="C6962" t="str">
            <v>SVB_163-GS-ST-Process Mining</v>
          </cell>
          <cell r="H6962">
            <v>5041951</v>
          </cell>
          <cell r="AK6962" t="str">
            <v>Karl Augenstein</v>
          </cell>
        </row>
        <row r="6963">
          <cell r="C6963" t="str">
            <v>SVB_154-RP-UK-Implementation Ext</v>
          </cell>
          <cell r="H6963">
            <v>5042067</v>
          </cell>
          <cell r="AK6963" t="str">
            <v>Karl Augenstein</v>
          </cell>
        </row>
        <row r="6964">
          <cell r="C6964" t="str">
            <v>MECU 2021 HMDA Scrub</v>
          </cell>
          <cell r="H6964">
            <v>5044628</v>
          </cell>
          <cell r="AK6964" t="str">
            <v>W. Annette Dredden</v>
          </cell>
        </row>
        <row r="6965">
          <cell r="C6965" t="str">
            <v>WTB Issue Management</v>
          </cell>
          <cell r="H6965">
            <v>5044629</v>
          </cell>
          <cell r="AK6965" t="str">
            <v>Tania Makuh</v>
          </cell>
        </row>
        <row r="6966">
          <cell r="C6966" t="str">
            <v>HSBC-WPB-Fee Schedule Review</v>
          </cell>
          <cell r="H6966">
            <v>5044586</v>
          </cell>
          <cell r="AK6966" t="str">
            <v>Steven D'Angelo</v>
          </cell>
        </row>
        <row r="6967">
          <cell r="C6967" t="str">
            <v>Revantage- MT ext</v>
          </cell>
          <cell r="H6967">
            <v>5044549</v>
          </cell>
          <cell r="AK6967" t="str">
            <v>Michael Tang</v>
          </cell>
        </row>
        <row r="6968">
          <cell r="C6968" t="str">
            <v>Capital Bank - MSC Consulting 2022</v>
          </cell>
          <cell r="H6968">
            <v>5045560</v>
          </cell>
          <cell r="AK6968" t="str">
            <v>Juan Pimentel</v>
          </cell>
        </row>
        <row r="6969">
          <cell r="C6969" t="str">
            <v>FrMc_Duty2ServeConsulting</v>
          </cell>
          <cell r="H6969">
            <v>5044636</v>
          </cell>
          <cell r="AK6969" t="str">
            <v>Gregory Barry</v>
          </cell>
        </row>
        <row r="6970">
          <cell r="C6970" t="str">
            <v>53 alt lending execution</v>
          </cell>
          <cell r="H6970">
            <v>5044587</v>
          </cell>
          <cell r="AK6970" t="str">
            <v>Natalie O'Dell</v>
          </cell>
        </row>
        <row r="6971">
          <cell r="C6971" t="str">
            <v>SVB_161-GS-TR-GOES Transformation Extension</v>
          </cell>
          <cell r="H6971">
            <v>5042067</v>
          </cell>
          <cell r="AK6971" t="str">
            <v>Karl Augenstein</v>
          </cell>
        </row>
        <row r="6972">
          <cell r="C6972" t="str">
            <v>Prudential PruScore Alpha Product Strategy</v>
          </cell>
          <cell r="H6972">
            <v>5044567</v>
          </cell>
          <cell r="AK6972" t="str">
            <v>Kimberly Koch</v>
          </cell>
        </row>
        <row r="6973">
          <cell r="C6973" t="str">
            <v>Transamerica Individual Business Management Group - Strategic Planning</v>
          </cell>
          <cell r="H6973">
            <v>5044609</v>
          </cell>
          <cell r="AK6973" t="str">
            <v>Erik Johnson</v>
          </cell>
        </row>
        <row r="6974">
          <cell r="C6974" t="str">
            <v>IWB_Technology Risk Assessments</v>
          </cell>
          <cell r="H6974">
            <v>5044376</v>
          </cell>
          <cell r="AK6974" t="str">
            <v>Robert Farmer</v>
          </cell>
        </row>
        <row r="6975">
          <cell r="C6975" t="str">
            <v>SVB_160-PR-TR-Gateway Support</v>
          </cell>
          <cell r="H6975">
            <v>5041951</v>
          </cell>
          <cell r="AK6975" t="str">
            <v>Karl Augenstein</v>
          </cell>
        </row>
        <row r="6976">
          <cell r="C6976" t="str">
            <v>VirginiaPartnersBnk_EDD 22</v>
          </cell>
          <cell r="H6976">
            <v>5044596</v>
          </cell>
          <cell r="AK6976" t="str">
            <v>W. Annette Dredden</v>
          </cell>
        </row>
        <row r="6977">
          <cell r="C6977" t="str">
            <v>Popular_Staff Aug/Popular NY Lending</v>
          </cell>
          <cell r="H6977">
            <v>5041179</v>
          </cell>
          <cell r="AK6977" t="str">
            <v>Delsys Salas</v>
          </cell>
        </row>
        <row r="6978">
          <cell r="C6978" t="str">
            <v>KEB Hana USA - CMS</v>
          </cell>
          <cell r="H6978">
            <v>5044323</v>
          </cell>
          <cell r="AK6978" t="str">
            <v>Mary Louise Radley</v>
          </cell>
        </row>
        <row r="6979">
          <cell r="C6979" t="str">
            <v>Savings Bank of Danbury_CMS</v>
          </cell>
          <cell r="H6979">
            <v>5044744</v>
          </cell>
          <cell r="AK6979" t="str">
            <v>Mariana Dumanovsky</v>
          </cell>
        </row>
        <row r="6980">
          <cell r="C6980" t="str">
            <v>GS Sec Lending Transformation - 2022 Q1</v>
          </cell>
          <cell r="H6980">
            <v>5044632</v>
          </cell>
          <cell r="AK6980" t="str">
            <v>Parul Chowdhry</v>
          </cell>
        </row>
        <row r="6981">
          <cell r="C6981" t="str">
            <v>MS Innovation Lab March Ext</v>
          </cell>
          <cell r="H6981">
            <v>5043914</v>
          </cell>
          <cell r="AK6981" t="str">
            <v>Shivaji Chakraborty</v>
          </cell>
        </row>
        <row r="6982">
          <cell r="C6982" t="str">
            <v>FAB_Special Project Review</v>
          </cell>
          <cell r="H6982">
            <v>5044454</v>
          </cell>
          <cell r="AK6982" t="str">
            <v>Charles Mcwilliam</v>
          </cell>
        </row>
        <row r="6983">
          <cell r="C6983" t="str">
            <v>MS_WM_PBO_Gustavo Cepeda_Extension</v>
          </cell>
          <cell r="H6983">
            <v>5041379</v>
          </cell>
          <cell r="AK6983" t="str">
            <v>Vishal Vyas</v>
          </cell>
        </row>
        <row r="6984">
          <cell r="C6984" t="str">
            <v>SVB_159-GS-TR-Data Governance Policy Writer</v>
          </cell>
          <cell r="H6984">
            <v>5042067</v>
          </cell>
          <cell r="AK6984" t="str">
            <v>Karl Augenstein</v>
          </cell>
        </row>
        <row r="6985">
          <cell r="C6985" t="str">
            <v>Alight Extension</v>
          </cell>
          <cell r="H6985">
            <v>5040578</v>
          </cell>
          <cell r="AK6985" t="str">
            <v>Jonathan Hunt</v>
          </cell>
        </row>
        <row r="6986">
          <cell r="C6986" t="str">
            <v>SVB_156-IT-ST-Portfolio Mgmt and Delivery 2/2022 Extension</v>
          </cell>
          <cell r="H6986">
            <v>5041951</v>
          </cell>
          <cell r="AK6986" t="str">
            <v>Karl Augenstein</v>
          </cell>
        </row>
        <row r="6987">
          <cell r="C6987" t="str">
            <v>Harbor Bank of Maryland_CMS</v>
          </cell>
          <cell r="H6987">
            <v>5044615</v>
          </cell>
          <cell r="AK6987" t="str">
            <v>W. Annette Dredden</v>
          </cell>
        </row>
        <row r="6988">
          <cell r="C6988" t="str">
            <v>RBCUS_Qlik Ext 2022 Feb to Oct</v>
          </cell>
          <cell r="H6988">
            <v>5044766</v>
          </cell>
          <cell r="AK6988" t="str">
            <v>Kirby Pulver</v>
          </cell>
        </row>
        <row r="6989">
          <cell r="C6989" t="str">
            <v>Guardian ESD Embedded Agile</v>
          </cell>
          <cell r="H6989">
            <v>5044664</v>
          </cell>
          <cell r="AK6989" t="str">
            <v>Gordon Lunsford</v>
          </cell>
        </row>
        <row r="6990">
          <cell r="C6990" t="str">
            <v>Digital Banking RA - Bank of San Francisco</v>
          </cell>
          <cell r="H6990">
            <v>5044545</v>
          </cell>
          <cell r="AK6990" t="str">
            <v>Robert Farmer</v>
          </cell>
        </row>
        <row r="6991">
          <cell r="C6991" t="str">
            <v>Purefy-Consulting&amp; Ad Review22</v>
          </cell>
          <cell r="H6991">
            <v>5044662</v>
          </cell>
          <cell r="AK6991" t="str">
            <v>Steve Manitzas</v>
          </cell>
        </row>
        <row r="6992">
          <cell r="C6992" t="str">
            <v>Hyperion-FLRA &amp; CRA PE 2022</v>
          </cell>
          <cell r="H6992">
            <v>5044516</v>
          </cell>
          <cell r="AK6992" t="str">
            <v>Gail Rassler</v>
          </cell>
        </row>
        <row r="6993">
          <cell r="C6993" t="str">
            <v>Community Bank Delaware</v>
          </cell>
          <cell r="H6993">
            <v>5044544</v>
          </cell>
          <cell r="AK6993" t="str">
            <v>Robert Farmer</v>
          </cell>
        </row>
        <row r="6994">
          <cell r="C6994" t="str">
            <v>Founders Bank 2022 CMS Support</v>
          </cell>
          <cell r="H6994">
            <v>5044759</v>
          </cell>
          <cell r="AK6994" t="str">
            <v>Kristina Slattery</v>
          </cell>
        </row>
        <row r="6995">
          <cell r="C6995" t="str">
            <v>Google Organizational Surveillance and Mapping</v>
          </cell>
          <cell r="H6995">
            <v>5045363</v>
          </cell>
          <cell r="AK6995" t="str">
            <v>Peter Dugas</v>
          </cell>
        </row>
        <row r="6996">
          <cell r="C6996" t="str">
            <v>Prudential Independent Agent - 2022 Implementation</v>
          </cell>
          <cell r="H6996">
            <v>5044588</v>
          </cell>
          <cell r="AK6996" t="str">
            <v>Matthew Berkowitz</v>
          </cell>
        </row>
        <row r="6997">
          <cell r="C6997" t="str">
            <v>WR_Retail Transformation UI Extension</v>
          </cell>
          <cell r="H6997">
            <v>5044643</v>
          </cell>
          <cell r="AK6997" t="str">
            <v>John Geertsema</v>
          </cell>
        </row>
        <row r="6998">
          <cell r="C6998" t="str">
            <v>Productfy Consulting</v>
          </cell>
          <cell r="H6998">
            <v>5044666</v>
          </cell>
          <cell r="AK6998" t="str">
            <v>Delsys Salas</v>
          </cell>
        </row>
        <row r="6999">
          <cell r="C6999" t="str">
            <v>Eaton Vance_Procurement_Integration Cost Synergies</v>
          </cell>
          <cell r="H6999">
            <v>5044646</v>
          </cell>
          <cell r="AK6999" t="str">
            <v>Dan Schutzman</v>
          </cell>
        </row>
        <row r="7000">
          <cell r="C7000" t="str">
            <v>MS_ETRADE_Branch Co-Location_Lead PM</v>
          </cell>
          <cell r="H7000">
            <v>5044634</v>
          </cell>
          <cell r="AK7000" t="str">
            <v>Dan Schutzman</v>
          </cell>
        </row>
        <row r="7001">
          <cell r="C7001" t="str">
            <v>ICG FRMT (US) PM/BA Task Order 2022 Q1</v>
          </cell>
          <cell r="H7001">
            <v>5044714</v>
          </cell>
          <cell r="AK7001" t="str">
            <v>Ervinas Janavicius</v>
          </cell>
        </row>
        <row r="7002">
          <cell r="C7002" t="str">
            <v>KofC Security Extension</v>
          </cell>
          <cell r="H7002">
            <v>5043363</v>
          </cell>
          <cell r="AK7002" t="str">
            <v>Darrell Ponzio</v>
          </cell>
        </row>
        <row r="7003">
          <cell r="C7003" t="str">
            <v>MassMutual - Strategic Distributors - Training</v>
          </cell>
          <cell r="H7003">
            <v>5043578</v>
          </cell>
          <cell r="AK7003" t="str">
            <v>Gordon Lunsford</v>
          </cell>
        </row>
        <row r="7004">
          <cell r="C7004" t="str">
            <v>Investors BSA/AML Analysts</v>
          </cell>
          <cell r="H7004">
            <v>5044543</v>
          </cell>
          <cell r="AK7004" t="str">
            <v>Jonathan Hunt</v>
          </cell>
        </row>
        <row r="7005">
          <cell r="C7005" t="str">
            <v>Ally Lending 2022 SOR Execution Bridge</v>
          </cell>
          <cell r="H7005">
            <v>5044658</v>
          </cell>
          <cell r="AK7005" t="str">
            <v>James Kane</v>
          </cell>
        </row>
        <row r="7006">
          <cell r="C7006" t="str">
            <v>First Command_Growth and Digital Strategy</v>
          </cell>
          <cell r="H7006">
            <v>5044570</v>
          </cell>
          <cell r="AK7006" t="str">
            <v>Carl Repoli</v>
          </cell>
        </row>
        <row r="7007">
          <cell r="C7007" t="str">
            <v>Digital Exam Readiness</v>
          </cell>
          <cell r="H7007">
            <v>5043883</v>
          </cell>
          <cell r="AK7007" t="str">
            <v>Boris Mallet</v>
          </cell>
        </row>
        <row r="7008">
          <cell r="C7008" t="str">
            <v>CMS/Berkshire CMS</v>
          </cell>
          <cell r="H7008">
            <v>5035146</v>
          </cell>
          <cell r="AK7008" t="str">
            <v>Marianne Byrne</v>
          </cell>
        </row>
        <row r="7009">
          <cell r="C7009" t="str">
            <v>SVB_162-IT-ST-OCM TPRM Extension</v>
          </cell>
          <cell r="H7009">
            <v>5042067</v>
          </cell>
          <cell r="AK7009" t="str">
            <v>Karl Augenstein</v>
          </cell>
        </row>
        <row r="7010">
          <cell r="C7010" t="str">
            <v>SVB_BP Data Governance</v>
          </cell>
          <cell r="H7010">
            <v>5044763</v>
          </cell>
          <cell r="AK7010" t="str">
            <v>Nate Walton</v>
          </cell>
        </row>
        <row r="7011">
          <cell r="C7011" t="str">
            <v>SEIU_MyBenefits Resources Support Ph 2</v>
          </cell>
          <cell r="H7011">
            <v>5041827</v>
          </cell>
          <cell r="AK7011" t="str">
            <v>Eric Fairchild</v>
          </cell>
        </row>
        <row r="7012">
          <cell r="C7012" t="str">
            <v>SVB_Data Governance Risk&amp;Compliance</v>
          </cell>
          <cell r="H7012">
            <v>5044918</v>
          </cell>
          <cell r="AK7012" t="str">
            <v>Nate Walton</v>
          </cell>
        </row>
        <row r="7013">
          <cell r="C7013" t="str">
            <v>FNMA - EUC Cloud Support 2022</v>
          </cell>
          <cell r="H7013">
            <v>5044512</v>
          </cell>
          <cell r="AK7013" t="str">
            <v>Brett Knickle</v>
          </cell>
        </row>
        <row r="7014">
          <cell r="C7014" t="str">
            <v>MassMutual Strategic Distributors - Future State Annuity Service Delivery</v>
          </cell>
          <cell r="H7014">
            <v>5044703</v>
          </cell>
          <cell r="AK7014" t="str">
            <v>Tedd Patel</v>
          </cell>
        </row>
        <row r="7015">
          <cell r="C7015" t="str">
            <v>CNB VMO Support 2022-2023</v>
          </cell>
          <cell r="H7015">
            <v>5044794</v>
          </cell>
          <cell r="AK7015" t="str">
            <v>Betsy Cherian</v>
          </cell>
        </row>
        <row r="7016">
          <cell r="C7016" t="str">
            <v>SVB_R-Hold OCM Support</v>
          </cell>
          <cell r="H7016">
            <v>5044919</v>
          </cell>
          <cell r="AK7016" t="str">
            <v>Andrew Radka</v>
          </cell>
        </row>
        <row r="7017">
          <cell r="C7017" t="str">
            <v>Jefferies_InfoSec BA_PM</v>
          </cell>
          <cell r="H7017">
            <v>5044727</v>
          </cell>
          <cell r="AK7017" t="str">
            <v>Justin Gonlag</v>
          </cell>
        </row>
        <row r="7018">
          <cell r="C7018" t="str">
            <v>ION India Support Team</v>
          </cell>
          <cell r="H7018">
            <v>5044789</v>
          </cell>
          <cell r="AK7018" t="str">
            <v>Manal Ray</v>
          </cell>
        </row>
        <row r="7019">
          <cell r="C7019" t="str">
            <v>Jeff_Ops CTB_Bridge Extension</v>
          </cell>
          <cell r="H7019">
            <v>5034770</v>
          </cell>
          <cell r="AK7019" t="str">
            <v>Imran Parekh</v>
          </cell>
        </row>
        <row r="7020">
          <cell r="C7020" t="str">
            <v>MassMutual Strategic Distributors - Relationship Managers</v>
          </cell>
          <cell r="H7020">
            <v>5043578</v>
          </cell>
          <cell r="AK7020" t="str">
            <v>Gordon Lunsford</v>
          </cell>
        </row>
        <row r="7021">
          <cell r="C7021" t="str">
            <v>CC5 Loan Purchase Review Project</v>
          </cell>
          <cell r="H7021">
            <v>5044797</v>
          </cell>
          <cell r="AK7021" t="str">
            <v>Delsys Salas</v>
          </cell>
        </row>
        <row r="7022">
          <cell r="C7022" t="str">
            <v>SixthStreet_Roadmap_BCP</v>
          </cell>
          <cell r="H7022">
            <v>5044747</v>
          </cell>
          <cell r="AK7022" t="str">
            <v>Jasson Romero Rosales</v>
          </cell>
        </row>
        <row r="7023">
          <cell r="C7023" t="str">
            <v>BD SD Compliance Testing Program - Extension</v>
          </cell>
          <cell r="H7023">
            <v>5044784</v>
          </cell>
          <cell r="AK7023" t="str">
            <v>Matthew Rodgers</v>
          </cell>
        </row>
        <row r="7024">
          <cell r="C7024" t="str">
            <v>M&amp;amp;TBnk_Regulatory Data Feed 2022</v>
          </cell>
          <cell r="H7024">
            <v>5041657</v>
          </cell>
          <cell r="AK7024" t="str">
            <v>Leah Robinson</v>
          </cell>
        </row>
        <row r="7025">
          <cell r="C7025" t="str">
            <v>Ocean Bank_BSA AML Training</v>
          </cell>
          <cell r="H7025">
            <v>5044631</v>
          </cell>
          <cell r="AK7025" t="str">
            <v>Helen Person</v>
          </cell>
        </row>
        <row r="7026">
          <cell r="C7026" t="str">
            <v>FrMc_Enterprise ILM</v>
          </cell>
          <cell r="H7026">
            <v>5044756</v>
          </cell>
          <cell r="AK7026" t="str">
            <v>Thadi Murali</v>
          </cell>
        </row>
        <row r="7027">
          <cell r="C7027" t="str">
            <v>Prudential Consent Management - Phase 2</v>
          </cell>
          <cell r="H7027">
            <v>5044761</v>
          </cell>
          <cell r="AK7027" t="str">
            <v>Andy Soodek</v>
          </cell>
        </row>
        <row r="7028">
          <cell r="C7028" t="str">
            <v>MS_ISG_ISGPO_FCO PM</v>
          </cell>
          <cell r="H7028">
            <v>5041107</v>
          </cell>
          <cell r="AK7028" t="str">
            <v>Mitali Drews</v>
          </cell>
        </row>
        <row r="7029">
          <cell r="C7029" t="str">
            <v>Ocean Bank BSA/AML Outsourcing</v>
          </cell>
          <cell r="H7029">
            <v>5044630</v>
          </cell>
          <cell r="AK7029" t="str">
            <v>Helen Person</v>
          </cell>
        </row>
        <row r="7030">
          <cell r="C7030" t="str">
            <v>Compliance Officer</v>
          </cell>
          <cell r="H7030">
            <v>5044801</v>
          </cell>
          <cell r="AK7030" t="str">
            <v>Matthew Rodgers</v>
          </cell>
        </row>
        <row r="7031">
          <cell r="C7031" t="str">
            <v>Prudential PGIM Technology Delivery (Pod 1 - Orlando)</v>
          </cell>
          <cell r="H7031">
            <v>5044906</v>
          </cell>
          <cell r="AK7031" t="str">
            <v>Lauren Somma</v>
          </cell>
        </row>
        <row r="7032">
          <cell r="C7032" t="str">
            <v>Key Bank Ent Data p1</v>
          </cell>
          <cell r="H7032">
            <v>5044796</v>
          </cell>
          <cell r="AK7032" t="str">
            <v>Ramnish Gupta</v>
          </cell>
        </row>
        <row r="7033">
          <cell r="C7033" t="str">
            <v>BSA/AML/OFAC Consulting</v>
          </cell>
          <cell r="H7033">
            <v>5044743</v>
          </cell>
          <cell r="AK7033" t="str">
            <v>William Sachs</v>
          </cell>
        </row>
        <row r="7034">
          <cell r="C7034" t="str">
            <v>Loan Remediation Project</v>
          </cell>
          <cell r="H7034">
            <v>5044746</v>
          </cell>
          <cell r="AK7034" t="str">
            <v>Louvera Walden</v>
          </cell>
        </row>
        <row r="7035">
          <cell r="C7035" t="str">
            <v>Natixis Vulnerability and Patch Mgmt Framework</v>
          </cell>
          <cell r="H7035">
            <v>5044755</v>
          </cell>
          <cell r="AK7035" t="str">
            <v>Arthur Nazzaro</v>
          </cell>
        </row>
        <row r="7036">
          <cell r="C7036" t="str">
            <v>UB_116 TO5_Symphony SP-060</v>
          </cell>
          <cell r="H7036">
            <v>5044764</v>
          </cell>
          <cell r="AK7036" t="str">
            <v>Samuel Awsumb</v>
          </cell>
        </row>
        <row r="7037">
          <cell r="C7037" t="str">
            <v>Investors Interim CCO</v>
          </cell>
          <cell r="H7037">
            <v>5045223</v>
          </cell>
          <cell r="AK7037" t="str">
            <v>Genevieve Connor</v>
          </cell>
        </row>
        <row r="7038">
          <cell r="C7038" t="str">
            <v>JEF_Madison - FI UX Designer Ext</v>
          </cell>
          <cell r="H7038">
            <v>5044814</v>
          </cell>
          <cell r="AK7038" t="str">
            <v>Aoife Hogan</v>
          </cell>
        </row>
        <row r="7039">
          <cell r="C7039" t="str">
            <v>Revantage AMD MT 3</v>
          </cell>
          <cell r="H7039">
            <v>5044795</v>
          </cell>
          <cell r="AK7039" t="str">
            <v>Michael Tang</v>
          </cell>
        </row>
        <row r="7040">
          <cell r="C7040" t="str">
            <v>SVB_Liquidity</v>
          </cell>
          <cell r="H7040">
            <v>5044912</v>
          </cell>
          <cell r="AK7040" t="str">
            <v>Andrew Radka</v>
          </cell>
        </row>
        <row r="7041">
          <cell r="C7041" t="str">
            <v>1stFreedomBnk_HMDA CRA DataRev&amp;CRA</v>
          </cell>
          <cell r="H7041">
            <v>5044935</v>
          </cell>
          <cell r="AK7041" t="str">
            <v>Leigh Tribou</v>
          </cell>
        </row>
        <row r="7042">
          <cell r="C7042" t="str">
            <v>Jeff_Transcend_March_May</v>
          </cell>
          <cell r="H7042">
            <v>5044841</v>
          </cell>
          <cell r="AK7042" t="str">
            <v>Justin Gonlag</v>
          </cell>
        </row>
        <row r="7043">
          <cell r="C7043" t="str">
            <v>CLC EA Project Support Ph4</v>
          </cell>
          <cell r="H7043">
            <v>5041705</v>
          </cell>
          <cell r="AK7043" t="str">
            <v>Eric Fairchild</v>
          </cell>
        </row>
        <row r="7044">
          <cell r="C7044" t="str">
            <v>Lazard Automation Program Support</v>
          </cell>
          <cell r="H7044">
            <v>5044792</v>
          </cell>
          <cell r="AK7044" t="str">
            <v>Jason Noran</v>
          </cell>
        </row>
        <row r="7045">
          <cell r="C7045" t="str">
            <v>MS_REM_TPPM_ProcessUnity_Strategic Implementation</v>
          </cell>
          <cell r="H7045">
            <v>5044798</v>
          </cell>
          <cell r="AK7045" t="str">
            <v>Dan Schutzman</v>
          </cell>
        </row>
        <row r="7046">
          <cell r="C7046" t="str">
            <v>SMBC_Rates ION Implementation</v>
          </cell>
          <cell r="H7046">
            <v>5044817</v>
          </cell>
          <cell r="AK7046" t="str">
            <v>Kaley Pomerantz</v>
          </cell>
        </row>
        <row r="7047">
          <cell r="C7047" t="str">
            <v>MS_WM_CIS_Evan Held_Extension</v>
          </cell>
          <cell r="H7047">
            <v>5041051</v>
          </cell>
          <cell r="AK7047" t="str">
            <v>Robin Williams</v>
          </cell>
        </row>
        <row r="7048">
          <cell r="C7048" t="str">
            <v>Clear Mountain_CRA Perf Eval22</v>
          </cell>
          <cell r="H7048">
            <v>5044660</v>
          </cell>
          <cell r="AK7048" t="str">
            <v>Gail Rassler</v>
          </cell>
        </row>
        <row r="7049">
          <cell r="C7049" t="str">
            <v>ICG NWTL / QFC Extension</v>
          </cell>
          <cell r="H7049">
            <v>5044862</v>
          </cell>
          <cell r="AK7049" t="str">
            <v>Ervinas Janavicius</v>
          </cell>
        </row>
        <row r="7050">
          <cell r="C7050" t="str">
            <v>UBS CCAR Support 2022</v>
          </cell>
          <cell r="H7050">
            <v>5044931</v>
          </cell>
          <cell r="AK7050" t="str">
            <v>Daniel Holness</v>
          </cell>
        </row>
        <row r="7051">
          <cell r="C7051" t="str">
            <v>UB_116 TO4_Symphony SP-059</v>
          </cell>
          <cell r="H7051">
            <v>5044818</v>
          </cell>
          <cell r="AK7051" t="str">
            <v>Samuel Awsumb</v>
          </cell>
        </row>
        <row r="7052">
          <cell r="C7052" t="str">
            <v>MS Data BigID</v>
          </cell>
          <cell r="H7052">
            <v>5044867</v>
          </cell>
          <cell r="AK7052" t="str">
            <v>Paul Laurent</v>
          </cell>
        </row>
        <row r="7053">
          <cell r="C7053" t="str">
            <v>USAA  Post-closing TRID review</v>
          </cell>
          <cell r="H7053">
            <v>5044901</v>
          </cell>
          <cell r="AK7053" t="str">
            <v>Michael Austin</v>
          </cell>
        </row>
        <row r="7054">
          <cell r="C7054" t="str">
            <v>USAA Sales Contract Review Team</v>
          </cell>
          <cell r="H7054">
            <v>5044904</v>
          </cell>
          <cell r="AK7054" t="str">
            <v>Michael Austin</v>
          </cell>
        </row>
        <row r="7055">
          <cell r="C7055" t="str">
            <v>USAA Disclosure Desk</v>
          </cell>
          <cell r="H7055">
            <v>5044903</v>
          </cell>
          <cell r="AK7055" t="str">
            <v>Michael Austin</v>
          </cell>
        </row>
        <row r="7056">
          <cell r="C7056" t="str">
            <v>USAA Closing Disclosure Review</v>
          </cell>
          <cell r="H7056">
            <v>5044905</v>
          </cell>
          <cell r="AK7056" t="str">
            <v>Michael Austin</v>
          </cell>
        </row>
        <row r="7057">
          <cell r="C7057" t="str">
            <v>BKU_Managed Services (Ext)</v>
          </cell>
          <cell r="H7057">
            <v>5044800</v>
          </cell>
          <cell r="AK7057" t="str">
            <v>Kyle Chavers</v>
          </cell>
        </row>
        <row r="7058">
          <cell r="C7058" t="str">
            <v>HB - Digital Wealth Product Extension</v>
          </cell>
          <cell r="H7058">
            <v>5044821</v>
          </cell>
          <cell r="AK7058" t="str">
            <v>Nikhil Sharma</v>
          </cell>
        </row>
        <row r="7059">
          <cell r="C7059" t="str">
            <v>Fixed Income Compliance Support</v>
          </cell>
          <cell r="H7059">
            <v>5044819</v>
          </cell>
          <cell r="AK7059" t="str">
            <v>Matthew Rodgers</v>
          </cell>
        </row>
        <row r="7060">
          <cell r="C7060" t="str">
            <v>SVB_Data_Portfolio Management</v>
          </cell>
          <cell r="H7060">
            <v>5044920</v>
          </cell>
          <cell r="AK7060" t="str">
            <v>Ridha Mesli</v>
          </cell>
        </row>
        <row r="7061">
          <cell r="C7061" t="str">
            <v>Hanover Bank HMDA Reviews 22-23</v>
          </cell>
          <cell r="H7061">
            <v>5045073</v>
          </cell>
          <cell r="AK7061" t="str">
            <v>Juan Pimentel</v>
          </cell>
        </row>
        <row r="7062">
          <cell r="C7062" t="str">
            <v>Better Remediation 2020 Originated Loans</v>
          </cell>
          <cell r="H7062">
            <v>5045110</v>
          </cell>
          <cell r="AK7062" t="str">
            <v>Thuy Whitaker</v>
          </cell>
        </row>
        <row r="7063">
          <cell r="C7063" t="str">
            <v>CBOM_MQC Reviews 22-23</v>
          </cell>
          <cell r="H7063">
            <v>5045466</v>
          </cell>
          <cell r="AK7063" t="str">
            <v>Christian Maier</v>
          </cell>
        </row>
        <row r="7064">
          <cell r="C7064" t="str">
            <v>ANBTX_HMDA CRA Reviews 22-23</v>
          </cell>
          <cell r="H7064">
            <v>5045083</v>
          </cell>
          <cell r="AK7064" t="str">
            <v>Juan Pimentel</v>
          </cell>
        </row>
        <row r="7065">
          <cell r="C7065" t="str">
            <v>FNB_Elmer SS Validation Review</v>
          </cell>
          <cell r="H7065">
            <v>5044871</v>
          </cell>
          <cell r="AK7065" t="str">
            <v>Anna Proleika</v>
          </cell>
        </row>
        <row r="7066">
          <cell r="C7066" t="str">
            <v>KeyBank NRE Origination Digital Interface</v>
          </cell>
          <cell r="H7066">
            <v>5044799</v>
          </cell>
          <cell r="AK7066" t="str">
            <v>Jason Noran</v>
          </cell>
        </row>
        <row r="7067">
          <cell r="C7067" t="str">
            <v>VyStarCS_DigitalBnkngCRA</v>
          </cell>
          <cell r="H7067">
            <v>5044805</v>
          </cell>
          <cell r="AK7067" t="str">
            <v>Robert Farmer</v>
          </cell>
        </row>
        <row r="7068">
          <cell r="C7068" t="str">
            <v>TP ICAP Broker Dealer Legal Entity</v>
          </cell>
          <cell r="H7068">
            <v>5044825</v>
          </cell>
          <cell r="AK7068" t="str">
            <v>Kirby Pulver</v>
          </cell>
        </row>
        <row r="7069">
          <cell r="C7069" t="str">
            <v>FrMc_MF Staff Augmentation Program</v>
          </cell>
          <cell r="H7069">
            <v>5044802</v>
          </cell>
          <cell r="AK7069" t="str">
            <v>Kalkidan Tedla</v>
          </cell>
        </row>
        <row r="7070">
          <cell r="C7070" t="str">
            <v>KofC Security Extension #2</v>
          </cell>
          <cell r="H7070">
            <v>5043363</v>
          </cell>
          <cell r="AK7070" t="str">
            <v>Darrell Ponzio</v>
          </cell>
        </row>
        <row r="7071">
          <cell r="C7071" t="str">
            <v>UBS WMAP Data Lineage 2022</v>
          </cell>
          <cell r="H7071">
            <v>5044859</v>
          </cell>
          <cell r="AK7071" t="str">
            <v>Stephane Ritz</v>
          </cell>
        </row>
        <row r="7072">
          <cell r="C7072" t="str">
            <v>Unqork - Senior Config</v>
          </cell>
          <cell r="H7072">
            <v>5044848</v>
          </cell>
          <cell r="AK7072" t="str">
            <v>Matilda Tan</v>
          </cell>
        </row>
        <row r="7073">
          <cell r="C7073" t="str">
            <v>Pru_Assurance-Producer Manual MVP</v>
          </cell>
          <cell r="H7073">
            <v>5044846</v>
          </cell>
          <cell r="AK7073" t="str">
            <v>Eric Fairchild</v>
          </cell>
        </row>
        <row r="7074">
          <cell r="C7074" t="str">
            <v>FNB South TRID Reviews 22-23</v>
          </cell>
          <cell r="H7074">
            <v>5045328</v>
          </cell>
          <cell r="AK7074" t="str">
            <v>Juan Pimentel</v>
          </cell>
        </row>
        <row r="7075">
          <cell r="C7075" t="str">
            <v>Markets Surveillance</v>
          </cell>
          <cell r="H7075">
            <v>5044754</v>
          </cell>
          <cell r="AK7075" t="str">
            <v>Matthew Rodgers</v>
          </cell>
        </row>
        <row r="7076">
          <cell r="C7076" t="str">
            <v>MS IIS Branch Buildout</v>
          </cell>
          <cell r="H7076">
            <v>5044876</v>
          </cell>
          <cell r="AK7076" t="str">
            <v>Dan Schutzman</v>
          </cell>
        </row>
        <row r="7077">
          <cell r="C7077" t="str">
            <v>Santander_IT GRC compliance support</v>
          </cell>
          <cell r="H7077">
            <v>5044803</v>
          </cell>
          <cell r="AK7077" t="str">
            <v>Boris Mallet</v>
          </cell>
        </row>
        <row r="7078">
          <cell r="C7078" t="str">
            <v>SVB UK Implementation Subsidiary Delivery</v>
          </cell>
          <cell r="H7078">
            <v>5045002</v>
          </cell>
          <cell r="AK7078" t="str">
            <v>Andrew Radka</v>
          </cell>
        </row>
        <row r="7079">
          <cell r="C7079" t="str">
            <v>Interactive Brokers Market Surveillance - March</v>
          </cell>
          <cell r="H7079">
            <v>5044511</v>
          </cell>
          <cell r="AK7079" t="str">
            <v>Matthew Rodgers</v>
          </cell>
        </row>
        <row r="7080">
          <cell r="C7080" t="str">
            <v>SVB_Workforce Planning Gateway</v>
          </cell>
          <cell r="H7080">
            <v>5045063</v>
          </cell>
          <cell r="AK7080" t="str">
            <v>Andrew Radka</v>
          </cell>
        </row>
        <row r="7081">
          <cell r="C7081" t="str">
            <v>HSBC-WS-Client Migration Lead - Extension 1 ATH</v>
          </cell>
          <cell r="H7081">
            <v>5044930</v>
          </cell>
          <cell r="AK7081" t="str">
            <v>Steven D'Angelo</v>
          </cell>
        </row>
        <row r="7082">
          <cell r="C7082" t="str">
            <v>SVB_QA Investments Extension</v>
          </cell>
          <cell r="H7082">
            <v>5044917</v>
          </cell>
          <cell r="AK7082" t="str">
            <v>Andrew Radka</v>
          </cell>
        </row>
        <row r="7083">
          <cell r="C7083" t="str">
            <v>SVB_API Platform Extension</v>
          </cell>
          <cell r="H7083">
            <v>5044916</v>
          </cell>
          <cell r="AK7083" t="str">
            <v>Andrew Radka</v>
          </cell>
        </row>
        <row r="7084">
          <cell r="C7084" t="str">
            <v>AB - US Retail site modernization Discovery phase</v>
          </cell>
          <cell r="H7084">
            <v>5044882</v>
          </cell>
          <cell r="AK7084" t="str">
            <v>Vikas Jain</v>
          </cell>
        </row>
        <row r="7085">
          <cell r="C7085" t="str">
            <v>Independent Bnk_Fraud Risk A</v>
          </cell>
          <cell r="H7085">
            <v>5044928</v>
          </cell>
          <cell r="AK7085" t="str">
            <v>Mary Louise Radley</v>
          </cell>
        </row>
        <row r="7086">
          <cell r="C7086" t="str">
            <v>Treasury India Support Team</v>
          </cell>
          <cell r="H7086">
            <v>5044820</v>
          </cell>
          <cell r="AK7086" t="str">
            <v>Manal Ray</v>
          </cell>
        </row>
        <row r="7087">
          <cell r="C7087" t="str">
            <v>Savana_003_Execution Support</v>
          </cell>
          <cell r="H7087">
            <v>5044939</v>
          </cell>
          <cell r="AK7087" t="str">
            <v>Samuel Awsumb</v>
          </cell>
        </row>
        <row r="7088">
          <cell r="C7088" t="str">
            <v>Capital Bank HMDA 2022 Reviews</v>
          </cell>
          <cell r="H7088">
            <v>5045527</v>
          </cell>
          <cell r="AK7088" t="str">
            <v>Juan Pimentel</v>
          </cell>
        </row>
        <row r="7089">
          <cell r="C7089" t="str">
            <v>BB_Devlopmnt Capacity support</v>
          </cell>
          <cell r="H7089">
            <v>5044680</v>
          </cell>
          <cell r="AK7089" t="str">
            <v>Luke Penca</v>
          </cell>
        </row>
        <row r="7090">
          <cell r="C7090" t="str">
            <v>HSBC-MSS-15a-6 Q1 Extension ATH</v>
          </cell>
          <cell r="H7090">
            <v>5044996</v>
          </cell>
          <cell r="AK7090" t="str">
            <v>Steven D'Angelo</v>
          </cell>
        </row>
        <row r="7091">
          <cell r="C7091" t="str">
            <v>SVB_Enterprise Agile Reporting Support</v>
          </cell>
          <cell r="H7091">
            <v>5045061</v>
          </cell>
          <cell r="AK7091" t="str">
            <v>Michael Guerrero</v>
          </cell>
        </row>
        <row r="7092">
          <cell r="C7092" t="str">
            <v>ERM Implementation Program - Ext</v>
          </cell>
          <cell r="H7092">
            <v>5043942</v>
          </cell>
          <cell r="AK7092" t="str">
            <v>Justin Wellen</v>
          </cell>
        </row>
        <row r="7093">
          <cell r="C7093" t="str">
            <v>BSA Risk Assessment 2022</v>
          </cell>
          <cell r="H7093">
            <v>5044725</v>
          </cell>
          <cell r="AK7093" t="str">
            <v>Charles Mcwilliam</v>
          </cell>
        </row>
        <row r="7094">
          <cell r="C7094" t="str">
            <v>AUB_3-Year Strategic Roadmap</v>
          </cell>
          <cell r="H7094">
            <v>5044982</v>
          </cell>
          <cell r="AK7094" t="str">
            <v>Adrian Ungureanu</v>
          </cell>
        </row>
        <row r="7095">
          <cell r="C7095" t="str">
            <v>WF_Integrated Enterprise Risk Reporting</v>
          </cell>
          <cell r="H7095">
            <v>5044900</v>
          </cell>
          <cell r="AK7095" t="str">
            <v>Korey Reynolds</v>
          </cell>
        </row>
        <row r="7096">
          <cell r="C7096" t="str">
            <v>SVB_Credit Office Transformation</v>
          </cell>
          <cell r="H7096">
            <v>5045060</v>
          </cell>
          <cell r="AK7096" t="str">
            <v>Andrew Radka</v>
          </cell>
        </row>
        <row r="7097">
          <cell r="C7097" t="str">
            <v>SVB_One Data Platform - Payments</v>
          </cell>
          <cell r="H7097">
            <v>5045044</v>
          </cell>
          <cell r="AK7097" t="str">
            <v>Christopher Tecchio</v>
          </cell>
        </row>
        <row r="7098">
          <cell r="C7098" t="str">
            <v>FPP - Encompass Implementation</v>
          </cell>
          <cell r="H7098">
            <v>5044984</v>
          </cell>
          <cell r="AK7098" t="str">
            <v>Mariana Dumanovsky</v>
          </cell>
        </row>
        <row r="7099">
          <cell r="C7099" t="str">
            <v>MS_WM_Ops_AI RTB_RISC_2022</v>
          </cell>
          <cell r="H7099">
            <v>5045043</v>
          </cell>
          <cell r="AK7099" t="str">
            <v>John Clifford</v>
          </cell>
        </row>
        <row r="7100">
          <cell r="C7100" t="str">
            <v>BB Expanded Roles for AFCU</v>
          </cell>
          <cell r="H7100">
            <v>5044932</v>
          </cell>
          <cell r="AK7100" t="str">
            <v>Luke Penca</v>
          </cell>
        </row>
        <row r="7101">
          <cell r="C7101" t="str">
            <v>Citi FRMT Aqua - NXB-FRM-CPC-2022 - TO-002</v>
          </cell>
          <cell r="H7101">
            <v>5045166</v>
          </cell>
          <cell r="AK7101" t="str">
            <v>Chris Johnston</v>
          </cell>
        </row>
        <row r="7102">
          <cell r="C7102" t="str">
            <v>Finxact_Battle Bank Design Phase</v>
          </cell>
          <cell r="H7102">
            <v>5045123</v>
          </cell>
          <cell r="AK7102" t="str">
            <v>James Kane</v>
          </cell>
        </row>
        <row r="7103">
          <cell r="C7103" t="str">
            <v>Wex Issuer Processor</v>
          </cell>
          <cell r="H7103">
            <v>5045225</v>
          </cell>
          <cell r="AK7103" t="str">
            <v>Vince Forte</v>
          </cell>
        </row>
        <row r="7104">
          <cell r="C7104" t="str">
            <v>Wex Issuer Processor</v>
          </cell>
          <cell r="H7104">
            <v>5045225</v>
          </cell>
          <cell r="AK7104" t="str">
            <v>Vince Forte</v>
          </cell>
        </row>
        <row r="7105">
          <cell r="C7105" t="str">
            <v>FrMc_CDT (SOW 5979-05) Stage 1</v>
          </cell>
          <cell r="H7105">
            <v>5045390</v>
          </cell>
          <cell r="AK7105" t="str">
            <v>Chad Bonadonna</v>
          </cell>
        </row>
        <row r="7106">
          <cell r="C7106" t="str">
            <v>HSBC-WPB- Wealth and Investment BA/PM - Extension</v>
          </cell>
          <cell r="H7106">
            <v>5043362</v>
          </cell>
          <cell r="AK7106" t="str">
            <v>Steven D'Angelo</v>
          </cell>
        </row>
        <row r="7107">
          <cell r="C7107" t="str">
            <v>SVB_PSP Stabilization Pod</v>
          </cell>
          <cell r="H7107">
            <v>5045230</v>
          </cell>
          <cell r="AK7107" t="str">
            <v>Nitin Raju</v>
          </cell>
        </row>
        <row r="7108">
          <cell r="C7108" t="str">
            <v>NMB CMS Addendum</v>
          </cell>
          <cell r="H7108">
            <v>5040902</v>
          </cell>
          <cell r="AK7108" t="str">
            <v>Anna Proleika</v>
          </cell>
        </row>
        <row r="7109">
          <cell r="C7109" t="str">
            <v>Jeff_IT Risk Assessment_Extension</v>
          </cell>
          <cell r="H7109">
            <v>5045453</v>
          </cell>
          <cell r="AK7109" t="str">
            <v>Justin Gonlag</v>
          </cell>
        </row>
        <row r="7110">
          <cell r="C7110" t="str">
            <v>UBS_Sr. KYC Analysts</v>
          </cell>
          <cell r="H7110">
            <v>5045387</v>
          </cell>
          <cell r="AK7110" t="str">
            <v>Anthony Abruzzo</v>
          </cell>
        </row>
        <row r="7111">
          <cell r="C7111" t="str">
            <v>SVB Gateway Data Analytics addition</v>
          </cell>
          <cell r="H7111">
            <v>5045231</v>
          </cell>
          <cell r="AK7111" t="str">
            <v>Andrew Radka</v>
          </cell>
        </row>
        <row r="7112">
          <cell r="C7112" t="str">
            <v>SVB_Legacy BP Reg Reporting Product Delivery Lead</v>
          </cell>
          <cell r="H7112">
            <v>5045233</v>
          </cell>
          <cell r="AK7112" t="str">
            <v>Nitin Raju</v>
          </cell>
        </row>
        <row r="7113">
          <cell r="C7113" t="str">
            <v>Amalgamated_CMS_Interim CCO</v>
          </cell>
          <cell r="H7113">
            <v>5045104</v>
          </cell>
          <cell r="AK7113" t="str">
            <v>Lawana Clark</v>
          </cell>
        </row>
        <row r="7114">
          <cell r="C7114" t="str">
            <v>Wipro_Alight Transformation Execution</v>
          </cell>
          <cell r="H7114">
            <v>5045185</v>
          </cell>
          <cell r="AK7114" t="str">
            <v>Felix Gniza</v>
          </cell>
        </row>
        <row r="7115">
          <cell r="C7115" t="str">
            <v>MS_REM_Alteryx Analytics Automation_SME</v>
          </cell>
          <cell r="H7115">
            <v>5045224</v>
          </cell>
          <cell r="AK7115" t="str">
            <v>Dan Schutzman</v>
          </cell>
        </row>
        <row r="7116">
          <cell r="C7116" t="str">
            <v>Centennial HMDA Reviews 22-23</v>
          </cell>
          <cell r="H7116">
            <v>5045220</v>
          </cell>
          <cell r="AK7116" t="str">
            <v>Juan Pimentel</v>
          </cell>
        </row>
        <row r="7117">
          <cell r="C7117" t="str">
            <v>Boston Private HMDA Review 22-23</v>
          </cell>
          <cell r="H7117">
            <v>5045349</v>
          </cell>
          <cell r="AK7117" t="str">
            <v>Juan Pimentel</v>
          </cell>
        </row>
        <row r="7118">
          <cell r="C7118" t="str">
            <v>SVB_JIRA and Confluence Support Extension</v>
          </cell>
          <cell r="H7118">
            <v>5045064</v>
          </cell>
          <cell r="AK7118" t="str">
            <v>Ameya Deolalkar</v>
          </cell>
        </row>
        <row r="7119">
          <cell r="C7119" t="str">
            <v>Jeff_Murex Portfolio Manager</v>
          </cell>
          <cell r="H7119">
            <v>5045026</v>
          </cell>
          <cell r="AK7119" t="str">
            <v>Chelsea Mattias</v>
          </cell>
        </row>
        <row r="7120">
          <cell r="C7120" t="str">
            <v>MS_ETRADE_Investment Solutions_Core PMs 2022</v>
          </cell>
          <cell r="H7120">
            <v>5045075</v>
          </cell>
          <cell r="AK7120" t="str">
            <v>Dan Schutzman</v>
          </cell>
        </row>
        <row r="7121">
          <cell r="C7121" t="str">
            <v>Reg Ops SME Q2 Ext</v>
          </cell>
          <cell r="H7121">
            <v>5045242</v>
          </cell>
          <cell r="AK7121" t="str">
            <v>Lance Rhodes</v>
          </cell>
        </row>
        <row r="7122">
          <cell r="C7122" t="str">
            <v>MS_ISG_Mumbai_CFTC_2022 Apr-Dec</v>
          </cell>
          <cell r="H7122">
            <v>5045019</v>
          </cell>
          <cell r="AK7122" t="str">
            <v>Ruben Sooriya</v>
          </cell>
        </row>
        <row r="7123">
          <cell r="C7123" t="str">
            <v>SVB_Data_Talent Management</v>
          </cell>
          <cell r="H7123">
            <v>5045317</v>
          </cell>
          <cell r="AK7123" t="str">
            <v>Ridha Mesli</v>
          </cell>
        </row>
        <row r="7124">
          <cell r="C7124" t="str">
            <v>Broadridge WMAP April-Dec 2022</v>
          </cell>
          <cell r="H7124">
            <v>5045168</v>
          </cell>
          <cell r="AK7124" t="str">
            <v>Devyani Patel</v>
          </cell>
        </row>
        <row r="7125">
          <cell r="C7125" t="str">
            <v>SVB_Test Engineer Extension</v>
          </cell>
          <cell r="H7125">
            <v>5045408</v>
          </cell>
          <cell r="AK7125" t="str">
            <v>Nitin Raju</v>
          </cell>
        </row>
        <row r="7126">
          <cell r="C7126" t="str">
            <v>MS_Wealth Advisory Technology_India</v>
          </cell>
          <cell r="H7126">
            <v>5045059</v>
          </cell>
          <cell r="AK7126" t="str">
            <v>Balaji Ramamurthy</v>
          </cell>
        </row>
        <row r="7127">
          <cell r="C7127" t="str">
            <v>MS_WM_ Advisory Technology_NY_ Apr_Dec 22</v>
          </cell>
          <cell r="H7127">
            <v>5044883</v>
          </cell>
          <cell r="AK7127" t="str">
            <v>Balaji Ramamurthy</v>
          </cell>
        </row>
        <row r="7128">
          <cell r="C7128" t="str">
            <v>MS Lab Cloud 9 extension</v>
          </cell>
          <cell r="H7128">
            <v>5045281</v>
          </cell>
          <cell r="AK7128" t="str">
            <v>Shivaji Chakraborty</v>
          </cell>
        </row>
        <row r="7129">
          <cell r="C7129" t="str">
            <v>SVB Gateway Planning and Mgmt Ext</v>
          </cell>
          <cell r="H7129">
            <v>5045378</v>
          </cell>
          <cell r="AK7129" t="str">
            <v>Andrew Radka</v>
          </cell>
        </row>
        <row r="7130">
          <cell r="C7130" t="str">
            <v>MS_WM_PBCentral and SpendingBudg 2022 Apr-Jun</v>
          </cell>
          <cell r="H7130">
            <v>5044915</v>
          </cell>
          <cell r="AK7130" t="str">
            <v>Ruben Sooriya</v>
          </cell>
        </row>
        <row r="7131">
          <cell r="C7131" t="str">
            <v>SVB_Commercial Card Product Support Ext</v>
          </cell>
          <cell r="H7131">
            <v>5045284</v>
          </cell>
          <cell r="AK7131" t="str">
            <v>Andrew Radka</v>
          </cell>
        </row>
        <row r="7132">
          <cell r="C7132" t="str">
            <v>Cape Cod Five - GLBA Risk Assessment</v>
          </cell>
          <cell r="H7132">
            <v>5045001</v>
          </cell>
          <cell r="AK7132" t="str">
            <v>Robert Farmer</v>
          </cell>
        </row>
        <row r="7133">
          <cell r="C7133" t="str">
            <v>Premier Bank_Compliance Reviews</v>
          </cell>
          <cell r="H7133">
            <v>5045246</v>
          </cell>
          <cell r="AK7133" t="str">
            <v>Dennis Smith</v>
          </cell>
        </row>
        <row r="7134">
          <cell r="C7134" t="str">
            <v>USAA 3PD 2022-2023 Extension</v>
          </cell>
          <cell r="H7134">
            <v>5044950</v>
          </cell>
          <cell r="AK7134" t="str">
            <v>Eric Fairchild</v>
          </cell>
        </row>
        <row r="7135">
          <cell r="C7135" t="str">
            <v>MS_WM UAT E*Trade 2022 Apr-Dec</v>
          </cell>
          <cell r="H7135">
            <v>5044865</v>
          </cell>
          <cell r="AK7135" t="str">
            <v>Balaji Ramamurthy</v>
          </cell>
        </row>
        <row r="7136">
          <cell r="C7136" t="str">
            <v>MS_Wealth UAT FSS 2022 Apr-Dec</v>
          </cell>
          <cell r="H7136">
            <v>5044942</v>
          </cell>
          <cell r="AK7136" t="str">
            <v>Balaji Ramamurthy</v>
          </cell>
        </row>
        <row r="7137">
          <cell r="C7137" t="str">
            <v>MS_WM UAT Investment Platforms 2022 Apr-Dec</v>
          </cell>
          <cell r="H7137">
            <v>5045084</v>
          </cell>
          <cell r="AK7137" t="str">
            <v>Balaji Ramamurthy</v>
          </cell>
        </row>
        <row r="7138">
          <cell r="C7138" t="str">
            <v>MS_WM_PBO_2022 Apr-Dec</v>
          </cell>
          <cell r="H7138">
            <v>5044834</v>
          </cell>
          <cell r="AK7138" t="str">
            <v>Vishal Vyas</v>
          </cell>
        </row>
        <row r="7139">
          <cell r="C7139" t="str">
            <v>MS_WM_UAT_FPL_WSA_2022</v>
          </cell>
          <cell r="H7139">
            <v>5044860</v>
          </cell>
          <cell r="AK7139" t="str">
            <v>Balaji Ramamurthy</v>
          </cell>
        </row>
        <row r="7140">
          <cell r="C7140" t="str">
            <v>MS_UAT_Wealth Advisory</v>
          </cell>
          <cell r="H7140">
            <v>5044847</v>
          </cell>
          <cell r="AK7140" t="str">
            <v>Balaji Ramamurthy</v>
          </cell>
        </row>
        <row r="7141">
          <cell r="C7141" t="str">
            <v>Investment Platforms COO Support 2022 Apr-Dec</v>
          </cell>
          <cell r="H7141">
            <v>5044940</v>
          </cell>
          <cell r="AK7141" t="str">
            <v>Dan Schutzman</v>
          </cell>
        </row>
        <row r="7142">
          <cell r="C7142" t="str">
            <v>MSWM Investment Platforms Advice BA Support_2022 Apr-Dec</v>
          </cell>
          <cell r="H7142">
            <v>5044826</v>
          </cell>
          <cell r="AK7142" t="str">
            <v>Dan Schutzman</v>
          </cell>
        </row>
        <row r="7143">
          <cell r="C7143" t="str">
            <v>MS_WM_S and A_PMO 2022 Apr-Dec</v>
          </cell>
          <cell r="H7143">
            <v>5044863</v>
          </cell>
          <cell r="AK7143" t="str">
            <v>Dan Schutzman</v>
          </cell>
        </row>
        <row r="7144">
          <cell r="C7144" t="str">
            <v>Trading Harmonization 2022 Apr-Dec</v>
          </cell>
          <cell r="H7144">
            <v>5045081</v>
          </cell>
          <cell r="AK7144" t="str">
            <v>Dan Schutzman</v>
          </cell>
        </row>
        <row r="7145">
          <cell r="C7145" t="str">
            <v>MS_CORS_PM 2022</v>
          </cell>
          <cell r="H7145">
            <v>5044866</v>
          </cell>
          <cell r="AK7145" t="str">
            <v>Ruben Sooriya</v>
          </cell>
        </row>
        <row r="7146">
          <cell r="C7146" t="str">
            <v>FIS IMO Q2 2022 Extension</v>
          </cell>
          <cell r="H7146">
            <v>5045201</v>
          </cell>
          <cell r="AK7146" t="str">
            <v>Erik Johnson</v>
          </cell>
        </row>
        <row r="7147">
          <cell r="C7147" t="str">
            <v>MS_ISG_GPG_GPG 2022</v>
          </cell>
          <cell r="H7147">
            <v>5044922</v>
          </cell>
          <cell r="AK7147" t="str">
            <v>Ruben Sooriya</v>
          </cell>
        </row>
        <row r="7148">
          <cell r="C7148" t="str">
            <v>MS_ISG_FID_FID Strats 2022</v>
          </cell>
          <cell r="H7148">
            <v>5044837</v>
          </cell>
          <cell r="AK7148" t="str">
            <v>Ruben Sooriya</v>
          </cell>
        </row>
        <row r="7149">
          <cell r="C7149" t="str">
            <v>GS Wealth Dallas UK</v>
          </cell>
          <cell r="H7149">
            <v>5045229</v>
          </cell>
          <cell r="AK7149" t="str">
            <v>Parul Chowdhry</v>
          </cell>
        </row>
        <row r="7150">
          <cell r="C7150" t="str">
            <v>Arundel FSB MQC Reviews 22-23</v>
          </cell>
          <cell r="H7150">
            <v>5045454</v>
          </cell>
          <cell r="AK7150" t="str">
            <v>Christian Maier</v>
          </cell>
        </row>
        <row r="7151">
          <cell r="C7151" t="str">
            <v>WATRUST_HMDA Reviews 22-23</v>
          </cell>
          <cell r="H7151">
            <v>5045582</v>
          </cell>
          <cell r="AK7151" t="str">
            <v>Juan Pimentel</v>
          </cell>
        </row>
        <row r="7152">
          <cell r="C7152" t="str">
            <v>Prudential Independent Agent - FY 2023</v>
          </cell>
          <cell r="H7152">
            <v>5045203</v>
          </cell>
          <cell r="AK7152" t="str">
            <v>Matthew Berkowitz</v>
          </cell>
        </row>
        <row r="7153">
          <cell r="C7153" t="str">
            <v>HB BOL Extension Apr-Sep</v>
          </cell>
          <cell r="H7153">
            <v>5045303</v>
          </cell>
          <cell r="AK7153" t="str">
            <v>Bemo Itoe</v>
          </cell>
        </row>
        <row r="7154">
          <cell r="C7154" t="str">
            <v>HSBC-FIN-RAF PM - Q1 Extension 2022</v>
          </cell>
          <cell r="H7154">
            <v>5045198</v>
          </cell>
          <cell r="AK7154" t="str">
            <v>Steven D'Angelo</v>
          </cell>
        </row>
        <row r="7155">
          <cell r="C7155" t="str">
            <v>Jefferies SD Compliance Program Manager</v>
          </cell>
          <cell r="H7155">
            <v>5045294</v>
          </cell>
          <cell r="AK7155" t="str">
            <v>Matthew Rodgers</v>
          </cell>
        </row>
        <row r="7156">
          <cell r="C7156" t="str">
            <v>Enterprise Bnk Trust_GRC CIC</v>
          </cell>
          <cell r="H7156">
            <v>5045170</v>
          </cell>
          <cell r="AK7156" t="str">
            <v>Tania Makuh</v>
          </cell>
        </row>
        <row r="7157">
          <cell r="C7157" t="str">
            <v>ISG Data CoE US Team - Extension - 2022</v>
          </cell>
          <cell r="H7157">
            <v>5044943</v>
          </cell>
          <cell r="AK7157" t="str">
            <v>Grzegorz Walukanis</v>
          </cell>
        </row>
        <row r="7158">
          <cell r="C7158" t="str">
            <v>Customers Bank VDD Staff Aug</v>
          </cell>
          <cell r="H7158">
            <v>5042733</v>
          </cell>
          <cell r="AK7158" t="str">
            <v>Gail Rassler</v>
          </cell>
        </row>
        <row r="7159">
          <cell r="C7159" t="str">
            <v>MS_WM_Escheatment_2022 Apr-Dec</v>
          </cell>
          <cell r="H7159">
            <v>5044842</v>
          </cell>
          <cell r="AK7159" t="str">
            <v>Raymond Ortiz II</v>
          </cell>
        </row>
        <row r="7160">
          <cell r="C7160" t="str">
            <v>MS_WM_Ops_Workflow 2022 Q2-Q4</v>
          </cell>
          <cell r="H7160">
            <v>5044844</v>
          </cell>
          <cell r="AK7160" t="str">
            <v>Raymond Ortiz II</v>
          </cell>
        </row>
        <row r="7161">
          <cell r="C7161" t="str">
            <v>MS_WM_Ops_Digital 2022 Apr-Dec</v>
          </cell>
          <cell r="H7161">
            <v>5044838</v>
          </cell>
          <cell r="AK7161" t="str">
            <v>Raymond Ortiz II</v>
          </cell>
        </row>
        <row r="7162">
          <cell r="C7162" t="str">
            <v>MS_WM_Ops_FAST 2022 Apr-Dec</v>
          </cell>
          <cell r="H7162">
            <v>5044845</v>
          </cell>
          <cell r="AK7162" t="str">
            <v>Raymond Ortiz II</v>
          </cell>
        </row>
        <row r="7163">
          <cell r="C7163" t="str">
            <v>MS_WM_Ops_Governanace and MSSN 22 Apr-Dec</v>
          </cell>
          <cell r="H7163">
            <v>5044944</v>
          </cell>
          <cell r="AK7163" t="str">
            <v>Raymond Ortiz II</v>
          </cell>
        </row>
        <row r="7164">
          <cell r="C7164" t="str">
            <v>MS_REM_TPPM_Risk Transformation_Q2-Q4Extensions</v>
          </cell>
          <cell r="H7164">
            <v>5044913</v>
          </cell>
          <cell r="AK7164" t="str">
            <v>Dan Schutzman</v>
          </cell>
        </row>
        <row r="7165">
          <cell r="C7165" t="str">
            <v>SVB_OCM TPRM Extension</v>
          </cell>
          <cell r="H7165">
            <v>5045316</v>
          </cell>
          <cell r="AK7165" t="str">
            <v>Sabrina Amjad</v>
          </cell>
        </row>
        <row r="7166">
          <cell r="C7166" t="str">
            <v>MSIMOPS Agile Coach</v>
          </cell>
          <cell r="H7166">
            <v>5044893</v>
          </cell>
          <cell r="AK7166" t="str">
            <v>Angela McGregor</v>
          </cell>
        </row>
        <row r="7167">
          <cell r="C7167" t="str">
            <v>Risk Assessment and Audit</v>
          </cell>
          <cell r="H7167">
            <v>5043909</v>
          </cell>
          <cell r="AK7167" t="str">
            <v>Robert Farmer</v>
          </cell>
        </row>
        <row r="7168">
          <cell r="C7168" t="str">
            <v>SSBO Ext - April to Dec 2022</v>
          </cell>
          <cell r="H7168">
            <v>5044839</v>
          </cell>
          <cell r="AK7168" t="str">
            <v>Ruben Sooriya</v>
          </cell>
        </row>
        <row r="7169">
          <cell r="C7169" t="str">
            <v>SVB Enterprise Agile Core Ext</v>
          </cell>
          <cell r="H7169">
            <v>5045234</v>
          </cell>
          <cell r="AK7169" t="str">
            <v>Michael Guerrero</v>
          </cell>
        </row>
        <row r="7170">
          <cell r="C7170" t="str">
            <v>BBA_Mortgage Reviews 22-23</v>
          </cell>
          <cell r="H7170">
            <v>5045522</v>
          </cell>
          <cell r="AK7170" t="str">
            <v>Juan Pimentel</v>
          </cell>
        </row>
        <row r="7171">
          <cell r="C7171" t="str">
            <v>MS_ISG_ISGPO_Prateek Extension</v>
          </cell>
          <cell r="H7171">
            <v>5044840</v>
          </cell>
          <cell r="AK7171" t="str">
            <v>Ruben Sooriya</v>
          </cell>
        </row>
        <row r="7172">
          <cell r="C7172" t="str">
            <v>FrMc_ICM Q2</v>
          </cell>
          <cell r="H7172">
            <v>5044287</v>
          </cell>
          <cell r="AK7172" t="str">
            <v>Jeliaz Chtilianov</v>
          </cell>
        </row>
        <row r="7173">
          <cell r="C7173" t="str">
            <v>GBS RISK (AMD 7)</v>
          </cell>
          <cell r="H7173">
            <v>5038432</v>
          </cell>
          <cell r="AK7173" t="str">
            <v>Michael Mathew</v>
          </cell>
        </row>
        <row r="7174">
          <cell r="C7174" t="str">
            <v>JPMC_Project Bloom Digital Engineering</v>
          </cell>
          <cell r="H7174">
            <v>5045232</v>
          </cell>
          <cell r="AK7174" t="str">
            <v>Ajay Kumar Upadhyay</v>
          </cell>
        </row>
        <row r="7175">
          <cell r="C7175" t="str">
            <v>GS AMD 2022 - SOW 159 and 160</v>
          </cell>
          <cell r="H7175">
            <v>5045190</v>
          </cell>
          <cell r="AK7175" t="str">
            <v>Parul Chowdhry</v>
          </cell>
        </row>
        <row r="7176">
          <cell r="C7176" t="str">
            <v>Americas Leading Finance_RAS</v>
          </cell>
          <cell r="H7176">
            <v>5045228</v>
          </cell>
          <cell r="AK7176" t="str">
            <v>Travis Peraza</v>
          </cell>
        </row>
        <row r="7177">
          <cell r="C7177" t="str">
            <v>MS_ISG_ISGPO_ISGPO 2022</v>
          </cell>
          <cell r="H7177">
            <v>5044840</v>
          </cell>
          <cell r="AK7177" t="str">
            <v>Ruben Sooriya</v>
          </cell>
        </row>
        <row r="7178">
          <cell r="C7178" t="str">
            <v>MS_ISG_Finance PM 2022</v>
          </cell>
          <cell r="H7178">
            <v>5044822</v>
          </cell>
          <cell r="AK7178" t="str">
            <v>Ruben Sooriya</v>
          </cell>
        </row>
        <row r="7179">
          <cell r="C7179" t="str">
            <v>MS_WM_Ops_Knowledge Management 2022 Apr-Dec</v>
          </cell>
          <cell r="H7179">
            <v>5044861</v>
          </cell>
          <cell r="AK7179" t="str">
            <v>Raymond Ortiz II</v>
          </cell>
        </row>
        <row r="7180">
          <cell r="C7180" t="str">
            <v>DB-PB-WLT-IT-Wealth Core Platform - Finance and Tax_Ext3</v>
          </cell>
          <cell r="H7180">
            <v>5045162</v>
          </cell>
          <cell r="AK7180" t="str">
            <v>Ruby Cherian</v>
          </cell>
        </row>
        <row r="7181">
          <cell r="C7181" t="str">
            <v>MS_WM_Integration_Etrade 2022</v>
          </cell>
          <cell r="H7181">
            <v>5044941</v>
          </cell>
          <cell r="AK7181" t="str">
            <v>Dan Schutzman</v>
          </cell>
        </row>
        <row r="7182">
          <cell r="C7182" t="str">
            <v>MS_WM_Ops_Tax and Client Reporting 2022 Q2-Q4</v>
          </cell>
          <cell r="H7182">
            <v>5044843</v>
          </cell>
          <cell r="AK7182" t="str">
            <v>Raymond Ortiz II</v>
          </cell>
        </row>
        <row r="7183">
          <cell r="C7183" t="str">
            <v>MS_WM_S&amp;A 2022 Apr-Dec</v>
          </cell>
          <cell r="H7183">
            <v>5045085</v>
          </cell>
          <cell r="AK7183" t="str">
            <v>Dan Schutzman</v>
          </cell>
        </row>
        <row r="7184">
          <cell r="C7184" t="str">
            <v>MSWM_Investment Platforms_AI Support 2022</v>
          </cell>
          <cell r="H7184">
            <v>5044827</v>
          </cell>
          <cell r="AK7184" t="str">
            <v>Dan Schutzman</v>
          </cell>
        </row>
        <row r="7185">
          <cell r="C7185" t="str">
            <v>MS_WM_S and A_Advisory Trading 2022 Apr-Dec</v>
          </cell>
          <cell r="H7185">
            <v>5044858</v>
          </cell>
          <cell r="AK7185" t="str">
            <v>Dan Schutzman</v>
          </cell>
        </row>
        <row r="7186">
          <cell r="C7186" t="str">
            <v>Clear Mount-FLSA 2022</v>
          </cell>
          <cell r="H7186">
            <v>5044836</v>
          </cell>
          <cell r="AK7186" t="str">
            <v>Gail Rassler</v>
          </cell>
        </row>
        <row r="7187">
          <cell r="C7187" t="str">
            <v>MS_ETRADE_Merger Integration Office 2022</v>
          </cell>
          <cell r="H7187">
            <v>5044864</v>
          </cell>
          <cell r="AK7187" t="str">
            <v>Dan Schutzman</v>
          </cell>
        </row>
        <row r="7188">
          <cell r="C7188" t="str">
            <v>MS_WM_CIS_eTrade Analytical Support Apr-Dec</v>
          </cell>
          <cell r="H7188">
            <v>5044835</v>
          </cell>
          <cell r="AK7188" t="str">
            <v>Raymond Ortiz II</v>
          </cell>
        </row>
        <row r="7189">
          <cell r="C7189" t="str">
            <v>MS TTRO Team  extension - Apr - Dec 2022</v>
          </cell>
          <cell r="H7189">
            <v>5044824</v>
          </cell>
          <cell r="AK7189" t="str">
            <v>Salim Modi</v>
          </cell>
        </row>
        <row r="7190">
          <cell r="C7190" t="str">
            <v>MS_WM UAT OBM 2022 Apr-Dec</v>
          </cell>
          <cell r="H7190">
            <v>5044823</v>
          </cell>
          <cell r="AK7190" t="str">
            <v>Balaji Ramamurthy</v>
          </cell>
        </row>
        <row r="7191">
          <cell r="C7191" t="str">
            <v>Unqork UX Design 2022 (Q2)</v>
          </cell>
          <cell r="H7191">
            <v>5045182</v>
          </cell>
          <cell r="AK7191" t="str">
            <v>Frantz Casimir</v>
          </cell>
        </row>
        <row r="7192">
          <cell r="C7192" t="str">
            <v>Summit Compliance Reviews and Assessments</v>
          </cell>
          <cell r="H7192">
            <v>5044873</v>
          </cell>
          <cell r="AK7192" t="str">
            <v>Kristina Slattery</v>
          </cell>
        </row>
        <row r="7193">
          <cell r="C7193" t="str">
            <v>SEIU_CDE PM and Process v3</v>
          </cell>
          <cell r="H7193">
            <v>5041513</v>
          </cell>
          <cell r="AK7193" t="str">
            <v>Eric Fairchild</v>
          </cell>
        </row>
        <row r="7194">
          <cell r="C7194" t="str">
            <v>Customers Bank_RAS</v>
          </cell>
          <cell r="H7194">
            <v>5045167</v>
          </cell>
          <cell r="AK7194" t="str">
            <v>Diane Banks</v>
          </cell>
        </row>
        <row r="7195">
          <cell r="C7195" t="str">
            <v>SVB_164-IT-BP- PMO&amp;Tech Leads Ext</v>
          </cell>
          <cell r="H7195">
            <v>5042067</v>
          </cell>
          <cell r="AK7195" t="str">
            <v>Karl Augenstein</v>
          </cell>
        </row>
        <row r="7196">
          <cell r="C7196" t="str">
            <v>SVB_Data_Governance, Policies and Controls</v>
          </cell>
          <cell r="H7196">
            <v>5045333</v>
          </cell>
          <cell r="AK7196" t="str">
            <v>Nate Walton</v>
          </cell>
        </row>
        <row r="7197">
          <cell r="C7197" t="str">
            <v>SVB_Data_EVD_BGP_Cards</v>
          </cell>
          <cell r="H7197">
            <v>5045062</v>
          </cell>
          <cell r="AK7197" t="str">
            <v>Christopher Tecchio</v>
          </cell>
        </row>
        <row r="7198">
          <cell r="C7198" t="str">
            <v>SVB_Product Sales Ext</v>
          </cell>
          <cell r="H7198">
            <v>5045388</v>
          </cell>
          <cell r="AK7198" t="str">
            <v>Nate Walton</v>
          </cell>
        </row>
        <row r="7199">
          <cell r="C7199" t="str">
            <v>MS_ISG_India_Bangalore 2022 Apr-Dec</v>
          </cell>
          <cell r="H7199">
            <v>5044983</v>
          </cell>
          <cell r="AK7199" t="str">
            <v>Ruben Sooriya</v>
          </cell>
        </row>
        <row r="7200">
          <cell r="C7200" t="str">
            <v>DB-PB-WLT-IT-Wealth Core Platform Program Lead</v>
          </cell>
          <cell r="H7200">
            <v>5045191</v>
          </cell>
          <cell r="AK7200" t="str">
            <v>Ruby Cherian</v>
          </cell>
        </row>
        <row r="7201">
          <cell r="C7201" t="str">
            <v>SVB_P&amp;T Projects Extension</v>
          </cell>
          <cell r="H7201">
            <v>5045143</v>
          </cell>
          <cell r="AK7201" t="str">
            <v>Chinmoy Bhatiya</v>
          </cell>
        </row>
        <row r="7202">
          <cell r="C7202" t="str">
            <v>SEIU_HBT PM 2022 Ph1</v>
          </cell>
          <cell r="H7202">
            <v>5045206</v>
          </cell>
          <cell r="AK7202" t="str">
            <v>Eric Fairchild</v>
          </cell>
        </row>
        <row r="7203">
          <cell r="C7203" t="str">
            <v>SVB_Portfolio Management Delivery Ext</v>
          </cell>
          <cell r="H7203">
            <v>5045142</v>
          </cell>
          <cell r="AK7203" t="str">
            <v>Karl Augenstein</v>
          </cell>
        </row>
        <row r="7204">
          <cell r="C7204" t="str">
            <v>SVB Tech Strategy Panel Support Ext</v>
          </cell>
          <cell r="H7204">
            <v>5045332</v>
          </cell>
          <cell r="AK7204" t="str">
            <v>Nate Walton</v>
          </cell>
        </row>
        <row r="7205">
          <cell r="C7205" t="str">
            <v>Broadridge WMAP 2022 - Neha P &amp; Dinesh R</v>
          </cell>
          <cell r="H7205">
            <v>5045168</v>
          </cell>
          <cell r="AK7205" t="str">
            <v>Devyani Patel</v>
          </cell>
        </row>
        <row r="7206">
          <cell r="C7206" t="str">
            <v>FrMc_ILM Q2</v>
          </cell>
          <cell r="H7206">
            <v>5044206</v>
          </cell>
          <cell r="AK7206" t="str">
            <v>Thadi Murali</v>
          </cell>
        </row>
        <row r="7207">
          <cell r="C7207" t="str">
            <v>SVB_R-Hold OCM Support Extension</v>
          </cell>
          <cell r="H7207">
            <v>5044919</v>
          </cell>
          <cell r="AK7207" t="str">
            <v>Andrew Radka</v>
          </cell>
        </row>
        <row r="7208">
          <cell r="C7208" t="str">
            <v>MS_Alvin_Integration_Risk_COO_April 2022</v>
          </cell>
          <cell r="H7208">
            <v>5044840</v>
          </cell>
          <cell r="AK7208" t="str">
            <v>Ruben Sooriya</v>
          </cell>
        </row>
        <row r="7209">
          <cell r="C7209" t="str">
            <v>WF_RCSA</v>
          </cell>
          <cell r="H7209">
            <v>5043955</v>
          </cell>
          <cell r="AK7209" t="str">
            <v>Victor Bejarano</v>
          </cell>
        </row>
        <row r="7210">
          <cell r="C7210" t="str">
            <v>Key IB p2 EXT</v>
          </cell>
          <cell r="H7210">
            <v>5044427</v>
          </cell>
          <cell r="AK7210" t="str">
            <v>Marisa DeVincentis</v>
          </cell>
        </row>
        <row r="7211">
          <cell r="C7211" t="str">
            <v>JEF_Madison - II Campaign BA Q2 2022 Ext</v>
          </cell>
          <cell r="H7211">
            <v>5045354</v>
          </cell>
          <cell r="AK7211" t="str">
            <v>Aoife Hogan</v>
          </cell>
        </row>
        <row r="7212">
          <cell r="C7212" t="str">
            <v>EGM_Truist&amp;Amex Support - 2022</v>
          </cell>
          <cell r="H7212">
            <v>5045270</v>
          </cell>
          <cell r="AK7212" t="str">
            <v>Brett Knickle</v>
          </cell>
        </row>
        <row r="7213">
          <cell r="C7213" t="str">
            <v>Erie FCU_MQC 22-23</v>
          </cell>
          <cell r="H7213">
            <v>5045966</v>
          </cell>
          <cell r="AK7213" t="str">
            <v>Christian Maier</v>
          </cell>
        </row>
        <row r="7214">
          <cell r="C7214" t="str">
            <v>LA Financial Federal Credit Union</v>
          </cell>
          <cell r="H7214">
            <v>5045965</v>
          </cell>
          <cell r="AK7214" t="str">
            <v>Keith Cole</v>
          </cell>
        </row>
        <row r="7215">
          <cell r="C7215" t="str">
            <v>MECU_MQC 22-23</v>
          </cell>
          <cell r="H7215">
            <v>5045652</v>
          </cell>
          <cell r="AK7215" t="str">
            <v>Christian Maier</v>
          </cell>
        </row>
        <row r="7216">
          <cell r="C7216" t="str">
            <v>Federated Lending_MQC 22-23</v>
          </cell>
          <cell r="H7216">
            <v>5046154</v>
          </cell>
          <cell r="AK7216" t="str">
            <v>Christian Maier</v>
          </cell>
        </row>
        <row r="7217">
          <cell r="C7217" t="str">
            <v>Poca Valley Bank MQC 22-23</v>
          </cell>
          <cell r="H7217">
            <v>5045651</v>
          </cell>
          <cell r="AK7217" t="str">
            <v>Christian Maier</v>
          </cell>
        </row>
        <row r="7218">
          <cell r="C7218" t="str">
            <v>Penn East FCU_MQC 22-23</v>
          </cell>
          <cell r="H7218">
            <v>5047065</v>
          </cell>
          <cell r="AK7218" t="str">
            <v>Keith Cole</v>
          </cell>
        </row>
        <row r="7219">
          <cell r="C7219" t="str">
            <v>Revantage_testing P1</v>
          </cell>
          <cell r="H7219">
            <v>5045164</v>
          </cell>
          <cell r="AK7219" t="str">
            <v>Nick Hufford</v>
          </cell>
        </row>
        <row r="7220">
          <cell r="C7220" t="str">
            <v>MS HR Data Governance</v>
          </cell>
          <cell r="H7220">
            <v>5045088</v>
          </cell>
          <cell r="AK7220" t="str">
            <v>Gwen Long</v>
          </cell>
        </row>
        <row r="7221">
          <cell r="C7221" t="str">
            <v>BNY_Liquidity Orchestrator - Dashboard Review</v>
          </cell>
          <cell r="H7221">
            <v>5044429</v>
          </cell>
          <cell r="AK7221" t="str">
            <v>Grzegorz Walukanis</v>
          </cell>
        </row>
        <row r="7222">
          <cell r="C7222" t="str">
            <v>SVB – Delivery Excellence Maturity Assessment</v>
          </cell>
          <cell r="H7222">
            <v>5045331</v>
          </cell>
          <cell r="AK7222" t="str">
            <v>Andrew Radka</v>
          </cell>
        </row>
        <row r="7223">
          <cell r="C7223" t="str">
            <v>Aspen Azure Technical Lead</v>
          </cell>
          <cell r="H7223">
            <v>5045193</v>
          </cell>
          <cell r="AK7223" t="str">
            <v>Stephen Brown</v>
          </cell>
        </row>
        <row r="7224">
          <cell r="C7224" t="str">
            <v>Cetera - DevOps CR#1</v>
          </cell>
          <cell r="H7224">
            <v>5043385</v>
          </cell>
          <cell r="AK7224" t="str">
            <v>Scott Jurgensen</v>
          </cell>
        </row>
        <row r="7225">
          <cell r="C7225" t="str">
            <v>EGM - Truist Dev Delivery 2022 Q2</v>
          </cell>
          <cell r="H7225">
            <v>5044345</v>
          </cell>
          <cell r="AK7225" t="str">
            <v>Brett Knickle</v>
          </cell>
        </row>
        <row r="7226">
          <cell r="C7226" t="str">
            <v>MM Strategic Distribution - Training</v>
          </cell>
          <cell r="H7226">
            <v>5043578</v>
          </cell>
          <cell r="AK7226" t="str">
            <v>Gordon Lunsford</v>
          </cell>
        </row>
        <row r="7227">
          <cell r="C7227" t="str">
            <v>MS IIS Branch Buildout_Additional PMO</v>
          </cell>
          <cell r="H7227">
            <v>5044876</v>
          </cell>
          <cell r="AK7227" t="str">
            <v>Dan Schutzman</v>
          </cell>
        </row>
        <row r="7228">
          <cell r="C7228" t="str">
            <v>Markets Surveillance Extension</v>
          </cell>
          <cell r="H7228">
            <v>5045244</v>
          </cell>
          <cell r="AK7228" t="str">
            <v>Matthew Rodgers</v>
          </cell>
        </row>
        <row r="7229">
          <cell r="C7229" t="str">
            <v>SWIFT_ISO BA/PM</v>
          </cell>
          <cell r="H7229">
            <v>5044429</v>
          </cell>
          <cell r="AK7229" t="str">
            <v>Grzegorz Walukanis</v>
          </cell>
        </row>
        <row r="7230">
          <cell r="C7230" t="str">
            <v>JEF_OneJef Decommission BA</v>
          </cell>
          <cell r="H7230">
            <v>5045082</v>
          </cell>
          <cell r="AK7230" t="str">
            <v>Aoife Hogan</v>
          </cell>
        </row>
        <row r="7231">
          <cell r="C7231" t="str">
            <v>Natixis - Interim CISO</v>
          </cell>
          <cell r="H7231">
            <v>5045315</v>
          </cell>
          <cell r="AK7231" t="str">
            <v>Arthur Nazzaro</v>
          </cell>
        </row>
        <row r="7232">
          <cell r="C7232" t="str">
            <v>MVB Bank - Digital Banking Risk Assessment</v>
          </cell>
          <cell r="H7232">
            <v>5045172</v>
          </cell>
          <cell r="AK7232" t="str">
            <v>Robert Farmer</v>
          </cell>
        </row>
        <row r="7233">
          <cell r="C7233" t="str">
            <v>UMR Phase 6 Implementation Assistance - Citizens Bank</v>
          </cell>
          <cell r="H7233">
            <v>5045304</v>
          </cell>
          <cell r="AK7233" t="str">
            <v>Sri Nonabur Srinivasamurthy</v>
          </cell>
        </row>
        <row r="7234">
          <cell r="C7234" t="str">
            <v>SVB Trade Finance Org Strategy</v>
          </cell>
          <cell r="H7234">
            <v>5045319</v>
          </cell>
          <cell r="AK7234" t="str">
            <v>Nate Walton</v>
          </cell>
        </row>
        <row r="7235">
          <cell r="C7235" t="str">
            <v>envision bank RAS</v>
          </cell>
          <cell r="H7235">
            <v>5045320</v>
          </cell>
          <cell r="AK7235" t="str">
            <v>Travis Peraza</v>
          </cell>
        </row>
        <row r="7236">
          <cell r="C7236" t="str">
            <v>BNPP - Cyber Resilience Strategy</v>
          </cell>
          <cell r="H7236">
            <v>5045410</v>
          </cell>
          <cell r="AK7236" t="str">
            <v>Daniel Holness</v>
          </cell>
        </row>
        <row r="7237">
          <cell r="C7237" t="str">
            <v>Gilded_Global FinTech 3.0 Planning and Execution WO #3</v>
          </cell>
          <cell r="H7237">
            <v>5044156</v>
          </cell>
          <cell r="AK7237" t="str">
            <v>Grzegorz Walukanis</v>
          </cell>
        </row>
        <row r="7238">
          <cell r="C7238" t="str">
            <v>SVB_Enterprise Architecture Analysis</v>
          </cell>
          <cell r="H7238">
            <v>5045314</v>
          </cell>
          <cell r="AK7238" t="str">
            <v>Nate Walton</v>
          </cell>
        </row>
        <row r="7239">
          <cell r="C7239" t="str">
            <v>SVB Payments Strategy</v>
          </cell>
          <cell r="H7239">
            <v>5045298</v>
          </cell>
          <cell r="AK7239" t="str">
            <v>Nate Walton</v>
          </cell>
        </row>
        <row r="7240">
          <cell r="C7240" t="str">
            <v>Independent Bank_Deposit RA</v>
          </cell>
          <cell r="H7240">
            <v>5045295</v>
          </cell>
          <cell r="AK7240" t="str">
            <v>Jigisha Patel</v>
          </cell>
        </row>
        <row r="7241">
          <cell r="C7241" t="str">
            <v>HSL Project Management Support</v>
          </cell>
          <cell r="H7241">
            <v>5043898</v>
          </cell>
          <cell r="AK7241" t="str">
            <v>Eric Fairchild</v>
          </cell>
        </row>
        <row r="7242">
          <cell r="C7242" t="str">
            <v>ION Implementation Extension 1</v>
          </cell>
          <cell r="H7242">
            <v>5045306</v>
          </cell>
          <cell r="AK7242" t="str">
            <v>Christina Artieda</v>
          </cell>
        </row>
        <row r="7243">
          <cell r="C7243" t="str">
            <v>JEF_Madison - Analytics and Business Intelligence UX Designer</v>
          </cell>
          <cell r="H7243">
            <v>5045448</v>
          </cell>
          <cell r="AK7243" t="str">
            <v>Aoife Hogan</v>
          </cell>
        </row>
        <row r="7244">
          <cell r="C7244" t="str">
            <v>Celonis Expansion</v>
          </cell>
          <cell r="H7244">
            <v>5045353</v>
          </cell>
          <cell r="AK7244" t="str">
            <v>Charu Mehta</v>
          </cell>
        </row>
        <row r="7245">
          <cell r="C7245" t="str">
            <v>BSA Independent Test</v>
          </cell>
          <cell r="H7245">
            <v>5044938</v>
          </cell>
          <cell r="AK7245" t="str">
            <v>William Sachs</v>
          </cell>
        </row>
        <row r="7246">
          <cell r="C7246" t="str">
            <v>Commonbond Data Feed</v>
          </cell>
          <cell r="H7246">
            <v>5045330</v>
          </cell>
          <cell r="AK7246" t="str">
            <v>Leah Robinson</v>
          </cell>
        </row>
        <row r="7247">
          <cell r="C7247" t="str">
            <v>SVB Gateway Service Designer addition</v>
          </cell>
          <cell r="H7247">
            <v>5045421</v>
          </cell>
          <cell r="AK7247" t="str">
            <v>Nate Walton</v>
          </cell>
        </row>
        <row r="7248">
          <cell r="C7248" t="str">
            <v>HSBC-DBS-OCC Remediation IT Program (BA)</v>
          </cell>
          <cell r="H7248">
            <v>5045386</v>
          </cell>
          <cell r="AK7248" t="str">
            <v>Rahul Govada</v>
          </cell>
        </row>
        <row r="7249">
          <cell r="C7249" t="str">
            <v>Pricing Schedule Review</v>
          </cell>
          <cell r="H7249">
            <v>5045411</v>
          </cell>
          <cell r="AK7249" t="str">
            <v>Matthew Rodgers</v>
          </cell>
        </row>
        <row r="7250">
          <cell r="C7250" t="str">
            <v>BMO 2052a reg support</v>
          </cell>
          <cell r="H7250">
            <v>5045389</v>
          </cell>
          <cell r="AK7250" t="str">
            <v>Eric Glaas</v>
          </cell>
        </row>
        <row r="7251">
          <cell r="C7251" t="str">
            <v>SVB_BP Data Governance CO1</v>
          </cell>
          <cell r="H7251">
            <v>5045377</v>
          </cell>
          <cell r="AK7251" t="str">
            <v>Todd Bronshtein</v>
          </cell>
        </row>
        <row r="7252">
          <cell r="C7252" t="str">
            <v>Sandy Springs BSA Alert Clearing</v>
          </cell>
          <cell r="H7252">
            <v>5045322</v>
          </cell>
          <cell r="AK7252" t="str">
            <v>Patrice Nye</v>
          </cell>
        </row>
        <row r="7253">
          <cell r="C7253" t="str">
            <v>FrMc_EDO ILM - SOW 6648-01</v>
          </cell>
          <cell r="H7253">
            <v>5044756</v>
          </cell>
          <cell r="AK7253" t="str">
            <v>Thadi Murali</v>
          </cell>
        </row>
        <row r="7254">
          <cell r="C7254" t="str">
            <v>MS_ISG_COO_PM</v>
          </cell>
          <cell r="H7254">
            <v>5044840</v>
          </cell>
          <cell r="AK7254" t="str">
            <v>Ruben Sooriya</v>
          </cell>
        </row>
        <row r="7255">
          <cell r="C7255" t="str">
            <v>SVB_Data Governance Risk&amp;Compliance Addition</v>
          </cell>
          <cell r="H7255">
            <v>5045341</v>
          </cell>
          <cell r="AK7255" t="str">
            <v>Parvez Shaikh</v>
          </cell>
        </row>
        <row r="7256">
          <cell r="C7256" t="str">
            <v>Nassau_Senior PM Support</v>
          </cell>
          <cell r="H7256">
            <v>5045249</v>
          </cell>
          <cell r="AK7256" t="str">
            <v>Eric Fairchild</v>
          </cell>
        </row>
        <row r="7257">
          <cell r="C7257" t="str">
            <v>Amalgamated Trust EWRA</v>
          </cell>
          <cell r="H7257">
            <v>5045434</v>
          </cell>
          <cell r="AK7257" t="str">
            <v>David Stalnaker</v>
          </cell>
        </row>
        <row r="7258">
          <cell r="C7258" t="str">
            <v>MM Strategic Distribution - Annuity Lead</v>
          </cell>
          <cell r="H7258">
            <v>5043578</v>
          </cell>
          <cell r="AK7258" t="str">
            <v>Gordon Lunsford</v>
          </cell>
        </row>
        <row r="7259">
          <cell r="C7259" t="str">
            <v>Business Management Support Q2 Ext</v>
          </cell>
          <cell r="H7259">
            <v>5044609</v>
          </cell>
          <cell r="AK7259" t="str">
            <v>Erik Johnson</v>
          </cell>
        </row>
        <row r="7260">
          <cell r="C7260" t="str">
            <v>SVB Catalyst Ops. and Servicing Transformation</v>
          </cell>
          <cell r="H7260">
            <v>5045423</v>
          </cell>
          <cell r="AK7260" t="str">
            <v>Natacha Garcia</v>
          </cell>
        </row>
        <row r="7261">
          <cell r="C7261" t="str">
            <v>PPGB BSA Model Validation</v>
          </cell>
          <cell r="H7261">
            <v>5045247</v>
          </cell>
          <cell r="AK7261" t="str">
            <v>Aiswarya Parameswaran</v>
          </cell>
        </row>
        <row r="7262">
          <cell r="C7262" t="str">
            <v>FrMc_ICM ETPI Product Tracker</v>
          </cell>
          <cell r="H7262">
            <v>5045368</v>
          </cell>
          <cell r="AK7262" t="str">
            <v>Jeliaz Chtilianov</v>
          </cell>
        </row>
        <row r="7263">
          <cell r="C7263" t="str">
            <v>BBA_MSC HMDA_MQC 22-23</v>
          </cell>
          <cell r="H7263">
            <v>5045523</v>
          </cell>
          <cell r="AK7263" t="str">
            <v>Juan Pimentel</v>
          </cell>
        </row>
        <row r="7264">
          <cell r="C7264" t="str">
            <v>Arthur State Bank CMS</v>
          </cell>
          <cell r="H7264">
            <v>5045420</v>
          </cell>
          <cell r="AK7264" t="str">
            <v>Amanda Pickering</v>
          </cell>
        </row>
        <row r="7265">
          <cell r="C7265" t="str">
            <v>SVB_R-Hold OCM Support Additional Extension</v>
          </cell>
          <cell r="H7265">
            <v>5045452</v>
          </cell>
          <cell r="AK7265" t="str">
            <v>Nate Walton</v>
          </cell>
        </row>
        <row r="7266">
          <cell r="C7266" t="str">
            <v>DB-CAO-INV-BS-Fair Lending RA</v>
          </cell>
          <cell r="H7266">
            <v>5043071</v>
          </cell>
          <cell r="AK7266" t="str">
            <v>Leigh Tribou</v>
          </cell>
        </row>
        <row r="7267">
          <cell r="C7267" t="str">
            <v>Unified Bank</v>
          </cell>
          <cell r="H7267">
            <v>5044324</v>
          </cell>
          <cell r="AK7267" t="str">
            <v>Robert Farmer</v>
          </cell>
        </row>
        <row r="7268">
          <cell r="C7268" t="str">
            <v>Citi-ICG 2022 Data Lineage - May-July Extension (UK and US)</v>
          </cell>
          <cell r="H7268">
            <v>5045526</v>
          </cell>
          <cell r="AK7268" t="str">
            <v>Thomas Evans</v>
          </cell>
        </row>
        <row r="7269">
          <cell r="C7269" t="str">
            <v>SVB LFI-CECL Reporting</v>
          </cell>
          <cell r="H7269">
            <v>5045588</v>
          </cell>
          <cell r="AK7269" t="str">
            <v>Kyle Marynowski</v>
          </cell>
        </row>
        <row r="7270">
          <cell r="C7270" t="str">
            <v>Citi Finance Data Strategy &amp; Issue Management</v>
          </cell>
          <cell r="H7270">
            <v>5045547</v>
          </cell>
          <cell r="AK7270" t="str">
            <v>Gregg Henzel</v>
          </cell>
        </row>
        <row r="7271">
          <cell r="C7271" t="str">
            <v>Peapack Gladstone CMS</v>
          </cell>
          <cell r="H7271">
            <v>5045561</v>
          </cell>
          <cell r="AK7271" t="str">
            <v>Gail Rassler</v>
          </cell>
        </row>
        <row r="7272">
          <cell r="C7272" t="str">
            <v>Dime Bank Extension of Project Code 5043450</v>
          </cell>
          <cell r="H7272">
            <v>5043450</v>
          </cell>
          <cell r="AK7272" t="str">
            <v>Lawana Clark</v>
          </cell>
        </row>
        <row r="7273">
          <cell r="C7273" t="str">
            <v>SVB_PMO Stand Up and Support</v>
          </cell>
          <cell r="H7273">
            <v>5045551</v>
          </cell>
          <cell r="AK7273" t="str">
            <v>Michelle Fambro</v>
          </cell>
        </row>
        <row r="7274">
          <cell r="C7274" t="str">
            <v>WSFS Additional Compliance Reviews</v>
          </cell>
          <cell r="H7274">
            <v>5045393</v>
          </cell>
          <cell r="AK7274" t="str">
            <v>Gail Rassler</v>
          </cell>
        </row>
        <row r="7275">
          <cell r="C7275" t="str">
            <v>WSFS 2022 Compliance and FL Reviews</v>
          </cell>
          <cell r="H7275">
            <v>5044945</v>
          </cell>
          <cell r="AK7275" t="str">
            <v>Gail Rassler</v>
          </cell>
        </row>
        <row r="7276">
          <cell r="C7276" t="str">
            <v>Citi Finance Data Strategy &amp; Issue Management</v>
          </cell>
          <cell r="H7276">
            <v>5045547</v>
          </cell>
          <cell r="AK7276" t="str">
            <v>Gregg Henzel</v>
          </cell>
        </row>
        <row r="7277">
          <cell r="C7277" t="str">
            <v>SEIU_MyBenefits Resources Support Ph 3</v>
          </cell>
          <cell r="H7277">
            <v>5041827</v>
          </cell>
          <cell r="AK7277" t="str">
            <v>Eric Fairchild</v>
          </cell>
        </row>
        <row r="7278">
          <cell r="C7278" t="str">
            <v>Citi-ICG 2022 Data Tracing - May-July Extension</v>
          </cell>
          <cell r="H7278">
            <v>5044976</v>
          </cell>
          <cell r="AK7278" t="str">
            <v>Helen Needham</v>
          </cell>
        </row>
        <row r="7279">
          <cell r="C7279" t="str">
            <v>CNB Application Analyst Ext</v>
          </cell>
          <cell r="H7279">
            <v>5043020</v>
          </cell>
          <cell r="AK7279" t="str">
            <v>Betsy Cherian</v>
          </cell>
        </row>
        <row r="7280">
          <cell r="C7280" t="str">
            <v>SEIU_PM Support for TP BT70v4 pt 4</v>
          </cell>
          <cell r="H7280">
            <v>5041893</v>
          </cell>
          <cell r="AK7280" t="str">
            <v>Eric Fairchild</v>
          </cell>
        </row>
        <row r="7281">
          <cell r="C7281" t="str">
            <v>Key Process AMD 4</v>
          </cell>
          <cell r="H7281">
            <v>5042840</v>
          </cell>
          <cell r="AK7281" t="str">
            <v>Samuel Awsumb</v>
          </cell>
        </row>
        <row r="7282">
          <cell r="C7282" t="str">
            <v>Freddie Resolution Planning Staff (SA)</v>
          </cell>
          <cell r="H7282">
            <v>5045494</v>
          </cell>
          <cell r="AK7282" t="str">
            <v>Michael Mathew</v>
          </cell>
        </row>
        <row r="7283">
          <cell r="C7283" t="str">
            <v>Jeff_Reg IM Day 2 PM</v>
          </cell>
          <cell r="H7283">
            <v>5045449</v>
          </cell>
          <cell r="AK7283" t="str">
            <v>Julia Simmons</v>
          </cell>
        </row>
        <row r="7284">
          <cell r="C7284" t="str">
            <v>Citi FRMT Aqua - NXB-FRM-CPC-2022 - TO-005 (NA Only May - June)</v>
          </cell>
          <cell r="H7284">
            <v>5045441</v>
          </cell>
          <cell r="AK7284" t="str">
            <v>Ervinas Janavicius</v>
          </cell>
        </row>
        <row r="7285">
          <cell r="C7285" t="str">
            <v>Citi FRMT Aqua - NXB-FRM-CPC-2022 - TO-004 (EJ Only May - Sep)</v>
          </cell>
          <cell r="H7285">
            <v>5045443</v>
          </cell>
          <cell r="AK7285" t="str">
            <v>Ervinas Janavicius</v>
          </cell>
        </row>
        <row r="7286">
          <cell r="C7286" t="str">
            <v>Customers PPP Fraud Support</v>
          </cell>
          <cell r="H7286">
            <v>5045432</v>
          </cell>
          <cell r="AK7286" t="str">
            <v>Charles Lynn Piper</v>
          </cell>
        </row>
        <row r="7287">
          <cell r="C7287" t="str">
            <v>Citi FRMT Aqua - NXB-FRM-CPC-2022 - TO-003 (India Team Only May - Dec)</v>
          </cell>
          <cell r="H7287">
            <v>5045442</v>
          </cell>
          <cell r="AK7287" t="str">
            <v>Ervinas Janavicius</v>
          </cell>
        </row>
        <row r="7288">
          <cell r="C7288" t="str">
            <v>PB HMDA Reviews 2022</v>
          </cell>
          <cell r="H7288">
            <v>5047079</v>
          </cell>
          <cell r="AK7288" t="str">
            <v>Juan Pimentel</v>
          </cell>
        </row>
        <row r="7289">
          <cell r="C7289" t="str">
            <v>Surveillance Wrap Up</v>
          </cell>
          <cell r="H7289">
            <v>5045364</v>
          </cell>
          <cell r="AK7289" t="str">
            <v>Matthew Rodgers</v>
          </cell>
        </row>
        <row r="7290">
          <cell r="C7290" t="str">
            <v>JEF_Madison - GM BI Dashboards Offshore Data Engineer</v>
          </cell>
          <cell r="H7290">
            <v>5045665</v>
          </cell>
          <cell r="AK7290" t="str">
            <v>Aoife Hogan</v>
          </cell>
        </row>
        <row r="7291">
          <cell r="C7291" t="str">
            <v>CFTC Rule Re-Write</v>
          </cell>
          <cell r="H7291">
            <v>5045269</v>
          </cell>
          <cell r="AK7291" t="str">
            <v>Matthew Rodgers</v>
          </cell>
        </row>
        <row r="7292">
          <cell r="C7292" t="str">
            <v>Pru_Group Tech Ins(Pod 2 -  Orlando)</v>
          </cell>
          <cell r="H7292">
            <v>5045495</v>
          </cell>
          <cell r="AK7292" t="str">
            <v>John Rowell</v>
          </cell>
        </row>
        <row r="7293">
          <cell r="C7293" t="str">
            <v>Issue Management</v>
          </cell>
          <cell r="H7293">
            <v>5043883</v>
          </cell>
          <cell r="AK7293" t="str">
            <v>Boris Mallet</v>
          </cell>
        </row>
        <row r="7294">
          <cell r="C7294" t="str">
            <v>SSI Technical BA</v>
          </cell>
          <cell r="H7294">
            <v>5045529</v>
          </cell>
          <cell r="AK7294" t="str">
            <v>Lance Rhodes</v>
          </cell>
        </row>
        <row r="7295">
          <cell r="C7295" t="str">
            <v>Fixed Income Compliance Support_Two Month Extension</v>
          </cell>
          <cell r="H7295">
            <v>5045422</v>
          </cell>
          <cell r="AK7295" t="str">
            <v>Matthew Rodgers</v>
          </cell>
        </row>
        <row r="7296">
          <cell r="C7296" t="str">
            <v>UB_116 TO4_Symphony SP-059_Ext 1</v>
          </cell>
          <cell r="H7296">
            <v>5044818</v>
          </cell>
          <cell r="AK7296" t="str">
            <v>Samuel Awsumb</v>
          </cell>
        </row>
        <row r="7297">
          <cell r="C7297" t="str">
            <v>Natixis_Vulnerability Operationalization</v>
          </cell>
          <cell r="H7297">
            <v>5045809</v>
          </cell>
          <cell r="AK7297" t="str">
            <v>Boris Mallet</v>
          </cell>
        </row>
        <row r="7298">
          <cell r="C7298" t="str">
            <v>UB_116 TO3_Symphony SP-040 Ext 1</v>
          </cell>
          <cell r="H7298">
            <v>5044537</v>
          </cell>
          <cell r="AK7298" t="str">
            <v>Samuel Awsumb</v>
          </cell>
        </row>
        <row r="7299">
          <cell r="C7299" t="str">
            <v>UB_116 TO2_Symphony SP-020 Ext 1</v>
          </cell>
          <cell r="H7299">
            <v>5044478</v>
          </cell>
          <cell r="AK7299" t="str">
            <v>Samuel Awsumb</v>
          </cell>
        </row>
        <row r="7300">
          <cell r="C7300" t="str">
            <v>AB - Marketing Email Design Build Test</v>
          </cell>
          <cell r="H7300">
            <v>5045481</v>
          </cell>
          <cell r="AK7300" t="str">
            <v>Douglas Sieg</v>
          </cell>
        </row>
        <row r="7301">
          <cell r="C7301" t="str">
            <v>BlueFCU Digital Sales</v>
          </cell>
          <cell r="H7301">
            <v>5045569</v>
          </cell>
          <cell r="AK7301" t="str">
            <v>Jocelyn Sandberg</v>
          </cell>
        </row>
        <row r="7302">
          <cell r="C7302" t="str">
            <v>First Republic - Retail Lending Process Mining (Phase 1)</v>
          </cell>
          <cell r="H7302">
            <v>5045509</v>
          </cell>
          <cell r="AK7302" t="str">
            <v>Christine Janku</v>
          </cell>
        </row>
        <row r="7303">
          <cell r="C7303" t="str">
            <v>Peapack Gladstone Bank MQC 22-23</v>
          </cell>
          <cell r="H7303">
            <v>5046224</v>
          </cell>
          <cell r="AK7303" t="str">
            <v>Christian Maier</v>
          </cell>
        </row>
        <row r="7304">
          <cell r="C7304" t="str">
            <v>DB-CRB-AS-IT-Automation as a Service Extension of Resources - Rest of year 2022</v>
          </cell>
          <cell r="H7304">
            <v>5045566</v>
          </cell>
          <cell r="AK7304" t="str">
            <v>Conor Hodnett</v>
          </cell>
        </row>
        <row r="7305">
          <cell r="C7305" t="str">
            <v>Open Bank - Channel and Transformation - Phase 1</v>
          </cell>
          <cell r="H7305">
            <v>5045590</v>
          </cell>
          <cell r="AK7305" t="str">
            <v>Dana Schwaeber</v>
          </cell>
        </row>
        <row r="7306">
          <cell r="C7306" t="str">
            <v>Citi ICG Transformation Office</v>
          </cell>
          <cell r="H7306">
            <v>5045444</v>
          </cell>
          <cell r="AK7306" t="str">
            <v>Will Marle</v>
          </cell>
        </row>
        <row r="7307">
          <cell r="C7307" t="str">
            <v>UBS BAU PKR Extn2</v>
          </cell>
          <cell r="H7307">
            <v>5045470</v>
          </cell>
          <cell r="AK7307" t="str">
            <v>Anthony Abruzzo</v>
          </cell>
        </row>
        <row r="7308">
          <cell r="C7308" t="str">
            <v>liquidity Orchestration Extension - PM extension</v>
          </cell>
          <cell r="H7308">
            <v>5044429</v>
          </cell>
          <cell r="AK7308" t="str">
            <v>Grzegorz Walukanis</v>
          </cell>
        </row>
        <row r="7309">
          <cell r="C7309" t="str">
            <v>Svenska Model Validation</v>
          </cell>
          <cell r="H7309">
            <v>5045505</v>
          </cell>
          <cell r="AK7309" t="str">
            <v>Aiswarya Parameswaran</v>
          </cell>
        </row>
        <row r="7310">
          <cell r="C7310" t="str">
            <v>Assurance Compliance Staff Aug Support</v>
          </cell>
          <cell r="H7310">
            <v>5045600</v>
          </cell>
          <cell r="AK7310" t="str">
            <v>Eric Fairchild</v>
          </cell>
        </row>
        <row r="7311">
          <cell r="C7311" t="str">
            <v>Synchrony_RAS</v>
          </cell>
          <cell r="H7311">
            <v>5045577</v>
          </cell>
          <cell r="AK7311" t="str">
            <v>Travis Peraza</v>
          </cell>
        </row>
        <row r="7312">
          <cell r="C7312" t="str">
            <v>Northern Trust - IM Technology Enablement Strategy and Roadmap</v>
          </cell>
          <cell r="H7312">
            <v>5045578</v>
          </cell>
          <cell r="AK7312" t="str">
            <v>Jason Brinberg</v>
          </cell>
        </row>
        <row r="7313">
          <cell r="C7313" t="str">
            <v>Amalgamated Bank Trust Compliance Lookback Review</v>
          </cell>
          <cell r="H7313">
            <v>5045559</v>
          </cell>
          <cell r="AK7313" t="str">
            <v>Robin McConaughey</v>
          </cell>
        </row>
        <row r="7314">
          <cell r="C7314" t="str">
            <v>Net Credit Union_RAS</v>
          </cell>
          <cell r="H7314">
            <v>5045752</v>
          </cell>
          <cell r="AK7314" t="str">
            <v>Diane Banks</v>
          </cell>
        </row>
        <row r="7315">
          <cell r="C7315" t="str">
            <v>DCCU Data Assessment/ BI Roadmap</v>
          </cell>
          <cell r="H7315">
            <v>5045587</v>
          </cell>
          <cell r="AK7315" t="str">
            <v>Charu Mehta</v>
          </cell>
        </row>
        <row r="7316">
          <cell r="C7316" t="str">
            <v>Finxact Battle Bank Integration extention</v>
          </cell>
          <cell r="H7316">
            <v>5045776</v>
          </cell>
          <cell r="AK7316" t="str">
            <v>James Kane</v>
          </cell>
        </row>
        <row r="7317">
          <cell r="C7317" t="str">
            <v>Loan Remediation - Staff Augmentation</v>
          </cell>
          <cell r="H7317">
            <v>5044746</v>
          </cell>
          <cell r="AK7317" t="str">
            <v>Louvera Walden</v>
          </cell>
        </row>
        <row r="7318">
          <cell r="C7318" t="str">
            <v>Outsourced Compliance Officer Ph 2</v>
          </cell>
          <cell r="H7318">
            <v>5044508</v>
          </cell>
          <cell r="AK7318" t="str">
            <v>Eric Fairchild</v>
          </cell>
        </row>
        <row r="7319">
          <cell r="C7319" t="str">
            <v>Battle Bank Bridge Implementation Proposal</v>
          </cell>
          <cell r="H7319">
            <v>5045704</v>
          </cell>
          <cell r="AK7319" t="str">
            <v>James Kane</v>
          </cell>
        </row>
        <row r="7320">
          <cell r="C7320" t="str">
            <v>AUB core team ext</v>
          </cell>
          <cell r="H7320">
            <v>5045589</v>
          </cell>
          <cell r="AK7320" t="str">
            <v>Adrian Ungureanu</v>
          </cell>
        </row>
        <row r="7321">
          <cell r="C7321" t="str">
            <v>Madison Program Office Lead</v>
          </cell>
          <cell r="H7321">
            <v>5045797</v>
          </cell>
          <cell r="AK7321" t="str">
            <v>Aoife Hogan</v>
          </cell>
        </row>
        <row r="7322">
          <cell r="C7322" t="str">
            <v>SYF-Synchrony - Collibra Consulting</v>
          </cell>
          <cell r="H7322">
            <v>5045440</v>
          </cell>
          <cell r="AK7322" t="str">
            <v>John Cahill</v>
          </cell>
        </row>
        <row r="7323">
          <cell r="C7323" t="str">
            <v>Mastercard M+A Staffing</v>
          </cell>
          <cell r="H7323">
            <v>5045576</v>
          </cell>
          <cell r="AK7323" t="str">
            <v>Nitin Raju</v>
          </cell>
        </row>
        <row r="7324">
          <cell r="C7324" t="str">
            <v>WF_IT&amp;V Testing Automation</v>
          </cell>
          <cell r="H7324">
            <v>5045433</v>
          </cell>
          <cell r="AK7324" t="str">
            <v>Adam Rogers</v>
          </cell>
        </row>
        <row r="7325">
          <cell r="C7325" t="str">
            <v>CACIB - Cyber PM</v>
          </cell>
          <cell r="H7325">
            <v>5045579</v>
          </cell>
          <cell r="AK7325" t="str">
            <v>Garry Harvey</v>
          </cell>
        </row>
        <row r="7326">
          <cell r="C7326" t="str">
            <v>Hanscom Federal Credit Union_RAS</v>
          </cell>
          <cell r="H7326">
            <v>5045717</v>
          </cell>
          <cell r="AK7326" t="str">
            <v>Diane Banks</v>
          </cell>
        </row>
        <row r="7327">
          <cell r="C7327" t="str">
            <v>Customers Bank - Compliance Resource</v>
          </cell>
          <cell r="H7327">
            <v>5045759</v>
          </cell>
          <cell r="AK7327" t="str">
            <v>Robin McConaughey</v>
          </cell>
        </row>
        <row r="7328">
          <cell r="C7328" t="str">
            <v>Jefferies IBIT Technical Specialist 2022 H2</v>
          </cell>
          <cell r="H7328">
            <v>5045638</v>
          </cell>
          <cell r="AK7328" t="str">
            <v>Aoife Hogan</v>
          </cell>
        </row>
        <row r="7329">
          <cell r="C7329" t="str">
            <v>ESB Residential Lending Implementation</v>
          </cell>
          <cell r="H7329">
            <v>5046120</v>
          </cell>
          <cell r="AK7329" t="str">
            <v>Mariana Dumanovsky</v>
          </cell>
        </row>
        <row r="7330">
          <cell r="C7330" t="str">
            <v>MS_ISG_ISGPO_Client Ops PM</v>
          </cell>
          <cell r="H7330">
            <v>5044840</v>
          </cell>
          <cell r="AK7330" t="str">
            <v>Ruben Sooriya</v>
          </cell>
        </row>
        <row r="7331">
          <cell r="C7331" t="str">
            <v>Prudential Independent Agent - External Marketing Launch</v>
          </cell>
          <cell r="H7331">
            <v>5045645</v>
          </cell>
          <cell r="AK7331" t="str">
            <v>Matthew Berkowitz</v>
          </cell>
        </row>
        <row r="7332">
          <cell r="C7332" t="str">
            <v>SVB_Client 360 Product Owner</v>
          </cell>
          <cell r="H7332">
            <v>5045653</v>
          </cell>
          <cell r="AK7332" t="str">
            <v>Ridha Mesli</v>
          </cell>
        </row>
        <row r="7333">
          <cell r="C7333" t="str">
            <v>Equities Reg Program Manager</v>
          </cell>
          <cell r="H7333">
            <v>5045637</v>
          </cell>
          <cell r="AK7333" t="str">
            <v>Sri Nonabur Srinivasamurthy</v>
          </cell>
        </row>
        <row r="7334">
          <cell r="C7334" t="str">
            <v>Imprint - Annual CMS Audit</v>
          </cell>
          <cell r="H7334">
            <v>5045221</v>
          </cell>
          <cell r="AK7334" t="str">
            <v>Mary Louise Radley</v>
          </cell>
        </row>
        <row r="7335">
          <cell r="C7335" t="str">
            <v>Alliance Bernstein UX Ongoing Support</v>
          </cell>
          <cell r="H7335">
            <v>5045655</v>
          </cell>
          <cell r="AK7335" t="str">
            <v>Douglas Sieg</v>
          </cell>
        </row>
        <row r="7336">
          <cell r="C7336" t="str">
            <v>PruScore Alpha - Commercial Exploration and MVP Design</v>
          </cell>
          <cell r="H7336">
            <v>5045669</v>
          </cell>
          <cell r="AK7336" t="str">
            <v>Kimberly Koch</v>
          </cell>
        </row>
        <row r="7337">
          <cell r="C7337" t="str">
            <v>KeyBank NRE Origination Digital Interface - Extension</v>
          </cell>
          <cell r="H7337">
            <v>5044799</v>
          </cell>
          <cell r="AK7337" t="str">
            <v>Jason Noran</v>
          </cell>
        </row>
        <row r="7338">
          <cell r="C7338" t="str">
            <v>SVB Catalyst Ops. &amp; Servicing Transformation CO1</v>
          </cell>
          <cell r="H7338">
            <v>5045423</v>
          </cell>
          <cell r="AK7338" t="str">
            <v>Natacha Garcia</v>
          </cell>
        </row>
        <row r="7339">
          <cell r="C7339" t="str">
            <v>FrMc_SF Process Mapping (SA)</v>
          </cell>
          <cell r="H7339">
            <v>5045563</v>
          </cell>
          <cell r="AK7339" t="str">
            <v>Michael Mathew</v>
          </cell>
        </row>
        <row r="7340">
          <cell r="C7340" t="str">
            <v>FrMc_Enterprise Ops Process Mapping (SA)</v>
          </cell>
          <cell r="H7340">
            <v>5045575</v>
          </cell>
          <cell r="AK7340" t="str">
            <v>Linda Graham</v>
          </cell>
        </row>
        <row r="7341">
          <cell r="C7341" t="str">
            <v>Employee Experience Strategy PershingX</v>
          </cell>
          <cell r="H7341">
            <v>5045654</v>
          </cell>
          <cell r="AK7341" t="str">
            <v>Adriana Chalas</v>
          </cell>
        </row>
        <row r="7342">
          <cell r="C7342" t="str">
            <v>HSBC-MSS-SWIFT Developer</v>
          </cell>
          <cell r="H7342">
            <v>5045777</v>
          </cell>
          <cell r="AK7342" t="str">
            <v>Steven D'Angelo</v>
          </cell>
        </row>
        <row r="7343">
          <cell r="C7343" t="str">
            <v>UB_116 TO6_BCT Support</v>
          </cell>
          <cell r="H7343">
            <v>5045716</v>
          </cell>
          <cell r="AK7343" t="str">
            <v>Samuel Awsumb</v>
          </cell>
        </row>
        <row r="7344">
          <cell r="C7344" t="str">
            <v>SVB Agile Communication Coordinator</v>
          </cell>
          <cell r="H7344">
            <v>5045762</v>
          </cell>
          <cell r="AK7344" t="str">
            <v>Michael Guerrero</v>
          </cell>
        </row>
        <row r="7345">
          <cell r="C7345" t="str">
            <v>FNMA Unqork Dev Extension Q2 2022</v>
          </cell>
          <cell r="H7345">
            <v>5041635</v>
          </cell>
          <cell r="AK7345" t="str">
            <v>Brett Knickle</v>
          </cell>
        </row>
        <row r="7346">
          <cell r="C7346" t="str">
            <v>JEF_Madison - OneJef Offshore Data Support H2 2022 Ext</v>
          </cell>
          <cell r="H7346">
            <v>5045910</v>
          </cell>
          <cell r="AK7346" t="str">
            <v>Aoife Hogan</v>
          </cell>
        </row>
        <row r="7347">
          <cell r="C7347" t="str">
            <v>JEF_Madison - CRM Salesforce Developer H2 2022 Ext</v>
          </cell>
          <cell r="H7347">
            <v>5045891</v>
          </cell>
          <cell r="AK7347" t="str">
            <v>Aoife Hogan</v>
          </cell>
        </row>
        <row r="7348">
          <cell r="C7348" t="str">
            <v>Revantage MT EXT</v>
          </cell>
          <cell r="H7348">
            <v>5045778</v>
          </cell>
          <cell r="AK7348" t="str">
            <v>Michael Tang</v>
          </cell>
        </row>
        <row r="7349">
          <cell r="C7349" t="str">
            <v>JEF_Madison - SF CRM Solution Architect June 2022 Ext</v>
          </cell>
          <cell r="H7349">
            <v>5045905</v>
          </cell>
          <cell r="AK7349" t="str">
            <v>Aoife Hogan</v>
          </cell>
        </row>
        <row r="7350">
          <cell r="C7350" t="str">
            <v>JEF_Madison - IB BI Tech BA H2 2022 Ext</v>
          </cell>
          <cell r="H7350">
            <v>5045908</v>
          </cell>
          <cell r="AK7350" t="str">
            <v>Aoife Hogan</v>
          </cell>
        </row>
        <row r="7351">
          <cell r="C7351" t="str">
            <v>BMO Finance PMI</v>
          </cell>
          <cell r="H7351">
            <v>5045667</v>
          </cell>
          <cell r="AK7351" t="str">
            <v>Dev Anumolu</v>
          </cell>
        </row>
        <row r="7352">
          <cell r="C7352" t="str">
            <v>JEF_Madison - CRM UX Designer Q3 2022 Ext</v>
          </cell>
          <cell r="H7352">
            <v>5045918</v>
          </cell>
          <cell r="AK7352" t="str">
            <v>Aoife Hogan</v>
          </cell>
        </row>
        <row r="7353">
          <cell r="C7353" t="str">
            <v>JEF_Madison - GM BI Tech BA H2 2022 Ext</v>
          </cell>
          <cell r="H7353">
            <v>5045902</v>
          </cell>
          <cell r="AK7353" t="str">
            <v>Aoife Hogan</v>
          </cell>
        </row>
        <row r="7354">
          <cell r="C7354" t="str">
            <v>JEF_Madison - Offshore Cognos BI Developer H2 2022 Ext</v>
          </cell>
          <cell r="H7354">
            <v>5045920</v>
          </cell>
          <cell r="AK7354" t="str">
            <v>Aoife Hogan</v>
          </cell>
        </row>
        <row r="7355">
          <cell r="C7355" t="str">
            <v>JEF_Madison - PMO Lead H2 2022 Ext</v>
          </cell>
          <cell r="H7355">
            <v>5045823</v>
          </cell>
          <cell r="AK7355" t="str">
            <v>Aoife Hogan</v>
          </cell>
        </row>
        <row r="7356">
          <cell r="C7356" t="str">
            <v>JEF_OneJef Offshore Support Team H2 2022 Ext</v>
          </cell>
          <cell r="H7356">
            <v>5045900</v>
          </cell>
          <cell r="AK7356" t="str">
            <v>Aoife Hogan</v>
          </cell>
        </row>
        <row r="7357">
          <cell r="C7357" t="str">
            <v>JEF_Madison - Offshore BI Full Stack Developer H2 2022 Ext</v>
          </cell>
          <cell r="H7357">
            <v>5045916</v>
          </cell>
          <cell r="AK7357" t="str">
            <v>Aoife Hogan</v>
          </cell>
        </row>
        <row r="7358">
          <cell r="C7358" t="str">
            <v>CACIB - Cyber PM 2</v>
          </cell>
          <cell r="H7358">
            <v>5045744</v>
          </cell>
          <cell r="AK7358" t="str">
            <v>Garry Harvey</v>
          </cell>
        </row>
        <row r="7359">
          <cell r="C7359" t="str">
            <v>Jefferies Due Dilligence Coordinator</v>
          </cell>
          <cell r="H7359">
            <v>5043230</v>
          </cell>
          <cell r="AK7359" t="str">
            <v>John Clifford</v>
          </cell>
        </row>
        <row r="7360">
          <cell r="C7360" t="str">
            <v>Harvard University Employees Credit Union - IT RA</v>
          </cell>
          <cell r="H7360">
            <v>5045245</v>
          </cell>
          <cell r="AK7360" t="str">
            <v>Robert Farmer</v>
          </cell>
        </row>
        <row r="7361">
          <cell r="C7361" t="str">
            <v>Boomerang Extension</v>
          </cell>
          <cell r="H7361">
            <v>5045763</v>
          </cell>
          <cell r="AK7361" t="str">
            <v>John McCaffrey</v>
          </cell>
        </row>
        <row r="7362">
          <cell r="C7362" t="str">
            <v>SVB_BP Integration June22-Mar23</v>
          </cell>
          <cell r="H7362">
            <v>5046108</v>
          </cell>
          <cell r="AK7362" t="str">
            <v>Andrew Murphy</v>
          </cell>
        </row>
        <row r="7363">
          <cell r="C7363" t="str">
            <v>RBCUS_CNB Issue Mgmt Ext</v>
          </cell>
          <cell r="H7363">
            <v>5045893</v>
          </cell>
          <cell r="AK7363" t="str">
            <v>Michael Grotan</v>
          </cell>
        </row>
        <row r="7364">
          <cell r="C7364" t="str">
            <v>HSL_NetSuite&amp;CFO Support2H2022</v>
          </cell>
          <cell r="H7364">
            <v>5045663</v>
          </cell>
          <cell r="AK7364" t="str">
            <v>Eric Fairchild</v>
          </cell>
        </row>
        <row r="7365">
          <cell r="C7365" t="str">
            <v>NET FCU - FLSA 2022</v>
          </cell>
          <cell r="H7365">
            <v>5045507</v>
          </cell>
          <cell r="AK7365" t="str">
            <v>Gail Rassler</v>
          </cell>
        </row>
        <row r="7366">
          <cell r="C7366" t="str">
            <v>APAC QA June-September 2022</v>
          </cell>
          <cell r="H7366">
            <v>5046202</v>
          </cell>
          <cell r="AK7366" t="str">
            <v>John McCaffrey</v>
          </cell>
        </row>
        <row r="7367">
          <cell r="C7367" t="str">
            <v>SVB_UK Sub Addition</v>
          </cell>
          <cell r="H7367">
            <v>5046183</v>
          </cell>
          <cell r="AK7367" t="str">
            <v>Nitin Raju</v>
          </cell>
        </row>
        <row r="7368">
          <cell r="C7368" t="str">
            <v>Washington Trust TRID Review</v>
          </cell>
          <cell r="H7368">
            <v>5045677</v>
          </cell>
          <cell r="AK7368" t="str">
            <v>Susan Stevenson</v>
          </cell>
        </row>
        <row r="7369">
          <cell r="C7369" t="str">
            <v>SVB_BP Integration JUN-SEP</v>
          </cell>
          <cell r="H7369">
            <v>5045828</v>
          </cell>
          <cell r="AK7369" t="str">
            <v>Andrew Murphy</v>
          </cell>
        </row>
        <row r="7370">
          <cell r="C7370" t="str">
            <v>SVB_Gateway UK Support</v>
          </cell>
          <cell r="H7370">
            <v>5046168</v>
          </cell>
          <cell r="AK7370" t="str">
            <v>Karl Augenstein</v>
          </cell>
        </row>
        <row r="7371">
          <cell r="C7371" t="str">
            <v>Investors FIU Investigators</v>
          </cell>
          <cell r="H7371">
            <v>5044543</v>
          </cell>
          <cell r="AK7371" t="str">
            <v>Jonathan Hunt</v>
          </cell>
        </row>
        <row r="7372">
          <cell r="C7372" t="str">
            <v>JEF_Madison-CRM Pod UX Designer-Q3 2022 Extension</v>
          </cell>
          <cell r="H7372">
            <v>5045913</v>
          </cell>
          <cell r="AK7372" t="str">
            <v>Aoife Hogan</v>
          </cell>
        </row>
        <row r="7373">
          <cell r="C7373" t="str">
            <v>Unified Bank - ODP Program Review</v>
          </cell>
          <cell r="H7373">
            <v>5044310</v>
          </cell>
          <cell r="AK7373" t="str">
            <v>Kristina Slattery</v>
          </cell>
        </row>
        <row r="7374">
          <cell r="C7374" t="str">
            <v>JEF_Madison - GM BI Reporting Offshore Data Analyst-QA Tester</v>
          </cell>
          <cell r="H7374">
            <v>5045911</v>
          </cell>
          <cell r="AK7374" t="str">
            <v>Aoife Hogan</v>
          </cell>
        </row>
        <row r="7375">
          <cell r="C7375" t="str">
            <v>ERM Program Consulting</v>
          </cell>
          <cell r="H7375">
            <v>5045601</v>
          </cell>
          <cell r="AK7375" t="str">
            <v>Tania Makuh</v>
          </cell>
        </row>
        <row r="7376">
          <cell r="C7376" t="str">
            <v>Computershare Process Improvement</v>
          </cell>
          <cell r="H7376">
            <v>5045816</v>
          </cell>
          <cell r="AK7376" t="str">
            <v>Douglas Sieg</v>
          </cell>
        </row>
        <row r="7377">
          <cell r="C7377" t="str">
            <v>National Capital Bank CMS Support</v>
          </cell>
          <cell r="H7377">
            <v>5045581</v>
          </cell>
          <cell r="AK7377" t="str">
            <v>Kristina Slattery</v>
          </cell>
        </row>
        <row r="7378">
          <cell r="C7378" t="str">
            <v>SVB_TE Change Management</v>
          </cell>
          <cell r="H7378">
            <v>5046189</v>
          </cell>
          <cell r="AK7378" t="str">
            <v>Chinmoy Bhatiya</v>
          </cell>
        </row>
        <row r="7379">
          <cell r="C7379" t="str">
            <v>SVB_Gateway Planning Management Extension 2</v>
          </cell>
          <cell r="H7379">
            <v>5045796</v>
          </cell>
          <cell r="AK7379" t="str">
            <v>Sarah Cameron</v>
          </cell>
        </row>
        <row r="7380">
          <cell r="C7380" t="str">
            <v>SVB_IT Asset Management</v>
          </cell>
          <cell r="H7380">
            <v>5045890</v>
          </cell>
          <cell r="AK7380" t="str">
            <v>Souma Basu</v>
          </cell>
        </row>
        <row r="7381">
          <cell r="C7381" t="str">
            <v>SVB_Data Engineering PM</v>
          </cell>
          <cell r="H7381">
            <v>5045822</v>
          </cell>
          <cell r="AK7381" t="str">
            <v>Christopher Tecchio</v>
          </cell>
        </row>
        <row r="7382">
          <cell r="C7382" t="str">
            <v>Amerant Bank_HMDA 22-23</v>
          </cell>
          <cell r="H7382">
            <v>5047080</v>
          </cell>
          <cell r="AK7382" t="str">
            <v>Juan Pimentel</v>
          </cell>
        </row>
        <row r="7383">
          <cell r="C7383" t="str">
            <v>Unqork Team Extension</v>
          </cell>
          <cell r="H7383">
            <v>5045807</v>
          </cell>
          <cell r="AK7383" t="str">
            <v>Devyani Patel</v>
          </cell>
        </row>
        <row r="7384">
          <cell r="C7384" t="str">
            <v>Mae M Backfill (ISG GPG)</v>
          </cell>
          <cell r="H7384">
            <v>5044922</v>
          </cell>
          <cell r="AK7384" t="str">
            <v>Ruben Sooriya</v>
          </cell>
        </row>
        <row r="7385">
          <cell r="C7385" t="str">
            <v>SVB_UK Sub</v>
          </cell>
          <cell r="H7385">
            <v>5046188</v>
          </cell>
          <cell r="AK7385" t="str">
            <v>Emily Clark</v>
          </cell>
        </row>
        <row r="7386">
          <cell r="C7386" t="str">
            <v>SVB_Gateway UI_UX Q3-Q4</v>
          </cell>
          <cell r="H7386">
            <v>5045990</v>
          </cell>
          <cell r="AK7386" t="str">
            <v>Cynthia Lee</v>
          </cell>
        </row>
        <row r="7387">
          <cell r="C7387" t="str">
            <v>FrMac_ICM Payment Modernization</v>
          </cell>
          <cell r="H7387">
            <v>5045761</v>
          </cell>
          <cell r="AK7387" t="str">
            <v>Michael Mathew</v>
          </cell>
        </row>
        <row r="7388">
          <cell r="C7388" t="str">
            <v>SVB_Credit Office Transformation 2</v>
          </cell>
          <cell r="H7388">
            <v>5045775</v>
          </cell>
          <cell r="AK7388" t="str">
            <v>Michelle Fambro</v>
          </cell>
        </row>
        <row r="7389">
          <cell r="C7389" t="str">
            <v>SVB_E2E IT Delivery</v>
          </cell>
          <cell r="H7389">
            <v>5046166</v>
          </cell>
          <cell r="AK7389" t="str">
            <v>Nitin Raju</v>
          </cell>
        </row>
        <row r="7390">
          <cell r="C7390" t="str">
            <v>WF_Regulatory Change program management</v>
          </cell>
          <cell r="H7390">
            <v>5045789</v>
          </cell>
          <cell r="AK7390" t="str">
            <v>Patrick Deckbar</v>
          </cell>
        </row>
        <row r="7391">
          <cell r="C7391" t="str">
            <v>ARC - Loan Remediation Project</v>
          </cell>
          <cell r="H7391">
            <v>5045788</v>
          </cell>
          <cell r="AK7391" t="str">
            <v>Louvera Walden</v>
          </cell>
        </row>
        <row r="7392">
          <cell r="C7392" t="str">
            <v>Grasshopper Bank_RAS</v>
          </cell>
          <cell r="H7392">
            <v>5045698</v>
          </cell>
          <cell r="AK7392" t="str">
            <v>Diane Banks</v>
          </cell>
        </row>
        <row r="7393">
          <cell r="C7393" t="str">
            <v>Jeff_Transcend Extension_June_August 2022</v>
          </cell>
          <cell r="H7393">
            <v>5045644</v>
          </cell>
          <cell r="AK7393" t="str">
            <v>Justin Gonlag</v>
          </cell>
        </row>
        <row r="7394">
          <cell r="C7394" t="str">
            <v>SVB_Gateway Support Ext 2</v>
          </cell>
          <cell r="H7394">
            <v>5046163</v>
          </cell>
          <cell r="AK7394" t="str">
            <v>Adam Polson</v>
          </cell>
        </row>
        <row r="7395">
          <cell r="C7395" t="str">
            <v>BSA Independent Test</v>
          </cell>
          <cell r="H7395">
            <v>5046153</v>
          </cell>
          <cell r="AK7395" t="str">
            <v>Charles Mcwilliam</v>
          </cell>
        </row>
        <row r="7396">
          <cell r="C7396" t="str">
            <v>SEIU_CDE PM and Process v4</v>
          </cell>
          <cell r="H7396">
            <v>5041513</v>
          </cell>
          <cell r="AK7396" t="str">
            <v>Eric Fairchild</v>
          </cell>
        </row>
        <row r="7397">
          <cell r="C7397" t="str">
            <v>BKU Managed Service Spring 2022</v>
          </cell>
          <cell r="H7397">
            <v>5044800</v>
          </cell>
          <cell r="AK7397" t="str">
            <v>Kyle Chavers</v>
          </cell>
        </row>
        <row r="7398">
          <cell r="C7398" t="str">
            <v>SEIU_CLC EA Project Support Ph5</v>
          </cell>
          <cell r="H7398">
            <v>5041705</v>
          </cell>
          <cell r="AK7398" t="str">
            <v>Eric Fairchild</v>
          </cell>
        </row>
        <row r="7399">
          <cell r="C7399" t="str">
            <v>SEIUBG Learning Center PM</v>
          </cell>
          <cell r="H7399">
            <v>5041893</v>
          </cell>
          <cell r="AK7399" t="str">
            <v>Eric Fairchild</v>
          </cell>
        </row>
        <row r="7400">
          <cell r="C7400" t="str">
            <v>FrMC_ICM Payment Modernization (6477-02)</v>
          </cell>
          <cell r="H7400">
            <v>5043741</v>
          </cell>
          <cell r="AK7400" t="str">
            <v>Kalkidan Tedla</v>
          </cell>
        </row>
        <row r="7401">
          <cell r="C7401" t="str">
            <v>BNYM Reg Ops SME Extension Jun-Sep</v>
          </cell>
          <cell r="H7401">
            <v>5045242</v>
          </cell>
          <cell r="AK7401" t="str">
            <v>Lance Rhodes</v>
          </cell>
        </row>
        <row r="7402">
          <cell r="C7402" t="str">
            <v>FrMc_ICM Product Analyst (6338-02)</v>
          </cell>
          <cell r="H7402">
            <v>5043195</v>
          </cell>
          <cell r="AK7402" t="str">
            <v>Michael Mathew</v>
          </cell>
        </row>
        <row r="7403">
          <cell r="C7403" t="str">
            <v>Rover June Ext</v>
          </cell>
          <cell r="H7403">
            <v>5044607</v>
          </cell>
          <cell r="AK7403" t="str">
            <v>Christine Garrard</v>
          </cell>
        </row>
        <row r="7404">
          <cell r="C7404" t="str">
            <v>Independent Bank - Compliance Consulting</v>
          </cell>
          <cell r="H7404">
            <v>5044504</v>
          </cell>
          <cell r="AK7404" t="str">
            <v>Jigisha Patel</v>
          </cell>
        </row>
        <row r="7405">
          <cell r="C7405" t="str">
            <v>VMO Backfill</v>
          </cell>
          <cell r="H7405">
            <v>5044794</v>
          </cell>
          <cell r="AK7405" t="str">
            <v>Betsy Cherian</v>
          </cell>
        </row>
        <row r="7406">
          <cell r="C7406" t="str">
            <v>Org Design and Strategy</v>
          </cell>
          <cell r="H7406">
            <v>5045232</v>
          </cell>
          <cell r="AK7406" t="str">
            <v>Ajay Kumar Upadhyay</v>
          </cell>
        </row>
        <row r="7407">
          <cell r="C7407" t="str">
            <v>SVB_Delivery Excellence Enablement Extension</v>
          </cell>
          <cell r="H7407">
            <v>5045331</v>
          </cell>
          <cell r="AK7407" t="str">
            <v>Andrew Radka</v>
          </cell>
        </row>
        <row r="7408">
          <cell r="C7408" t="str">
            <v>MS WM Private Bank Core Banking Fleet</v>
          </cell>
          <cell r="H7408">
            <v>5045790</v>
          </cell>
          <cell r="AK7408" t="str">
            <v>Nathalia Sousa</v>
          </cell>
        </row>
        <row r="7409">
          <cell r="C7409" t="str">
            <v>SVB_ Agile Reporting Support Extension</v>
          </cell>
          <cell r="H7409">
            <v>5045061</v>
          </cell>
          <cell r="AK7409" t="str">
            <v>Michael Guerrero</v>
          </cell>
        </row>
        <row r="7410">
          <cell r="C7410" t="str">
            <v>SVB_Tech Modernization Executive Reporting</v>
          </cell>
          <cell r="H7410">
            <v>5045915</v>
          </cell>
          <cell r="AK7410" t="str">
            <v>Nate Walton</v>
          </cell>
        </row>
        <row r="7411">
          <cell r="C7411" t="str">
            <v>HSBC-WS-PCI DSS Compliance Evaluation ATH</v>
          </cell>
          <cell r="H7411">
            <v>5045819</v>
          </cell>
          <cell r="AK7411" t="str">
            <v>Chaitan Parikh</v>
          </cell>
        </row>
        <row r="7412">
          <cell r="C7412" t="str">
            <v>New Millenium CMS</v>
          </cell>
          <cell r="H7412">
            <v>5040902</v>
          </cell>
          <cell r="AK7412" t="str">
            <v>Anna Proleika</v>
          </cell>
        </row>
        <row r="7413">
          <cell r="C7413" t="str">
            <v>CACIB - Cyber PM 2</v>
          </cell>
          <cell r="H7413">
            <v>5045744</v>
          </cell>
          <cell r="AK7413" t="str">
            <v>Kristen Visakay</v>
          </cell>
        </row>
        <row r="7414">
          <cell r="C7414" t="str">
            <v>Patelco Mortgage Review</v>
          </cell>
          <cell r="H7414">
            <v>5045798</v>
          </cell>
          <cell r="AK7414" t="str">
            <v>Justin Wellen</v>
          </cell>
        </row>
        <row r="7415">
          <cell r="C7415" t="str">
            <v>SVB_Marketing Transformation Strategy</v>
          </cell>
          <cell r="H7415">
            <v>5045829</v>
          </cell>
          <cell r="AK7415" t="str">
            <v>Mark Mountan</v>
          </cell>
        </row>
        <row r="7416">
          <cell r="C7416" t="str">
            <v>MCB_Cybersecurity Assessment</v>
          </cell>
          <cell r="H7416">
            <v>5045750</v>
          </cell>
          <cell r="AK7416" t="str">
            <v>Ridha Mesli</v>
          </cell>
        </row>
        <row r="7417">
          <cell r="C7417" t="str">
            <v>Design Thinking for MS Securities Settlements Platform for ISG, WM and E*TRADE</v>
          </cell>
          <cell r="H7417">
            <v>5045808</v>
          </cell>
          <cell r="AK7417" t="str">
            <v>Meghan Byrnes-Borderan</v>
          </cell>
        </row>
        <row r="7418">
          <cell r="C7418" t="str">
            <v>Jeff_BD/SD Testing Extenstion</v>
          </cell>
          <cell r="H7418">
            <v>5045914</v>
          </cell>
          <cell r="AK7418" t="str">
            <v>Matthew Rodgers</v>
          </cell>
        </row>
        <row r="7419">
          <cell r="C7419" t="str">
            <v>Union Savings MQC 22-23</v>
          </cell>
          <cell r="H7419">
            <v>5046823</v>
          </cell>
          <cell r="AK7419" t="str">
            <v>Christian Maier</v>
          </cell>
        </row>
        <row r="7420">
          <cell r="C7420" t="str">
            <v>WEX Phase II June</v>
          </cell>
          <cell r="H7420">
            <v>5046040</v>
          </cell>
          <cell r="AK7420" t="str">
            <v>Vince Forte</v>
          </cell>
        </row>
        <row r="7421">
          <cell r="C7421" t="str">
            <v>BBA Targeted Risk Assessments</v>
          </cell>
          <cell r="H7421">
            <v>5045986</v>
          </cell>
          <cell r="AK7421" t="str">
            <v>Mary Louise Radley</v>
          </cell>
        </row>
        <row r="7422">
          <cell r="C7422" t="str">
            <v>BKU Small Business Replatforming</v>
          </cell>
          <cell r="H7422">
            <v>5045803</v>
          </cell>
          <cell r="AK7422" t="str">
            <v>Kevin Miologos</v>
          </cell>
        </row>
        <row r="7423">
          <cell r="C7423" t="str">
            <v>FIS MBP Agile Workstream Ldr</v>
          </cell>
          <cell r="H7423">
            <v>5045076</v>
          </cell>
          <cell r="AK7423" t="str">
            <v>Burt Yeo</v>
          </cell>
        </row>
        <row r="7424">
          <cell r="C7424" t="str">
            <v>Pershing Integration Partnership</v>
          </cell>
          <cell r="H7424">
            <v>5045845</v>
          </cell>
          <cell r="AK7424" t="str">
            <v>William Zhang</v>
          </cell>
        </row>
        <row r="7425">
          <cell r="C7425" t="str">
            <v>SVB_Payment Strategy Ext 1</v>
          </cell>
          <cell r="H7425">
            <v>5045298</v>
          </cell>
          <cell r="AK7425" t="str">
            <v>Nate Walton</v>
          </cell>
        </row>
        <row r="7426">
          <cell r="C7426" t="str">
            <v>NEastonSB_ Interim CCO</v>
          </cell>
          <cell r="H7426">
            <v>5045800</v>
          </cell>
          <cell r="AK7426" t="str">
            <v>Pamela Acciardo</v>
          </cell>
        </row>
        <row r="7427">
          <cell r="C7427" t="str">
            <v>BNPP IAM 2022</v>
          </cell>
          <cell r="H7427">
            <v>5045858</v>
          </cell>
          <cell r="AK7427" t="str">
            <v>Daniel Holness</v>
          </cell>
        </row>
        <row r="7428">
          <cell r="C7428" t="str">
            <v>IT PM Staff Aug</v>
          </cell>
          <cell r="H7428">
            <v>5045989</v>
          </cell>
          <cell r="AK7428" t="str">
            <v>Chelsea Mattias</v>
          </cell>
        </row>
        <row r="7429">
          <cell r="C7429" t="str">
            <v>WSFS Wealth BSA Staff Augmentation</v>
          </cell>
          <cell r="H7429">
            <v>5045678</v>
          </cell>
          <cell r="AK7429" t="str">
            <v>Denise Rinear</v>
          </cell>
        </row>
        <row r="7430">
          <cell r="C7430" t="str">
            <v>KEB Hana Bank USA_RAS</v>
          </cell>
          <cell r="H7430">
            <v>5045892</v>
          </cell>
          <cell r="AK7430" t="str">
            <v>Diane Banks</v>
          </cell>
        </row>
        <row r="7431">
          <cell r="C7431" t="str">
            <v>Five Star-Comp Risk Assessment</v>
          </cell>
          <cell r="H7431">
            <v>5045826</v>
          </cell>
          <cell r="AK7431" t="str">
            <v>Eric Van Epps</v>
          </cell>
        </row>
        <row r="7432">
          <cell r="C7432" t="str">
            <v>Cape Cod Five-Loan Purchase-Addendum</v>
          </cell>
          <cell r="H7432">
            <v>5044797</v>
          </cell>
          <cell r="AK7432" t="str">
            <v>Delsys Salas</v>
          </cell>
        </row>
        <row r="7433">
          <cell r="C7433" t="str">
            <v>Savana_004_Front End Support POC</v>
          </cell>
          <cell r="H7433">
            <v>5045855</v>
          </cell>
          <cell r="AK7433" t="str">
            <v>Samuel Awsumb</v>
          </cell>
        </row>
        <row r="7434">
          <cell r="C7434" t="str">
            <v>WF_CIB Reg and Risk 2022 Expansion</v>
          </cell>
          <cell r="H7434">
            <v>5041648</v>
          </cell>
          <cell r="AK7434" t="str">
            <v>Edward Kelley</v>
          </cell>
        </row>
        <row r="7435">
          <cell r="C7435" t="str">
            <v>FPP - Encompass Implementation</v>
          </cell>
          <cell r="H7435">
            <v>5044984</v>
          </cell>
          <cell r="AK7435" t="str">
            <v>Mariana Dumanovsky</v>
          </cell>
        </row>
        <row r="7436">
          <cell r="C7436" t="str">
            <v>Battle Bank System Integrator Extension - Phase 2</v>
          </cell>
          <cell r="H7436">
            <v>5045876</v>
          </cell>
          <cell r="AK7436" t="str">
            <v>James Kane</v>
          </cell>
        </row>
        <row r="7437">
          <cell r="C7437" t="str">
            <v>SVB_Gateway Support Ext</v>
          </cell>
          <cell r="H7437">
            <v>5046165</v>
          </cell>
          <cell r="AK7437" t="str">
            <v>Adam Polson</v>
          </cell>
        </row>
        <row r="7438">
          <cell r="C7438" t="str">
            <v>SVB_API Strategy and Product Partnership Support</v>
          </cell>
          <cell r="H7438">
            <v>5045955</v>
          </cell>
          <cell r="AK7438" t="str">
            <v>Nate Walton</v>
          </cell>
        </row>
        <row r="7439">
          <cell r="C7439" t="str">
            <v>Centennial CRA Data Verification</v>
          </cell>
          <cell r="H7439">
            <v>5045758</v>
          </cell>
          <cell r="AK7439" t="str">
            <v>Juan Pimentel</v>
          </cell>
        </row>
        <row r="7440">
          <cell r="C7440" t="str">
            <v>Pru_Compass Tech Delivery Pod 3 - Orlando</v>
          </cell>
          <cell r="H7440">
            <v>5045703</v>
          </cell>
          <cell r="AK7440" t="str">
            <v>Gerhardt Scriven</v>
          </cell>
        </row>
        <row r="7441">
          <cell r="C7441" t="str">
            <v>Customers_CUBI ModelValidation</v>
          </cell>
          <cell r="H7441">
            <v>5045985</v>
          </cell>
          <cell r="AK7441" t="str">
            <v>Aiswarya Parameswaran</v>
          </cell>
        </row>
        <row r="7442">
          <cell r="C7442" t="str">
            <v>MS_ISG_ISGPO_Client Ops(PB) T+1</v>
          </cell>
          <cell r="H7442">
            <v>5044840</v>
          </cell>
          <cell r="AK7442" t="str">
            <v>Ruben Sooriya</v>
          </cell>
        </row>
        <row r="7443">
          <cell r="C7443" t="str">
            <v>TTRO MS Net New - Dmitry</v>
          </cell>
          <cell r="H7443">
            <v>5044824</v>
          </cell>
          <cell r="AK7443" t="str">
            <v>Salim Modi</v>
          </cell>
        </row>
        <row r="7444">
          <cell r="C7444" t="str">
            <v>Pru_Consent and Preference Mgmt Configuration</v>
          </cell>
          <cell r="H7444">
            <v>5045530</v>
          </cell>
          <cell r="AK7444" t="str">
            <v>Chaitan Parikh</v>
          </cell>
        </row>
        <row r="7445">
          <cell r="C7445" t="str">
            <v>WF_Hogan Support</v>
          </cell>
          <cell r="H7445">
            <v>5045958</v>
          </cell>
          <cell r="AK7445" t="str">
            <v>Vikas Jain</v>
          </cell>
        </row>
        <row r="7446">
          <cell r="C7446" t="str">
            <v>SVB_BP Core Conversion</v>
          </cell>
          <cell r="H7446">
            <v>5045987</v>
          </cell>
          <cell r="AK7446" t="str">
            <v>Andrew Murphy</v>
          </cell>
        </row>
        <row r="7447">
          <cell r="C7447" t="str">
            <v>Prudential Lean Portfolio Management</v>
          </cell>
          <cell r="H7447">
            <v>5045977</v>
          </cell>
          <cell r="AK7447" t="str">
            <v>Emily Clark</v>
          </cell>
        </row>
        <row r="7448">
          <cell r="C7448" t="str">
            <v>Pru_Technology Uplift Support</v>
          </cell>
          <cell r="H7448">
            <v>5045984</v>
          </cell>
          <cell r="AK7448" t="str">
            <v>Chet Matlosz</v>
          </cell>
        </row>
        <row r="7449">
          <cell r="C7449" t="str">
            <v>MMSD - Annuity Client Service Process Improvement/solutioning</v>
          </cell>
          <cell r="H7449">
            <v>5046022</v>
          </cell>
          <cell r="AK7449" t="str">
            <v>Tedd Patel</v>
          </cell>
        </row>
        <row r="7450">
          <cell r="C7450" t="str">
            <v>MS WM Billing</v>
          </cell>
          <cell r="H7450">
            <v>5045912</v>
          </cell>
          <cell r="AK7450" t="str">
            <v>Dan Schutzman</v>
          </cell>
        </row>
        <row r="7451">
          <cell r="C7451" t="str">
            <v>InvestCloud (Direct) Delivery Support_Mid Market</v>
          </cell>
          <cell r="H7451">
            <v>5046041</v>
          </cell>
          <cell r="AK7451" t="str">
            <v>James Jeffries</v>
          </cell>
        </row>
        <row r="7452">
          <cell r="C7452" t="str">
            <v>WTB BUCO HLD extension</v>
          </cell>
          <cell r="H7452">
            <v>5043264</v>
          </cell>
          <cell r="AK7452" t="str">
            <v>Brian Phillips</v>
          </cell>
        </row>
        <row r="7453">
          <cell r="C7453" t="str">
            <v>Data Remediation Extension H2 2022</v>
          </cell>
          <cell r="H7453">
            <v>5044329</v>
          </cell>
          <cell r="AK7453" t="str">
            <v>David Roberts</v>
          </cell>
        </row>
        <row r="7454">
          <cell r="C7454" t="str">
            <v>TPPM Contract Analysis [Alexis B. Extension]</v>
          </cell>
          <cell r="H7454">
            <v>5044913</v>
          </cell>
          <cell r="AK7454" t="str">
            <v>Dan Schutzman</v>
          </cell>
        </row>
        <row r="7455">
          <cell r="C7455" t="str">
            <v>SVB_Credit Risk Office Transformation CO2</v>
          </cell>
          <cell r="H7455">
            <v>5045775</v>
          </cell>
          <cell r="AK7455" t="str">
            <v>Michelle Fambro</v>
          </cell>
        </row>
        <row r="7456">
          <cell r="C7456" t="str">
            <v>SVB_Enterprise Agile Extension CO1</v>
          </cell>
          <cell r="H7456">
            <v>5045234</v>
          </cell>
          <cell r="AK7456" t="str">
            <v>Michael Guerrero</v>
          </cell>
        </row>
        <row r="7457">
          <cell r="C7457" t="str">
            <v>SVB_Data Engineering PM CO1</v>
          </cell>
          <cell r="H7457">
            <v>5045822</v>
          </cell>
          <cell r="AK7457" t="str">
            <v>Christopher Tecchio</v>
          </cell>
        </row>
        <row r="7458">
          <cell r="C7458" t="str">
            <v>First Northern CMS 2022 Addendum</v>
          </cell>
          <cell r="H7458">
            <v>5044616</v>
          </cell>
          <cell r="AK7458" t="str">
            <v>Gail Rassler</v>
          </cell>
        </row>
        <row r="7459">
          <cell r="C7459" t="str">
            <v>Automation as a Service H2 2022 Extension</v>
          </cell>
          <cell r="H7459">
            <v>5044621</v>
          </cell>
          <cell r="AK7459" t="str">
            <v>Conor Hodnett</v>
          </cell>
        </row>
        <row r="7460">
          <cell r="C7460" t="str">
            <v>Santander - Amherst Pierpont integration - InfoSec GRC support</v>
          </cell>
          <cell r="H7460">
            <v>5041140</v>
          </cell>
          <cell r="AK7460" t="str">
            <v>Boris Mallet</v>
          </cell>
        </row>
        <row r="7461">
          <cell r="C7461" t="str">
            <v>Transamerica_Portfolio Team Q3 Extension</v>
          </cell>
          <cell r="H7461">
            <v>5044609</v>
          </cell>
          <cell r="AK7461" t="str">
            <v>Erik Johnson</v>
          </cell>
        </row>
        <row r="7462">
          <cell r="C7462" t="str">
            <v>Empire State Bank - Additional Hours to CMS</v>
          </cell>
          <cell r="H7462">
            <v>5039204</v>
          </cell>
          <cell r="AK7462" t="str">
            <v>Mariana Dumanovsky</v>
          </cell>
        </row>
        <row r="7463">
          <cell r="C7463" t="str">
            <v>Morgan Stanley AI Extension</v>
          </cell>
          <cell r="H7463">
            <v>5044827</v>
          </cell>
          <cell r="AK7463" t="str">
            <v>Dan Schutzman</v>
          </cell>
        </row>
        <row r="7464">
          <cell r="C7464" t="str">
            <v>ISG Data CoE US Team - Extension #2 - 2022</v>
          </cell>
          <cell r="H7464">
            <v>5044943</v>
          </cell>
          <cell r="AK7464" t="str">
            <v>Grzegorz Walukanis</v>
          </cell>
        </row>
        <row r="7465">
          <cell r="C7465" t="str">
            <v>GIlded_Global FinTech 3.0 Execution Continuation July 2022</v>
          </cell>
          <cell r="H7465">
            <v>5044156</v>
          </cell>
          <cell r="AK7465" t="str">
            <v>Grzegorz Walukanis</v>
          </cell>
        </row>
        <row r="7466">
          <cell r="C7466" t="str">
            <v>FrMc_ILM (4067-14) Q3 - Q4 2022</v>
          </cell>
          <cell r="H7466">
            <v>5046248</v>
          </cell>
          <cell r="AK7466" t="str">
            <v>Rishi Sanghavi</v>
          </cell>
        </row>
        <row r="7467">
          <cell r="C7467" t="str">
            <v>Revantage JY ext</v>
          </cell>
          <cell r="H7467">
            <v>5046100</v>
          </cell>
          <cell r="AK7467" t="str">
            <v>Grzegorz Walukanis</v>
          </cell>
        </row>
        <row r="7468">
          <cell r="C7468" t="str">
            <v>CFTC Rule ReWrite - FX</v>
          </cell>
          <cell r="H7468">
            <v>5046212</v>
          </cell>
          <cell r="AK7468" t="str">
            <v>Conor Dowling</v>
          </cell>
        </row>
        <row r="7469">
          <cell r="C7469" t="str">
            <v>Plumas Bank 2022 CMS Support</v>
          </cell>
          <cell r="H7469">
            <v>5044752</v>
          </cell>
          <cell r="AK7469" t="str">
            <v>Mary Louise Radley</v>
          </cell>
        </row>
        <row r="7470">
          <cell r="C7470" t="str">
            <v>Australia QA Lead Extension 2022</v>
          </cell>
          <cell r="H7470">
            <v>5045921</v>
          </cell>
          <cell r="AK7470" t="str">
            <v>John McCaffrey</v>
          </cell>
        </row>
        <row r="7471">
          <cell r="C7471" t="str">
            <v>Jeff-CRB AT AH QA Lead 2022</v>
          </cell>
          <cell r="H7471">
            <v>5046216</v>
          </cell>
          <cell r="AK7471" t="str">
            <v>John McCaffrey</v>
          </cell>
        </row>
        <row r="7472">
          <cell r="C7472" t="str">
            <v>Amerant Bank_StaffAugmentation</v>
          </cell>
          <cell r="H7472">
            <v>5046738</v>
          </cell>
          <cell r="AK7472" t="str">
            <v>David Belfer</v>
          </cell>
        </row>
        <row r="7473">
          <cell r="C7473" t="str">
            <v>Jefferies-Risk IT Environment H2 2022</v>
          </cell>
          <cell r="H7473">
            <v>5045922</v>
          </cell>
          <cell r="AK7473" t="str">
            <v>John McCaffrey</v>
          </cell>
        </row>
        <row r="7474">
          <cell r="C7474" t="str">
            <v>DB-CRB-AS-IT-UX Design Team Extension H2</v>
          </cell>
          <cell r="H7474">
            <v>5046059</v>
          </cell>
          <cell r="AK7474" t="str">
            <v>Tara Goderez</v>
          </cell>
        </row>
        <row r="7475">
          <cell r="C7475" t="str">
            <v>Information Security Officer Support</v>
          </cell>
          <cell r="H7475">
            <v>5045087</v>
          </cell>
          <cell r="AK7475" t="str">
            <v>Robert Farmer</v>
          </cell>
        </row>
        <row r="7476">
          <cell r="C7476" t="str">
            <v>DB Wealth Core Platform Program Extn Q32022</v>
          </cell>
          <cell r="H7476">
            <v>5045191</v>
          </cell>
          <cell r="AK7476" t="str">
            <v>Ruby Cherian</v>
          </cell>
        </row>
        <row r="7477">
          <cell r="C7477" t="str">
            <v>Jeff_Cloud PM</v>
          </cell>
          <cell r="H7477">
            <v>5046215</v>
          </cell>
          <cell r="AK7477" t="str">
            <v>John McCaffrey</v>
          </cell>
        </row>
        <row r="7478">
          <cell r="C7478" t="str">
            <v>FrMc_Enterprise ILM 6648-02</v>
          </cell>
          <cell r="H7478">
            <v>5046317</v>
          </cell>
          <cell r="AK7478" t="str">
            <v>Kalkidan Tedla</v>
          </cell>
        </row>
        <row r="7479">
          <cell r="C7479" t="str">
            <v>Citi FRMT Aqua - NXB-FRM-CPC-2022 - TO-006 (Nishant Agarwal)</v>
          </cell>
          <cell r="H7479">
            <v>5046191</v>
          </cell>
          <cell r="AK7479" t="str">
            <v>Ervinas Janavicius</v>
          </cell>
        </row>
        <row r="7480">
          <cell r="C7480" t="str">
            <v>Woodforest Bank Reg Data Feed 2022 - 2023</v>
          </cell>
          <cell r="H7480">
            <v>5045844</v>
          </cell>
          <cell r="AK7480" t="str">
            <v>Leah Robinson</v>
          </cell>
        </row>
        <row r="7481">
          <cell r="C7481" t="str">
            <v>SVB_Commercial Cards Q2-Q3</v>
          </cell>
          <cell r="H7481">
            <v>5046220</v>
          </cell>
          <cell r="AK7481" t="str">
            <v>Karl Augenstein</v>
          </cell>
        </row>
        <row r="7482">
          <cell r="C7482" t="str">
            <v>Blue FCU_Phase 2 Extension</v>
          </cell>
          <cell r="H7482">
            <v>5046692</v>
          </cell>
          <cell r="AK7482" t="str">
            <v>Jocelyn Sandberg</v>
          </cell>
        </row>
        <row r="7483">
          <cell r="C7483" t="str">
            <v>FI Compliance Support - Ext</v>
          </cell>
          <cell r="H7483">
            <v>5046144</v>
          </cell>
          <cell r="AK7483" t="str">
            <v>Matthew Rodgers</v>
          </cell>
        </row>
        <row r="7484">
          <cell r="C7484" t="str">
            <v>MS_ISG_FID Ext Jul-Dec - Alexis W</v>
          </cell>
          <cell r="H7484">
            <v>5044837</v>
          </cell>
          <cell r="AK7484" t="str">
            <v>Ruben Sooriya</v>
          </cell>
        </row>
        <row r="7485">
          <cell r="C7485" t="str">
            <v>FrMc_CSP H2 2022</v>
          </cell>
          <cell r="H7485">
            <v>5046061</v>
          </cell>
          <cell r="AK7485" t="str">
            <v>Thomas Wilson</v>
          </cell>
        </row>
        <row r="7486">
          <cell r="C7486" t="str">
            <v>JMB_FairLending RiskAssessment</v>
          </cell>
          <cell r="H7486">
            <v>5044874</v>
          </cell>
          <cell r="AK7486" t="str">
            <v>Gail Rassler</v>
          </cell>
        </row>
        <row r="7487">
          <cell r="C7487" t="str">
            <v>Broadridge Alts - Project Manager_Ext</v>
          </cell>
          <cell r="H7487">
            <v>5044088</v>
          </cell>
          <cell r="AK7487" t="str">
            <v>Jennifer Hsiung</v>
          </cell>
        </row>
        <row r="7488">
          <cell r="C7488" t="str">
            <v>Enigma - Truist Amex Extension</v>
          </cell>
          <cell r="H7488">
            <v>5044345</v>
          </cell>
          <cell r="AK7488" t="str">
            <v>Brett Knickle</v>
          </cell>
        </row>
        <row r="7489">
          <cell r="C7489" t="str">
            <v>AFC Modelling TM 2022 extension</v>
          </cell>
          <cell r="H7489">
            <v>5044647</v>
          </cell>
          <cell r="AK7489" t="str">
            <v>Ruby Cherian</v>
          </cell>
        </row>
        <row r="7490">
          <cell r="C7490" t="str">
            <v>Jefferies Global Technical Operations Team 2022</v>
          </cell>
          <cell r="H7490">
            <v>5046927</v>
          </cell>
          <cell r="AK7490" t="str">
            <v>John McCaffrey</v>
          </cell>
        </row>
        <row r="7491">
          <cell r="C7491" t="str">
            <v>FiServ_FCRMRatinalizatonTuning</v>
          </cell>
          <cell r="H7491">
            <v>5045888</v>
          </cell>
          <cell r="AK7491" t="str">
            <v>William Sachs</v>
          </cell>
        </row>
        <row r="7492">
          <cell r="C7492" t="str">
            <v>Unqork Design extension - Q3 2022</v>
          </cell>
          <cell r="H7492">
            <v>5046195</v>
          </cell>
          <cell r="AK7492" t="str">
            <v>Phil Kerkel</v>
          </cell>
        </row>
        <row r="7493">
          <cell r="C7493" t="str">
            <v>liquidity Orchestration PM Extension 2</v>
          </cell>
          <cell r="H7493">
            <v>5044429</v>
          </cell>
          <cell r="AK7493" t="str">
            <v>Grzegorz Walukanis</v>
          </cell>
        </row>
        <row r="7494">
          <cell r="C7494" t="str">
            <v>UK ION Support H2 2022</v>
          </cell>
          <cell r="H7494">
            <v>5045917</v>
          </cell>
          <cell r="AK7494" t="str">
            <v>John McCaffrey</v>
          </cell>
        </row>
        <row r="7495">
          <cell r="C7495" t="str">
            <v>Jeff_Murex Senior Env. Support - July 22 to Jun 23</v>
          </cell>
          <cell r="H7495">
            <v>5045613</v>
          </cell>
          <cell r="AK7495" t="str">
            <v>Manal Ray</v>
          </cell>
        </row>
        <row r="7496">
          <cell r="C7496" t="str">
            <v>Mortgage Solutions of Colorado, LLC _RAS</v>
          </cell>
          <cell r="H7496">
            <v>5046650</v>
          </cell>
          <cell r="AK7496" t="str">
            <v>Diane Banks</v>
          </cell>
        </row>
        <row r="7497">
          <cell r="C7497" t="str">
            <v>Customers Bank VDD Extension</v>
          </cell>
          <cell r="H7497">
            <v>5042733</v>
          </cell>
          <cell r="AK7497" t="str">
            <v>Gail Rassler</v>
          </cell>
        </row>
        <row r="7498">
          <cell r="C7498" t="str">
            <v>Key CRA data remediation - RISC Extn 1</v>
          </cell>
          <cell r="H7498">
            <v>5046674</v>
          </cell>
          <cell r="AK7498" t="str">
            <v>Juan Pimentel</v>
          </cell>
        </row>
        <row r="7499">
          <cell r="C7499" t="str">
            <v>ChristinCCU_eCommerce RiscAsmt</v>
          </cell>
          <cell r="H7499">
            <v>5045171</v>
          </cell>
          <cell r="AK7499" t="str">
            <v>Robert Farmer</v>
          </cell>
        </row>
        <row r="7500">
          <cell r="C7500" t="str">
            <v>SVB_Portfolio Management Ext</v>
          </cell>
          <cell r="H7500">
            <v>5045142</v>
          </cell>
          <cell r="AK7500" t="str">
            <v>Karl Augenstein</v>
          </cell>
        </row>
        <row r="7501">
          <cell r="C7501" t="str">
            <v>FrMc_Payment Modernization SOW 6477-03</v>
          </cell>
          <cell r="H7501">
            <v>5043741</v>
          </cell>
          <cell r="AK7501" t="str">
            <v>Kalkidan Tedla</v>
          </cell>
        </row>
        <row r="7502">
          <cell r="C7502" t="str">
            <v>DB Wealth Core Platform - Investments</v>
          </cell>
          <cell r="H7502">
            <v>5045162</v>
          </cell>
          <cell r="AK7502" t="str">
            <v>Ruby Cherian</v>
          </cell>
        </row>
        <row r="7503">
          <cell r="C7503" t="str">
            <v>SVB QA Automation ext. Jennifer Rai</v>
          </cell>
          <cell r="H7503">
            <v>5046218</v>
          </cell>
          <cell r="AK7503" t="str">
            <v>Nate Walton</v>
          </cell>
        </row>
        <row r="7504">
          <cell r="C7504" t="str">
            <v>USAA Lending Support 22-24</v>
          </cell>
          <cell r="H7504">
            <v>5046032</v>
          </cell>
          <cell r="AK7504" t="str">
            <v>Samuel Desta</v>
          </cell>
        </row>
        <row r="7505">
          <cell r="C7505" t="str">
            <v>MS_ISG_ISGPO_Aida Ext</v>
          </cell>
          <cell r="H7505">
            <v>5044840</v>
          </cell>
          <cell r="AK7505" t="str">
            <v>Ruben Sooriya</v>
          </cell>
        </row>
        <row r="7506">
          <cell r="C7506" t="str">
            <v>Amerant MQC 22-23</v>
          </cell>
          <cell r="H7506">
            <v>5047081</v>
          </cell>
          <cell r="AK7506" t="str">
            <v>Juan Pimentel</v>
          </cell>
        </row>
        <row r="7507">
          <cell r="C7507" t="str">
            <v>Information Security Officer Support_oct24</v>
          </cell>
          <cell r="H7507">
            <v>5045087</v>
          </cell>
          <cell r="AK7507" t="str">
            <v>Robert Farmer</v>
          </cell>
        </row>
        <row r="7508">
          <cell r="C7508" t="str">
            <v>ESB Mortgage QC</v>
          </cell>
          <cell r="H7508">
            <v>5046152</v>
          </cell>
          <cell r="AK7508" t="str">
            <v>Juan Pimentel</v>
          </cell>
        </row>
        <row r="7509">
          <cell r="C7509" t="str">
            <v>InvestCloud (Direct) Delivery Support_TIer 1</v>
          </cell>
          <cell r="H7509">
            <v>5046043</v>
          </cell>
          <cell r="AK7509" t="str">
            <v>James Jeffries</v>
          </cell>
        </row>
        <row r="7510">
          <cell r="C7510" t="str">
            <v>WF_Reporting &amp; Analytics TOM Support</v>
          </cell>
          <cell r="H7510">
            <v>5046841</v>
          </cell>
          <cell r="AK7510" t="str">
            <v>Justin Waller</v>
          </cell>
        </row>
        <row r="7511">
          <cell r="C7511" t="str">
            <v>SVB Tech Strategy Panel Support CO1</v>
          </cell>
          <cell r="H7511">
            <v>5046167</v>
          </cell>
          <cell r="AK7511" t="str">
            <v>Nate Walton</v>
          </cell>
        </row>
        <row r="7512">
          <cell r="C7512" t="str">
            <v>FrMc_IC&amp;M  Dev Support (SA)</v>
          </cell>
          <cell r="H7512">
            <v>5046062</v>
          </cell>
          <cell r="AK7512" t="str">
            <v>Kalkidan Tedla</v>
          </cell>
        </row>
        <row r="7513">
          <cell r="C7513" t="str">
            <v>SD Compliance Program Manager</v>
          </cell>
          <cell r="H7513">
            <v>5046147</v>
          </cell>
          <cell r="AK7513" t="str">
            <v>Matthew Rodgers</v>
          </cell>
        </row>
        <row r="7514">
          <cell r="C7514" t="str">
            <v>MS_WM_ETRADE_Melissa Ext.</v>
          </cell>
          <cell r="H7514">
            <v>5044864</v>
          </cell>
          <cell r="AK7514" t="str">
            <v>Dan Schutzman</v>
          </cell>
        </row>
        <row r="7515">
          <cell r="C7515" t="str">
            <v>Broadridge - Hartford 2022</v>
          </cell>
          <cell r="H7515">
            <v>5046151</v>
          </cell>
          <cell r="AK7515" t="str">
            <v>Jennifer Hsiung</v>
          </cell>
        </row>
        <row r="7516">
          <cell r="C7516" t="str">
            <v>SVB_Data Policy</v>
          </cell>
          <cell r="H7516">
            <v>5046016</v>
          </cell>
          <cell r="AK7516" t="str">
            <v>Lance Rhodes</v>
          </cell>
        </row>
        <row r="7517">
          <cell r="C7517" t="str">
            <v>SVB_BP Data Governance H2</v>
          </cell>
          <cell r="H7517">
            <v>5045976</v>
          </cell>
          <cell r="AK7517" t="str">
            <v>Todd Bronshtein</v>
          </cell>
        </row>
        <row r="7518">
          <cell r="C7518" t="str">
            <v>Jefferies Icertis- Salesforce Integration JCREW</v>
          </cell>
          <cell r="H7518">
            <v>5046516</v>
          </cell>
          <cell r="AK7518" t="str">
            <v>John McCaffrey</v>
          </cell>
        </row>
        <row r="7519">
          <cell r="C7519" t="str">
            <v>KB_NRE Origination Digital Interface Ext 2</v>
          </cell>
          <cell r="H7519">
            <v>5044799</v>
          </cell>
          <cell r="AK7519" t="str">
            <v>Jason Noran</v>
          </cell>
        </row>
        <row r="7520">
          <cell r="C7520" t="str">
            <v>MS_ETRADE MIO_Integration Readiness PM [Emily G.]</v>
          </cell>
          <cell r="H7520">
            <v>5044864</v>
          </cell>
          <cell r="AK7520" t="str">
            <v>Dan Schutzman</v>
          </cell>
        </row>
        <row r="7521">
          <cell r="C7521" t="str">
            <v>SMBC Fixed Income Tech Lead</v>
          </cell>
          <cell r="H7521">
            <v>5046124</v>
          </cell>
          <cell r="AK7521" t="str">
            <v>Christina Artieda</v>
          </cell>
        </row>
        <row r="7522">
          <cell r="C7522" t="str">
            <v>JEFF_IBOR Transition Ext.</v>
          </cell>
          <cell r="H7522">
            <v>5045898</v>
          </cell>
          <cell r="AK7522" t="str">
            <v>Conor Dowling</v>
          </cell>
        </row>
        <row r="7523">
          <cell r="C7523" t="str">
            <v>Jefferies LIBOR COE extension Q3-2022</v>
          </cell>
          <cell r="H7523">
            <v>5045935</v>
          </cell>
          <cell r="AK7523" t="str">
            <v>Julia Simmons</v>
          </cell>
        </row>
        <row r="7524">
          <cell r="C7524" t="str">
            <v>Pru_Simplified Solutions Planning &amp; Design</v>
          </cell>
          <cell r="H7524">
            <v>5045988</v>
          </cell>
          <cell r="AK7524" t="str">
            <v>Deb Nelis</v>
          </cell>
        </row>
        <row r="7525">
          <cell r="C7525" t="str">
            <v>GA Agile Transformation_P2</v>
          </cell>
          <cell r="H7525">
            <v>5046192</v>
          </cell>
          <cell r="AK7525" t="str">
            <v>Erik Johnson</v>
          </cell>
        </row>
        <row r="7526">
          <cell r="C7526" t="str">
            <v>Equity Flow Monitor Design &amp; PM</v>
          </cell>
          <cell r="H7526">
            <v>5046766</v>
          </cell>
          <cell r="AK7526" t="str">
            <v>Chelsea Mattias</v>
          </cell>
        </row>
        <row r="7527">
          <cell r="C7527" t="str">
            <v>BNPP_Bank of the West_Threat Modelling</v>
          </cell>
          <cell r="H7527">
            <v>5046721</v>
          </cell>
          <cell r="AK7527" t="str">
            <v>Jeliaz Chtilianov</v>
          </cell>
        </row>
        <row r="7528">
          <cell r="C7528" t="str">
            <v>Popular Digital Account Opening</v>
          </cell>
          <cell r="H7528">
            <v>5047042</v>
          </cell>
          <cell r="AK7528" t="str">
            <v>Eugene Collett</v>
          </cell>
        </row>
        <row r="7529">
          <cell r="C7529" t="str">
            <v>HSBC-WS-Client Migration Lead - Extension 2</v>
          </cell>
          <cell r="H7529">
            <v>5044930</v>
          </cell>
          <cell r="AK7529" t="str">
            <v>Steven D'Angelo</v>
          </cell>
        </row>
        <row r="7530">
          <cell r="C7530" t="str">
            <v>Finxact Bank Design Phase (Bank Marthas Vineyard)</v>
          </cell>
          <cell r="H7530">
            <v>5046201</v>
          </cell>
          <cell r="AK7530" t="str">
            <v>Scott Jurgensen</v>
          </cell>
        </row>
        <row r="7531">
          <cell r="C7531" t="str">
            <v>ViaBill - CMS Follow Up Audit</v>
          </cell>
          <cell r="H7531">
            <v>5046099</v>
          </cell>
          <cell r="AK7531" t="str">
            <v>Mary Louise Radley</v>
          </cell>
        </row>
        <row r="7532">
          <cell r="C7532" t="str">
            <v>SYF-Collibra Consulting CO 1</v>
          </cell>
          <cell r="H7532">
            <v>5045440</v>
          </cell>
          <cell r="AK7532" t="str">
            <v>John Cahill</v>
          </cell>
        </row>
        <row r="7533">
          <cell r="C7533" t="str">
            <v>Savana_006_API Analyst</v>
          </cell>
          <cell r="H7533">
            <v>5046164</v>
          </cell>
          <cell r="AK7533" t="str">
            <v>Samuel Awsumb</v>
          </cell>
        </row>
        <row r="7534">
          <cell r="C7534" t="str">
            <v>Savana_005_Analyst Support</v>
          </cell>
          <cell r="H7534">
            <v>5046127</v>
          </cell>
          <cell r="AK7534" t="str">
            <v>Samuel Awsumb</v>
          </cell>
        </row>
        <row r="7535">
          <cell r="C7535" t="str">
            <v>Natixis Vulnerability Extension</v>
          </cell>
          <cell r="H7535">
            <v>5045809</v>
          </cell>
          <cell r="AK7535" t="str">
            <v>Boris Mallet</v>
          </cell>
        </row>
        <row r="7536">
          <cell r="C7536" t="str">
            <v>Citi FRMT Aqua - NXB-FRM-CPC-2022 - TO-007 (Daniel Smirnov)</v>
          </cell>
          <cell r="H7536">
            <v>5046193</v>
          </cell>
          <cell r="AK7536" t="str">
            <v>Ervinas Janavicius</v>
          </cell>
        </row>
        <row r="7537">
          <cell r="C7537" t="str">
            <v>Consulting - Financial Crimes</v>
          </cell>
          <cell r="H7537">
            <v>5044322</v>
          </cell>
          <cell r="AK7537" t="str">
            <v>Jigisha Patel</v>
          </cell>
        </row>
        <row r="7538">
          <cell r="C7538" t="str">
            <v>HyperionBnk_RulesTuningNRation</v>
          </cell>
          <cell r="H7538">
            <v>5045599</v>
          </cell>
          <cell r="AK7538" t="str">
            <v>William Sachs</v>
          </cell>
        </row>
        <row r="7539">
          <cell r="C7539" t="str">
            <v>Citizens Trust Bank - GA_RAS</v>
          </cell>
          <cell r="H7539">
            <v>5046649</v>
          </cell>
          <cell r="AK7539" t="str">
            <v>Diane Banks</v>
          </cell>
        </row>
        <row r="7540">
          <cell r="C7540" t="str">
            <v>ANBTX-CMS Opt 22-23</v>
          </cell>
          <cell r="H7540">
            <v>5046702</v>
          </cell>
          <cell r="AK7540" t="str">
            <v>Dennis Smith</v>
          </cell>
        </row>
        <row r="7541">
          <cell r="C7541" t="str">
            <v>Equity Look back Review</v>
          </cell>
          <cell r="H7541">
            <v>5046210</v>
          </cell>
          <cell r="AK7541" t="str">
            <v>Matthew Rodgers</v>
          </cell>
        </row>
        <row r="7542">
          <cell r="C7542" t="str">
            <v>Customers Bank</v>
          </cell>
          <cell r="H7542">
            <v>5043100</v>
          </cell>
          <cell r="AK7542" t="str">
            <v>Leigh Tribou</v>
          </cell>
        </row>
        <row r="7543">
          <cell r="C7543" t="str">
            <v>FRB - Retail Lending Process Mining (Phase 2)</v>
          </cell>
          <cell r="H7543">
            <v>5045509</v>
          </cell>
          <cell r="AK7543" t="str">
            <v>Christine Janku</v>
          </cell>
        </row>
        <row r="7544">
          <cell r="C7544" t="str">
            <v>FrMc_ICM DEV Support Additional Roles (SA)</v>
          </cell>
          <cell r="H7544">
            <v>5046062</v>
          </cell>
          <cell r="AK7544" t="str">
            <v>Kalkidan Tedla</v>
          </cell>
        </row>
        <row r="7545">
          <cell r="C7545" t="str">
            <v>HSBC-WPB-Private Equity Product/Project Manager</v>
          </cell>
          <cell r="H7545">
            <v>5044536</v>
          </cell>
          <cell r="AK7545" t="str">
            <v>Steven D'Angelo</v>
          </cell>
        </row>
        <row r="7546">
          <cell r="C7546" t="str">
            <v>SEIU IT - Addl PO-BA, QA</v>
          </cell>
          <cell r="H7546">
            <v>5046704</v>
          </cell>
          <cell r="AK7546" t="str">
            <v>Eric Fairchild</v>
          </cell>
        </row>
        <row r="7547">
          <cell r="C7547" t="str">
            <v>FrMc_Enterprise Resolution Planning (SA)</v>
          </cell>
          <cell r="H7547">
            <v>5045494</v>
          </cell>
          <cell r="AK7547" t="str">
            <v>Michael Mathew</v>
          </cell>
        </row>
        <row r="7548">
          <cell r="C7548" t="str">
            <v>Morgan Stanley - Strategic RTB India</v>
          </cell>
          <cell r="H7548">
            <v>5046739</v>
          </cell>
          <cell r="AK7548" t="str">
            <v>Ruben Sooriya</v>
          </cell>
        </row>
        <row r="7549">
          <cell r="C7549" t="str">
            <v>SB Danbury HMDA2022 Reviews</v>
          </cell>
          <cell r="H7549">
            <v>5046977</v>
          </cell>
          <cell r="AK7549" t="str">
            <v>Juan Pimentel</v>
          </cell>
        </row>
        <row r="7550">
          <cell r="C7550" t="str">
            <v>BMO 2052a P2</v>
          </cell>
          <cell r="H7550">
            <v>5046534</v>
          </cell>
          <cell r="AK7550" t="str">
            <v>Eric Glaas</v>
          </cell>
        </row>
        <row r="7551">
          <cell r="C7551" t="str">
            <v>Commerce Bank Digital Post Purchase Installments</v>
          </cell>
          <cell r="H7551">
            <v>5046669</v>
          </cell>
          <cell r="AK7551" t="str">
            <v>Kari Raimondi</v>
          </cell>
        </row>
        <row r="7552">
          <cell r="C7552" t="str">
            <v>Raymond James Loan Amendment Process In SBL</v>
          </cell>
          <cell r="H7552">
            <v>5046750</v>
          </cell>
          <cell r="AK7552" t="str">
            <v>Brett Fisher</v>
          </cell>
        </row>
        <row r="7553">
          <cell r="C7553" t="str">
            <v>WEX Phase II</v>
          </cell>
          <cell r="H7553">
            <v>5046764</v>
          </cell>
          <cell r="AK7553" t="str">
            <v>Vince Forte</v>
          </cell>
        </row>
        <row r="7554">
          <cell r="C7554" t="str">
            <v>Legal and Compliance Analyst</v>
          </cell>
          <cell r="H7554">
            <v>5046150</v>
          </cell>
          <cell r="AK7554" t="str">
            <v>Matthew Rodgers</v>
          </cell>
        </row>
        <row r="7555">
          <cell r="C7555" t="str">
            <v>Lending Analysts</v>
          </cell>
          <cell r="H7555">
            <v>5046816</v>
          </cell>
          <cell r="AK7555" t="str">
            <v>Jennifer Lifgren</v>
          </cell>
        </row>
        <row r="7556">
          <cell r="C7556" t="str">
            <v>Truist_FDIC 370 Exception Closure</v>
          </cell>
          <cell r="H7556">
            <v>5046752</v>
          </cell>
          <cell r="AK7556" t="str">
            <v>Sebastian Ekberg</v>
          </cell>
        </row>
        <row r="7557">
          <cell r="C7557" t="str">
            <v>KeyBank Data Analytics OCC</v>
          </cell>
          <cell r="H7557">
            <v>5046860</v>
          </cell>
          <cell r="AK7557" t="str">
            <v>Pete Grebus</v>
          </cell>
        </row>
        <row r="7558">
          <cell r="C7558" t="str">
            <v>Vulnerability Ext Bridge</v>
          </cell>
          <cell r="H7558">
            <v>5045809</v>
          </cell>
          <cell r="AK7558" t="str">
            <v>Boris Mallet</v>
          </cell>
        </row>
        <row r="7559">
          <cell r="C7559" t="str">
            <v>Project Bloom Digital Engineering - Increment 2022-2023</v>
          </cell>
          <cell r="H7559">
            <v>5045232</v>
          </cell>
          <cell r="AK7559" t="str">
            <v>Ajay Kumar Upadhyay</v>
          </cell>
        </row>
        <row r="7560">
          <cell r="C7560" t="str">
            <v>FrMc_ICM - ILM DATCAP (SA)</v>
          </cell>
          <cell r="H7560">
            <v>5046703</v>
          </cell>
          <cell r="AK7560" t="str">
            <v>Jeliaz Chtilianov</v>
          </cell>
        </row>
        <row r="7561">
          <cell r="C7561" t="str">
            <v>Key Bank Cloud Data</v>
          </cell>
          <cell r="H7561">
            <v>5046826</v>
          </cell>
          <cell r="AK7561" t="str">
            <v>Pete Grebus</v>
          </cell>
        </row>
        <row r="7562">
          <cell r="C7562" t="str">
            <v>City Bank_RAS</v>
          </cell>
          <cell r="H7562">
            <v>5046748</v>
          </cell>
          <cell r="AK7562" t="str">
            <v>Diane Banks</v>
          </cell>
        </row>
        <row r="7563">
          <cell r="C7563" t="str">
            <v>Founders Bank Staff Augmentation</v>
          </cell>
          <cell r="H7563">
            <v>5046857</v>
          </cell>
          <cell r="AK7563" t="str">
            <v>Patrice Nye</v>
          </cell>
        </row>
        <row r="7564">
          <cell r="C7564" t="str">
            <v>SVB_Technology Communications</v>
          </cell>
          <cell r="H7564">
            <v>5046832</v>
          </cell>
          <cell r="AK7564" t="str">
            <v>Kerry Kropf</v>
          </cell>
        </row>
        <row r="7565">
          <cell r="C7565" t="str">
            <v>UX Support Extension</v>
          </cell>
          <cell r="H7565">
            <v>5045655</v>
          </cell>
          <cell r="AK7565" t="str">
            <v>Douglas Sieg</v>
          </cell>
        </row>
        <row r="7566">
          <cell r="C7566" t="str">
            <v>SVB_Data Policy Extension</v>
          </cell>
          <cell r="H7566">
            <v>5046016</v>
          </cell>
          <cell r="AK7566" t="str">
            <v>Lance Rhodes</v>
          </cell>
        </row>
        <row r="7567">
          <cell r="C7567" t="str">
            <v>BSA Officer Support</v>
          </cell>
          <cell r="H7567">
            <v>5046186</v>
          </cell>
          <cell r="AK7567" t="str">
            <v>William Sachs</v>
          </cell>
        </row>
        <row r="7568">
          <cell r="C7568" t="str">
            <v>SVB_Test Engineer - CO1</v>
          </cell>
          <cell r="H7568">
            <v>5045408</v>
          </cell>
          <cell r="AK7568" t="str">
            <v>Nitin Raju</v>
          </cell>
        </row>
        <row r="7569">
          <cell r="C7569" t="str">
            <v>UB_116 TO2_Symphony SP-020 Ext 2</v>
          </cell>
          <cell r="H7569">
            <v>5044478</v>
          </cell>
          <cell r="AK7569" t="str">
            <v>Samuel Awsumb</v>
          </cell>
        </row>
        <row r="7570">
          <cell r="C7570" t="str">
            <v>UB_116 TO3_Symphony SP-040 Ext 2</v>
          </cell>
          <cell r="H7570">
            <v>5044537</v>
          </cell>
          <cell r="AK7570" t="str">
            <v>Samuel Awsumb</v>
          </cell>
        </row>
        <row r="7571">
          <cell r="C7571" t="str">
            <v>VMO Ops Team Extension</v>
          </cell>
          <cell r="H7571">
            <v>5044794</v>
          </cell>
          <cell r="AK7571" t="str">
            <v>Betsy Cherian</v>
          </cell>
        </row>
        <row r="7572">
          <cell r="C7572" t="str">
            <v>FrMc_Resolution Planning Ext (SA)</v>
          </cell>
          <cell r="H7572">
            <v>5045494</v>
          </cell>
          <cell r="AK7572" t="str">
            <v>Michael Mathew</v>
          </cell>
        </row>
        <row r="7573">
          <cell r="C7573" t="str">
            <v>WSFS - Reg B Review 3rd Parties</v>
          </cell>
          <cell r="H7573">
            <v>5044945</v>
          </cell>
          <cell r="AK7573" t="str">
            <v>Gail Rassler</v>
          </cell>
        </row>
        <row r="7574">
          <cell r="C7574" t="str">
            <v>Interim CISO extension</v>
          </cell>
          <cell r="H7574">
            <v>5045315</v>
          </cell>
          <cell r="AK7574" t="str">
            <v>Arthur Nazzaro</v>
          </cell>
        </row>
        <row r="7575">
          <cell r="C7575" t="str">
            <v>SVB_Marketing Process PGM Management CO1</v>
          </cell>
          <cell r="H7575">
            <v>5045829</v>
          </cell>
          <cell r="AK7575" t="str">
            <v>Mark Mountan</v>
          </cell>
        </row>
        <row r="7576">
          <cell r="C7576" t="str">
            <v>Key Process AMD 5</v>
          </cell>
          <cell r="H7576">
            <v>5042840</v>
          </cell>
          <cell r="AK7576" t="str">
            <v>Samuel Awsumb</v>
          </cell>
        </row>
        <row r="7577">
          <cell r="C7577" t="str">
            <v>UB_116 TO4_Symphony SP-059_Ext 2</v>
          </cell>
          <cell r="H7577">
            <v>5044818</v>
          </cell>
          <cell r="AK7577" t="str">
            <v>Samuel Awsumb</v>
          </cell>
        </row>
        <row r="7578">
          <cell r="C7578" t="str">
            <v>Cambridge Savings Bank</v>
          </cell>
          <cell r="H7578">
            <v>5044717</v>
          </cell>
          <cell r="AK7578" t="str">
            <v>Charles Mcwilliam</v>
          </cell>
        </row>
        <row r="7579">
          <cell r="C7579" t="str">
            <v>BoSF-BSA Risk Assessments</v>
          </cell>
          <cell r="H7579">
            <v>5046792</v>
          </cell>
          <cell r="AK7579" t="str">
            <v>Charles Mcwilliam</v>
          </cell>
        </row>
        <row r="7580">
          <cell r="C7580" t="str">
            <v>Revantage MT Ext Aug</v>
          </cell>
          <cell r="H7580">
            <v>5046773</v>
          </cell>
          <cell r="AK7580" t="str">
            <v>Grzegorz Walukanis</v>
          </cell>
        </row>
        <row r="7581">
          <cell r="C7581" t="str">
            <v>First National Bank in Sioux Falls</v>
          </cell>
          <cell r="H7581">
            <v>5045492</v>
          </cell>
          <cell r="AK7581" t="str">
            <v>Elanna Kooistra</v>
          </cell>
        </row>
        <row r="7582">
          <cell r="C7582" t="str">
            <v>Key Data POC</v>
          </cell>
          <cell r="H7582">
            <v>5046824</v>
          </cell>
          <cell r="AK7582" t="str">
            <v>Pete Grebus</v>
          </cell>
        </row>
        <row r="7583">
          <cell r="C7583" t="str">
            <v>Range Bank_RAS</v>
          </cell>
          <cell r="H7583">
            <v>5046822</v>
          </cell>
          <cell r="AK7583" t="str">
            <v>Rebecca Breland</v>
          </cell>
        </row>
        <row r="7584">
          <cell r="C7584" t="str">
            <v>Santander - IT GRC Support - Horizon - Risk Gap assessment</v>
          </cell>
          <cell r="H7584">
            <v>5046831</v>
          </cell>
          <cell r="AK7584" t="str">
            <v>Adrian Ungureanu</v>
          </cell>
        </row>
        <row r="7585">
          <cell r="C7585" t="str">
            <v>Preferred Bank Compliance Audit</v>
          </cell>
          <cell r="H7585">
            <v>5045041</v>
          </cell>
          <cell r="AK7585" t="str">
            <v>Mary Louise Radley</v>
          </cell>
        </row>
        <row r="7586">
          <cell r="C7586" t="str">
            <v>SEIU_PM Support for TP BT70v4 pt 5</v>
          </cell>
          <cell r="H7586">
            <v>5041893</v>
          </cell>
          <cell r="AK7586" t="str">
            <v>Eric Fairchild</v>
          </cell>
        </row>
        <row r="7587">
          <cell r="C7587" t="str">
            <v>MassMutual - Relationship Manager Support</v>
          </cell>
          <cell r="H7587">
            <v>5046804</v>
          </cell>
          <cell r="AK7587" t="str">
            <v>Gordon Lunsford</v>
          </cell>
        </row>
        <row r="7588">
          <cell r="C7588" t="str">
            <v>CC5 Call Center Audit</v>
          </cell>
          <cell r="H7588">
            <v>5044708</v>
          </cell>
          <cell r="AK7588" t="str">
            <v>Mary Louise Radley</v>
          </cell>
        </row>
        <row r="7589">
          <cell r="C7589" t="str">
            <v>ICG Risk and Control - TPM Aggregated Op Model</v>
          </cell>
          <cell r="H7589">
            <v>5046718</v>
          </cell>
          <cell r="AK7589" t="str">
            <v>Ervinas Janavicius</v>
          </cell>
        </row>
        <row r="7590">
          <cell r="C7590" t="str">
            <v>Citi Data Lineage - Data Mgt &amp; Change Mgt (US Only)</v>
          </cell>
          <cell r="H7590">
            <v>5046753</v>
          </cell>
          <cell r="AK7590" t="str">
            <v>Helen Needham</v>
          </cell>
        </row>
        <row r="7591">
          <cell r="C7591" t="str">
            <v>Pru_Acusite Platform Development</v>
          </cell>
          <cell r="H7591">
            <v>5046910</v>
          </cell>
          <cell r="AK7591" t="str">
            <v>Laura D'Alessandro</v>
          </cell>
        </row>
        <row r="7592">
          <cell r="C7592" t="str">
            <v>City First Bank CMS</v>
          </cell>
          <cell r="H7592">
            <v>5046745</v>
          </cell>
          <cell r="AK7592" t="str">
            <v>W. Annette Dredden</v>
          </cell>
        </row>
        <row r="7593">
          <cell r="C7593" t="str">
            <v>CBOAR_TRID Post-Close QA/QC Extension</v>
          </cell>
          <cell r="H7593">
            <v>5042731</v>
          </cell>
          <cell r="AK7593" t="str">
            <v>Susan Stevenson</v>
          </cell>
        </row>
        <row r="7594">
          <cell r="C7594" t="str">
            <v>SVB_BP_Integration_Ext-ColinHadnot</v>
          </cell>
          <cell r="H7594">
            <v>5045828</v>
          </cell>
          <cell r="AK7594" t="str">
            <v>Andrew Murphy</v>
          </cell>
        </row>
        <row r="7595">
          <cell r="C7595" t="str">
            <v>UBS US Group DMO Data Services Support</v>
          </cell>
          <cell r="H7595">
            <v>5046772</v>
          </cell>
          <cell r="AK7595" t="str">
            <v>Stephane Ritz</v>
          </cell>
        </row>
        <row r="7596">
          <cell r="C7596" t="str">
            <v>Clear Mountain CRA PE Addendum</v>
          </cell>
          <cell r="H7596">
            <v>5044660</v>
          </cell>
          <cell r="AK7596" t="str">
            <v>Gail Rassler</v>
          </cell>
        </row>
        <row r="7597">
          <cell r="C7597" t="str">
            <v>CACIB - Cyber Expansion</v>
          </cell>
          <cell r="H7597">
            <v>5046791</v>
          </cell>
          <cell r="AK7597" t="str">
            <v>Kristen Visakay</v>
          </cell>
        </row>
        <row r="7598">
          <cell r="C7598" t="str">
            <v>Targeted Fraud Risk Assessment</v>
          </cell>
          <cell r="H7598">
            <v>5046814</v>
          </cell>
          <cell r="AK7598" t="str">
            <v>Mary Louise Radley</v>
          </cell>
        </row>
        <row r="7599">
          <cell r="C7599" t="str">
            <v>Hyperion TRID - RESPA - Z</v>
          </cell>
          <cell r="H7599">
            <v>5046803</v>
          </cell>
          <cell r="AK7599" t="str">
            <v>Anna Proleika</v>
          </cell>
        </row>
        <row r="7600">
          <cell r="C7600" t="str">
            <v>Web5Bank Retail Procedures</v>
          </cell>
          <cell r="H7600">
            <v>5046842</v>
          </cell>
          <cell r="AK7600" t="str">
            <v>Louvera Walden</v>
          </cell>
        </row>
        <row r="7601">
          <cell r="C7601" t="str">
            <v>WF_Corporate Risk Change Management_Team 1</v>
          </cell>
          <cell r="H7601">
            <v>5046767</v>
          </cell>
          <cell r="AK7601" t="str">
            <v>Edward Kelley</v>
          </cell>
        </row>
        <row r="7602">
          <cell r="C7602" t="str">
            <v>Citi FRMT AQUA - NXB-FRM-CPC-2022-TO 008 (2052a PM)</v>
          </cell>
          <cell r="H7602">
            <v>5046765</v>
          </cell>
          <cell r="AK7602" t="str">
            <v>Ervinas Janavicius</v>
          </cell>
        </row>
        <row r="7603">
          <cell r="C7603" t="str">
            <v>WF_ Front Line Business Procedures</v>
          </cell>
          <cell r="H7603">
            <v>5046845</v>
          </cell>
          <cell r="AK7603" t="str">
            <v>Alberto Michelazzi</v>
          </cell>
        </row>
        <row r="7604">
          <cell r="C7604" t="str">
            <v>Quality Assurance Support</v>
          </cell>
          <cell r="H7604">
            <v>5046679</v>
          </cell>
          <cell r="AK7604" t="str">
            <v>Mary Louise Radley</v>
          </cell>
        </row>
        <row r="7605">
          <cell r="C7605" t="str">
            <v>Savana_007_Front End Support Ph2</v>
          </cell>
          <cell r="H7605">
            <v>5046867</v>
          </cell>
          <cell r="AK7605" t="str">
            <v>Samuel Awsumb</v>
          </cell>
        </row>
        <row r="7606">
          <cell r="C7606" t="str">
            <v>Revantage BA sys integration</v>
          </cell>
          <cell r="H7606">
            <v>5046829</v>
          </cell>
          <cell r="AK7606" t="str">
            <v>Grzegorz Walukanis</v>
          </cell>
        </row>
        <row r="7607">
          <cell r="C7607" t="str">
            <v>Procurement Platform Replacement - GEP</v>
          </cell>
          <cell r="H7607">
            <v>5046868</v>
          </cell>
          <cell r="AK7607" t="str">
            <v>Conor Dowling</v>
          </cell>
        </row>
        <row r="7608">
          <cell r="C7608" t="str">
            <v>Natixis _Vulnerability &amp; Patching Management Extension</v>
          </cell>
          <cell r="H7608">
            <v>5045809</v>
          </cell>
          <cell r="AK7608" t="str">
            <v>Boris Mallet</v>
          </cell>
        </row>
        <row r="7609">
          <cell r="C7609" t="str">
            <v>MS_TPPM_Risk Reporting Redesign</v>
          </cell>
          <cell r="H7609">
            <v>5046843</v>
          </cell>
          <cell r="AK7609" t="str">
            <v>Dan Schutzman</v>
          </cell>
        </row>
        <row r="7610">
          <cell r="C7610" t="str">
            <v>MS_REM_TPPM_ProcessUnity Business Analyst [Mini Deen-Willams]</v>
          </cell>
          <cell r="H7610">
            <v>5044798</v>
          </cell>
          <cell r="AK7610" t="str">
            <v>Dan Schutzman</v>
          </cell>
        </row>
        <row r="7611">
          <cell r="C7611" t="str">
            <v>JEF_Madison - UX/UI Design Team - Q4 2022 Extension</v>
          </cell>
          <cell r="H7611">
            <v>5046955</v>
          </cell>
          <cell r="AK7611" t="str">
            <v>Aoife Hogan</v>
          </cell>
        </row>
        <row r="7612">
          <cell r="C7612" t="str">
            <v>Needham Bank BSA Exam Readiness</v>
          </cell>
          <cell r="H7612">
            <v>5046821</v>
          </cell>
          <cell r="AK7612" t="str">
            <v>Charles Mcwilliam</v>
          </cell>
        </row>
        <row r="7613">
          <cell r="C7613" t="str">
            <v>Imprint Unsecured Card Program Audit</v>
          </cell>
          <cell r="H7613">
            <v>5046886</v>
          </cell>
          <cell r="AK7613" t="str">
            <v>Mary Louise Radley</v>
          </cell>
        </row>
        <row r="7614">
          <cell r="C7614" t="str">
            <v>SVB_BP Digital Payments Experience</v>
          </cell>
          <cell r="H7614">
            <v>5046908</v>
          </cell>
          <cell r="AK7614" t="str">
            <v>Andrew Murphy</v>
          </cell>
        </row>
        <row r="7615">
          <cell r="C7615" t="str">
            <v>Pershing - RIA onboarding</v>
          </cell>
          <cell r="H7615">
            <v>5046871</v>
          </cell>
          <cell r="AK7615" t="str">
            <v>William Zhang</v>
          </cell>
        </row>
        <row r="7616">
          <cell r="C7616" t="str">
            <v>SVB Catalyst Ops. &amp; Servicing Transformation CO2</v>
          </cell>
          <cell r="H7616">
            <v>5045423</v>
          </cell>
          <cell r="AK7616" t="str">
            <v>Natacha Garcia</v>
          </cell>
        </row>
        <row r="7617">
          <cell r="C7617" t="str">
            <v>Delane Roberts Extension - SSBO</v>
          </cell>
          <cell r="H7617">
            <v>5044839</v>
          </cell>
          <cell r="AK7617" t="str">
            <v>Ruben Sooriya</v>
          </cell>
        </row>
        <row r="7618">
          <cell r="C7618" t="str">
            <v>TTRO Net New - Single Role</v>
          </cell>
          <cell r="H7618">
            <v>5044824</v>
          </cell>
          <cell r="AK7618" t="str">
            <v>Salim Modi</v>
          </cell>
        </row>
        <row r="7619">
          <cell r="C7619" t="str">
            <v>SVB_EDM Product Management CO1</v>
          </cell>
          <cell r="H7619">
            <v>5045062</v>
          </cell>
          <cell r="AK7619" t="str">
            <v>Christopher Tecchio</v>
          </cell>
        </row>
        <row r="7620">
          <cell r="C7620" t="str">
            <v>InvestCloud Mid Market Delivery Support - Front End Developer</v>
          </cell>
          <cell r="H7620">
            <v>5046858</v>
          </cell>
          <cell r="AK7620" t="str">
            <v>Nikhil Sharma</v>
          </cell>
        </row>
        <row r="7621">
          <cell r="C7621" t="str">
            <v>MS_WM_Ops Governance and MSSN</v>
          </cell>
          <cell r="H7621">
            <v>5047121</v>
          </cell>
          <cell r="AK7621" t="str">
            <v>Raymond Ortiz II</v>
          </cell>
        </row>
        <row r="7622">
          <cell r="C7622" t="str">
            <v>ION India Support Team AUG 2022 - Feb 2023</v>
          </cell>
          <cell r="H7622">
            <v>5046225</v>
          </cell>
          <cell r="AK7622" t="str">
            <v>Manal Ray</v>
          </cell>
        </row>
        <row r="7623">
          <cell r="C7623" t="str">
            <v>FrMc_ICM MFPI</v>
          </cell>
          <cell r="H7623">
            <v>5045368</v>
          </cell>
          <cell r="AK7623" t="str">
            <v>Jeliaz Chtilianov</v>
          </cell>
        </row>
        <row r="7624">
          <cell r="C7624" t="str">
            <v>HSBC-WSB-CMB-Client Services-ATH</v>
          </cell>
          <cell r="H7624">
            <v>5046881</v>
          </cell>
          <cell r="AK7624" t="str">
            <v>Rahul Govada</v>
          </cell>
        </row>
        <row r="7625">
          <cell r="C7625" t="str">
            <v>DB AFC Modeling_Database dev support</v>
          </cell>
          <cell r="H7625">
            <v>5044647</v>
          </cell>
          <cell r="AK7625" t="str">
            <v>Ruby Cherian</v>
          </cell>
        </row>
        <row r="7626">
          <cell r="C7626" t="str">
            <v>OB_Rego_Integration_Ph1_Discovery</v>
          </cell>
          <cell r="H7626">
            <v>5046926</v>
          </cell>
          <cell r="AK7626" t="str">
            <v>Daniela Hawkins</v>
          </cell>
        </row>
        <row r="7627">
          <cell r="C7627" t="str">
            <v>Independent Bank - HMDA Data Validation</v>
          </cell>
          <cell r="H7627">
            <v>5046861</v>
          </cell>
          <cell r="AK7627" t="str">
            <v>Juan Pimentel</v>
          </cell>
        </row>
        <row r="7628">
          <cell r="C7628" t="str">
            <v>Equity Pricing Schedule</v>
          </cell>
          <cell r="H7628">
            <v>5046210</v>
          </cell>
          <cell r="AK7628" t="str">
            <v>Matthew Rodgers</v>
          </cell>
        </row>
        <row r="7629">
          <cell r="C7629" t="str">
            <v>WTB CMS Support</v>
          </cell>
          <cell r="H7629">
            <v>5041573</v>
          </cell>
          <cell r="AK7629" t="str">
            <v>Mary Louise Radley</v>
          </cell>
        </row>
        <row r="7630">
          <cell r="C7630" t="str">
            <v>HSBC-WPB-Documentation and Filing Support</v>
          </cell>
          <cell r="H7630">
            <v>5046978</v>
          </cell>
          <cell r="AK7630" t="str">
            <v>Steven D'Angelo</v>
          </cell>
        </row>
        <row r="7631">
          <cell r="C7631" t="str">
            <v>UB_116 TO6_BCT Support Ph1 Ext</v>
          </cell>
          <cell r="H7631">
            <v>5045716</v>
          </cell>
          <cell r="AK7631" t="str">
            <v>Samuel Awsumb</v>
          </cell>
        </row>
        <row r="7632">
          <cell r="C7632" t="str">
            <v>SVB API portal DevOps and SRE - 1</v>
          </cell>
          <cell r="H7632">
            <v>5047059</v>
          </cell>
          <cell r="AK7632" t="str">
            <v>Chinmoy Bhatiya</v>
          </cell>
        </row>
        <row r="7633">
          <cell r="C7633" t="str">
            <v>SVB Data Policy - SVB Leerink Expansion</v>
          </cell>
          <cell r="H7633">
            <v>5045341</v>
          </cell>
          <cell r="AK7633" t="str">
            <v>Parvez Shaikh</v>
          </cell>
        </row>
        <row r="7634">
          <cell r="C7634" t="str">
            <v>Next Gen Term Governance and Delivery</v>
          </cell>
          <cell r="H7634">
            <v>5045988</v>
          </cell>
          <cell r="AK7634" t="str">
            <v>Deb Nelis</v>
          </cell>
        </row>
        <row r="7635">
          <cell r="C7635" t="str">
            <v>Customers Bank</v>
          </cell>
          <cell r="H7635">
            <v>5046956</v>
          </cell>
          <cell r="AK7635" t="str">
            <v>Steve Manitzas</v>
          </cell>
        </row>
        <row r="7636">
          <cell r="C7636" t="str">
            <v>BOTW - Cyber Tabletop Exercise</v>
          </cell>
          <cell r="H7636">
            <v>5046996</v>
          </cell>
          <cell r="AK7636" t="str">
            <v>Daniel Holness</v>
          </cell>
        </row>
        <row r="7637">
          <cell r="C7637" t="str">
            <v>SVB_UK Sub Addition CO1</v>
          </cell>
          <cell r="H7637">
            <v>5046183</v>
          </cell>
          <cell r="AK7637" t="str">
            <v>Nitin Raju</v>
          </cell>
        </row>
        <row r="7638">
          <cell r="C7638" t="str">
            <v>SBD Additional Hours Current Project # 5044744</v>
          </cell>
          <cell r="H7638">
            <v>5044744</v>
          </cell>
          <cell r="AK7638" t="str">
            <v>Mariana Dumanovsky</v>
          </cell>
        </row>
        <row r="7639">
          <cell r="C7639" t="str">
            <v>SVB_Data Engineering PM CO2</v>
          </cell>
          <cell r="H7639">
            <v>5045822</v>
          </cell>
          <cell r="AK7639" t="str">
            <v>Christopher Tecchio</v>
          </cell>
        </row>
        <row r="7640">
          <cell r="C7640" t="str">
            <v>SEIU_CDE PM and Process v5</v>
          </cell>
          <cell r="H7640">
            <v>5041513</v>
          </cell>
          <cell r="AK7640" t="str">
            <v>Eric Fairchild</v>
          </cell>
        </row>
        <row r="7641">
          <cell r="C7641" t="str">
            <v>FNBOE Internal Audits</v>
          </cell>
          <cell r="H7641">
            <v>5042989</v>
          </cell>
          <cell r="AK7641" t="str">
            <v>Mary Louise Radley</v>
          </cell>
        </row>
        <row r="7642">
          <cell r="C7642" t="str">
            <v>Compliance Risk Assessments</v>
          </cell>
          <cell r="H7642">
            <v>5046815</v>
          </cell>
          <cell r="AK7642" t="str">
            <v>Robert Farmer</v>
          </cell>
        </row>
        <row r="7643">
          <cell r="C7643" t="str">
            <v>SEIU_HBT PM 2022 Ph2</v>
          </cell>
          <cell r="H7643">
            <v>5045206</v>
          </cell>
          <cell r="AK7643" t="str">
            <v>Eric Fairchild</v>
          </cell>
        </row>
        <row r="7644">
          <cell r="C7644" t="str">
            <v>JCREW Extension Phase 2 Restricted List Development</v>
          </cell>
          <cell r="H7644">
            <v>5047218</v>
          </cell>
          <cell r="AK7644" t="str">
            <v>John McCaffrey</v>
          </cell>
        </row>
        <row r="7645">
          <cell r="C7645" t="str">
            <v>SVB_Data Portfolio Management CO1</v>
          </cell>
          <cell r="H7645">
            <v>5044920</v>
          </cell>
          <cell r="AK7645" t="str">
            <v>Ridha Mesli</v>
          </cell>
        </row>
        <row r="7646">
          <cell r="C7646" t="str">
            <v>Unqork Team Extension to Oct2022</v>
          </cell>
          <cell r="H7646">
            <v>5046982</v>
          </cell>
          <cell r="AK7646" t="str">
            <v>Devyani Patel</v>
          </cell>
        </row>
        <row r="7647">
          <cell r="C7647" t="str">
            <v>BKU MGD SVCS EXT 2022</v>
          </cell>
          <cell r="H7647">
            <v>5047067</v>
          </cell>
          <cell r="AK7647" t="str">
            <v>Luke Penca</v>
          </cell>
        </row>
        <row r="7648">
          <cell r="C7648" t="str">
            <v>FNBOE Internal Audit Risk Assessment</v>
          </cell>
          <cell r="H7648">
            <v>5046697</v>
          </cell>
          <cell r="AK7648" t="str">
            <v>Mary Louise Radley</v>
          </cell>
        </row>
        <row r="7649">
          <cell r="C7649" t="str">
            <v>ATC Patriot Officer System Validation</v>
          </cell>
          <cell r="H7649">
            <v>5046872</v>
          </cell>
          <cell r="AK7649" t="str">
            <v>Aiswarya Parameswaran</v>
          </cell>
        </row>
        <row r="7650">
          <cell r="C7650" t="str">
            <v>SVB_Jira and Confluence Support_Ilya Klimenko Extension</v>
          </cell>
          <cell r="H7650">
            <v>5045064</v>
          </cell>
          <cell r="AK7650" t="str">
            <v>Ameya Deolalkar</v>
          </cell>
        </row>
        <row r="7651">
          <cell r="C7651" t="str">
            <v>SVB_EDAP Strategic Advisory &amp; CoS</v>
          </cell>
          <cell r="H7651">
            <v>5045317</v>
          </cell>
          <cell r="AK7651" t="str">
            <v>Ridha Mesli</v>
          </cell>
        </row>
        <row r="7652">
          <cell r="C7652" t="str">
            <v>Preferred Bank Mortgage Operations Audit</v>
          </cell>
          <cell r="H7652">
            <v>5045042</v>
          </cell>
          <cell r="AK7652" t="str">
            <v>Mary Louise Radley</v>
          </cell>
        </row>
        <row r="7653">
          <cell r="C7653" t="str">
            <v>Jeff_Transcend Extension_Sep_Nov 2022</v>
          </cell>
          <cell r="H7653">
            <v>5047064</v>
          </cell>
          <cell r="AK7653" t="str">
            <v>Justin Gonlag</v>
          </cell>
        </row>
        <row r="7654">
          <cell r="C7654" t="str">
            <v>FEB Annual CMS Audit</v>
          </cell>
          <cell r="H7654">
            <v>5046802</v>
          </cell>
          <cell r="AK7654" t="str">
            <v>Mary Louise Radley</v>
          </cell>
        </row>
        <row r="7655">
          <cell r="C7655" t="str">
            <v>Crown Bank CMS Support</v>
          </cell>
          <cell r="H7655">
            <v>5047007</v>
          </cell>
          <cell r="AK7655" t="str">
            <v>Gail Rassler</v>
          </cell>
        </row>
        <row r="7656">
          <cell r="C7656" t="str">
            <v>Citi_ICG NWTL_QFC - Q4 Extension (Franklin Howard)</v>
          </cell>
          <cell r="H7656">
            <v>5044862</v>
          </cell>
          <cell r="AK7656" t="str">
            <v>Ervinas Janavicius</v>
          </cell>
        </row>
        <row r="7657">
          <cell r="C7657" t="str">
            <v>UB_116 TO5_Symphony SP-060 Ext 1</v>
          </cell>
          <cell r="H7657">
            <v>5044764</v>
          </cell>
          <cell r="AK7657" t="str">
            <v>Samuel Awsumb</v>
          </cell>
        </row>
        <row r="7658">
          <cell r="C7658" t="str">
            <v>Mountain Am-Reg Data Feed Ext</v>
          </cell>
          <cell r="H7658">
            <v>5047285</v>
          </cell>
          <cell r="AK7658" t="str">
            <v>Leah Robinson</v>
          </cell>
        </row>
        <row r="7659">
          <cell r="C7659" t="str">
            <v>Amerant Mortgage</v>
          </cell>
          <cell r="H7659">
            <v>5047009</v>
          </cell>
          <cell r="AK7659" t="str">
            <v>Delsys Salas</v>
          </cell>
        </row>
        <row r="7660">
          <cell r="C7660" t="str">
            <v>FNB Elmer BSA Audit</v>
          </cell>
          <cell r="H7660">
            <v>5045760</v>
          </cell>
          <cell r="AK7660" t="str">
            <v>Charles Mcwilliam</v>
          </cell>
        </row>
        <row r="7661">
          <cell r="C7661" t="str">
            <v>Clear Mountain Bank_RAS</v>
          </cell>
          <cell r="H7661">
            <v>5047073</v>
          </cell>
          <cell r="AK7661" t="str">
            <v>Diane Banks</v>
          </cell>
        </row>
        <row r="7662">
          <cell r="C7662" t="str">
            <v>ERM Consulting</v>
          </cell>
          <cell r="H7662">
            <v>5045601</v>
          </cell>
          <cell r="AK7662" t="str">
            <v>Tania Makuh</v>
          </cell>
        </row>
        <row r="7663">
          <cell r="C7663" t="str">
            <v>MVB BSA Independent Test</v>
          </cell>
          <cell r="H7663">
            <v>5046919</v>
          </cell>
          <cell r="AK7663" t="str">
            <v>Charles Mcwilliam</v>
          </cell>
        </row>
        <row r="7664">
          <cell r="C7664" t="str">
            <v>RECURRING_CMS_2023</v>
          </cell>
          <cell r="H7664">
            <v>5047209</v>
          </cell>
          <cell r="AK7664" t="str">
            <v>Eric Van Epps</v>
          </cell>
        </row>
        <row r="7665">
          <cell r="C7665" t="str">
            <v>SVB_Fiserv BA</v>
          </cell>
          <cell r="H7665">
            <v>5047086</v>
          </cell>
          <cell r="AK7665" t="str">
            <v>Andrew Murphy</v>
          </cell>
        </row>
        <row r="7666">
          <cell r="C7666" t="str">
            <v>Peoples State Bank Consulting</v>
          </cell>
          <cell r="H7666">
            <v>5047302</v>
          </cell>
          <cell r="AK7666" t="str">
            <v>Eric Van Epps</v>
          </cell>
        </row>
        <row r="7667">
          <cell r="C7667" t="str">
            <v>RCSA Extension (8/15/22 - 6/30/23)</v>
          </cell>
          <cell r="H7667">
            <v>5043955</v>
          </cell>
          <cell r="AK7667" t="str">
            <v>Victor Bejarano</v>
          </cell>
        </row>
        <row r="7668">
          <cell r="C7668" t="str">
            <v>ANBTX - CRA Support Services</v>
          </cell>
          <cell r="H7668">
            <v>5044056</v>
          </cell>
          <cell r="AK7668" t="str">
            <v>Pamela Acciardo</v>
          </cell>
        </row>
        <row r="7669">
          <cell r="C7669" t="str">
            <v>MS_WM_Ops_AI RTB_RISC</v>
          </cell>
          <cell r="H7669">
            <v>5045043</v>
          </cell>
          <cell r="AK7669" t="str">
            <v>John Clifford</v>
          </cell>
        </row>
        <row r="7670">
          <cell r="C7670" t="str">
            <v>FrMc_GBS SOW 5078-8</v>
          </cell>
          <cell r="H7670">
            <v>5038432</v>
          </cell>
          <cell r="AK7670" t="str">
            <v>Michael Mathew</v>
          </cell>
        </row>
        <row r="7671">
          <cell r="C7671" t="str">
            <v>NBH_2UniFi Bank MVP Delivery</v>
          </cell>
          <cell r="H7671">
            <v>5047314</v>
          </cell>
          <cell r="AK7671" t="str">
            <v>Kelsey Popplewell</v>
          </cell>
        </row>
        <row r="7672">
          <cell r="C7672" t="str">
            <v>OvalEdge_Project Management</v>
          </cell>
          <cell r="H7672">
            <v>5047036</v>
          </cell>
          <cell r="AK7672" t="str">
            <v>John Cahill</v>
          </cell>
        </row>
        <row r="7673">
          <cell r="C7673" t="str">
            <v>MM_Haven Life Customer Service Support (CSR's)</v>
          </cell>
          <cell r="H7673">
            <v>5047044</v>
          </cell>
          <cell r="AK7673" t="str">
            <v>Gordon Lunsford</v>
          </cell>
        </row>
        <row r="7674">
          <cell r="C7674" t="str">
            <v>SVB Entry Level Backend Engineer</v>
          </cell>
          <cell r="H7674">
            <v>5047072</v>
          </cell>
          <cell r="AK7674" t="str">
            <v>Chinmoy Bhatiya</v>
          </cell>
        </row>
        <row r="7675">
          <cell r="C7675" t="str">
            <v>BNPP S&amp;T PM Extension 2022</v>
          </cell>
          <cell r="H7675">
            <v>5047037</v>
          </cell>
          <cell r="AK7675" t="str">
            <v>Ridha Mesli</v>
          </cell>
        </row>
        <row r="7676">
          <cell r="C7676" t="str">
            <v>MS WM Technology - Delivery Management - Loan Originations</v>
          </cell>
          <cell r="H7676">
            <v>5047046</v>
          </cell>
          <cell r="AK7676" t="str">
            <v>Raymond Ortiz II</v>
          </cell>
        </row>
        <row r="7677">
          <cell r="C7677" t="str">
            <v>NBH_ 2UNFI Bank Program Management</v>
          </cell>
          <cell r="H7677">
            <v>5047047</v>
          </cell>
          <cell r="AK7677" t="str">
            <v>Kelsey Popplewell</v>
          </cell>
        </row>
        <row r="7678">
          <cell r="C7678" t="str">
            <v>US bank Data  litigation lineage</v>
          </cell>
          <cell r="H7678">
            <v>5046960</v>
          </cell>
          <cell r="AK7678" t="str">
            <v>John Cahill</v>
          </cell>
        </row>
        <row r="7679">
          <cell r="C7679" t="str">
            <v>iptiQ Program Support</v>
          </cell>
          <cell r="H7679">
            <v>5046979</v>
          </cell>
          <cell r="AK7679" t="str">
            <v>Randy Love</v>
          </cell>
        </row>
        <row r="7680">
          <cell r="C7680" t="str">
            <v>Natixis  - Vulnerability Management Sep extension</v>
          </cell>
          <cell r="H7680">
            <v>5045809</v>
          </cell>
          <cell r="AK7680" t="str">
            <v>Boris Mallet</v>
          </cell>
        </row>
        <row r="7681">
          <cell r="C7681" t="str">
            <v>Consumer Loans - Risks and Controls</v>
          </cell>
          <cell r="H7681">
            <v>5047106</v>
          </cell>
          <cell r="AK7681" t="str">
            <v>Tania Makuh</v>
          </cell>
        </row>
        <row r="7682">
          <cell r="C7682" t="str">
            <v>Jefferies SD Testing</v>
          </cell>
          <cell r="H7682">
            <v>5047066</v>
          </cell>
          <cell r="AK7682" t="str">
            <v>Matthew Rodgers</v>
          </cell>
        </row>
        <row r="7683">
          <cell r="C7683" t="str">
            <v>Treasury India Support Team Sep 2022 - Mar 2023</v>
          </cell>
          <cell r="H7683">
            <v>5046636</v>
          </cell>
          <cell r="AK7683" t="str">
            <v>Manal Ray</v>
          </cell>
        </row>
        <row r="7684">
          <cell r="C7684" t="str">
            <v>SVB Catalyst Ops. &amp; Servicing Transformation CO3</v>
          </cell>
          <cell r="H7684">
            <v>5047028</v>
          </cell>
          <cell r="AK7684" t="str">
            <v>Natacha Garcia</v>
          </cell>
        </row>
        <row r="7685">
          <cell r="C7685" t="str">
            <v>SVB Core Migration Extension</v>
          </cell>
          <cell r="H7685">
            <v>5045987</v>
          </cell>
          <cell r="AK7685" t="str">
            <v>Andrew Murphy</v>
          </cell>
        </row>
        <row r="7686">
          <cell r="C7686" t="str">
            <v>NEastonSB_ Interim CCO Ext</v>
          </cell>
          <cell r="H7686">
            <v>5045800</v>
          </cell>
          <cell r="AK7686" t="str">
            <v>Pamela Acciardo</v>
          </cell>
        </row>
        <row r="7687">
          <cell r="C7687" t="str">
            <v>Medrano Backfill - Part 2</v>
          </cell>
          <cell r="H7687">
            <v>5044794</v>
          </cell>
          <cell r="AK7687" t="str">
            <v>Betsy Cherian</v>
          </cell>
        </row>
        <row r="7688">
          <cell r="C7688" t="str">
            <v>Popular Bank - AML/BSA Extn 1</v>
          </cell>
          <cell r="H7688">
            <v>5043170</v>
          </cell>
          <cell r="AK7688" t="str">
            <v>Sara Sanchez</v>
          </cell>
        </row>
        <row r="7689">
          <cell r="C7689" t="str">
            <v>Customers Bank - CRA Plan Development</v>
          </cell>
          <cell r="H7689">
            <v>5043100</v>
          </cell>
          <cell r="AK7689" t="str">
            <v>Leigh Tribou</v>
          </cell>
        </row>
        <row r="7690">
          <cell r="C7690" t="str">
            <v>MCB - IAM and Production Security</v>
          </cell>
          <cell r="H7690">
            <v>5047074</v>
          </cell>
          <cell r="AK7690" t="str">
            <v>Ridha Mesli</v>
          </cell>
        </row>
        <row r="7691">
          <cell r="C7691" t="str">
            <v>SSBO GSP BA</v>
          </cell>
          <cell r="H7691">
            <v>5047076</v>
          </cell>
          <cell r="AK7691" t="str">
            <v>Ruben Sooriya</v>
          </cell>
        </row>
        <row r="7692">
          <cell r="C7692" t="str">
            <v>Capco Sales  Key CRA data remediation - RISC Extn 2</v>
          </cell>
          <cell r="H7692">
            <v>5046674</v>
          </cell>
          <cell r="AK7692" t="str">
            <v>Juan Pimentel</v>
          </cell>
        </row>
        <row r="7693">
          <cell r="C7693" t="str">
            <v>BB_Development_Capacity</v>
          </cell>
          <cell r="H7693">
            <v>5046794</v>
          </cell>
          <cell r="AK7693" t="str">
            <v>Luke Penca</v>
          </cell>
        </row>
        <row r="7694">
          <cell r="C7694" t="str">
            <v>IT PM Staff Aug</v>
          </cell>
          <cell r="H7694">
            <v>5047202</v>
          </cell>
          <cell r="AK7694" t="str">
            <v>Chelsea Mattias</v>
          </cell>
        </row>
        <row r="7695">
          <cell r="C7695" t="str">
            <v>Centennial AML/BSA Staff Aug</v>
          </cell>
          <cell r="H7695">
            <v>5046993</v>
          </cell>
          <cell r="AK7695" t="str">
            <v>Sara Sanchez</v>
          </cell>
        </row>
        <row r="7696">
          <cell r="C7696" t="str">
            <v>Sanctions validation - Banco Sabadell</v>
          </cell>
          <cell r="H7696">
            <v>5046906</v>
          </cell>
          <cell r="AK7696" t="str">
            <v>Aiswarya Parameswaran</v>
          </cell>
        </row>
        <row r="7697">
          <cell r="C7697" t="str">
            <v>Compliance &amp; HMDA Reviews</v>
          </cell>
          <cell r="H7697">
            <v>5047207</v>
          </cell>
          <cell r="AK7697" t="str">
            <v>Juan Pimentel</v>
          </cell>
        </row>
        <row r="7698">
          <cell r="C7698" t="str">
            <v>PGIM Tech Uplift (Extend &amp; Expand)</v>
          </cell>
          <cell r="H7698">
            <v>5047182</v>
          </cell>
          <cell r="AK7698" t="str">
            <v>Lauren Somma</v>
          </cell>
        </row>
        <row r="7699">
          <cell r="C7699" t="str">
            <v>PruExpress Pod - Tech Delivery</v>
          </cell>
          <cell r="H7699">
            <v>5047270</v>
          </cell>
          <cell r="AK7699" t="str">
            <v>Bharath Chikkamaranahalli Bhaskar</v>
          </cell>
        </row>
        <row r="7700">
          <cell r="C7700" t="str">
            <v>SVB Leerink IT PMO</v>
          </cell>
          <cell r="H7700">
            <v>5047264</v>
          </cell>
          <cell r="AK7700" t="str">
            <v>Nitin Raju</v>
          </cell>
        </row>
        <row r="7701">
          <cell r="C7701" t="str">
            <v>Jefferies DevOps Transformation 2023 Extension</v>
          </cell>
          <cell r="H7701">
            <v>5047334</v>
          </cell>
          <cell r="AK7701" t="str">
            <v>Nicholas Perkins</v>
          </cell>
        </row>
        <row r="7702">
          <cell r="C7702" t="str">
            <v>TP ICAP Broker Dealer Extension</v>
          </cell>
          <cell r="H7702">
            <v>5044825</v>
          </cell>
          <cell r="AK7702" t="str">
            <v>Kirby Pulver</v>
          </cell>
        </row>
        <row r="7703">
          <cell r="C7703" t="str">
            <v>SVB_Data Policy Expansion</v>
          </cell>
          <cell r="H7703">
            <v>5045341</v>
          </cell>
          <cell r="AK7703" t="str">
            <v>Parvez Shaikh</v>
          </cell>
        </row>
        <row r="7704">
          <cell r="C7704" t="str">
            <v>AFC Modeling CO4</v>
          </cell>
          <cell r="H7704">
            <v>5044647</v>
          </cell>
          <cell r="AK7704" t="str">
            <v>Ruby Cherian</v>
          </cell>
        </row>
        <row r="7705">
          <cell r="C7705" t="str">
            <v>MSWM_Investment Platforms_COO Short Term Support</v>
          </cell>
          <cell r="H7705">
            <v>5044940</v>
          </cell>
          <cell r="AK7705" t="str">
            <v>Dan Schutzman</v>
          </cell>
        </row>
        <row r="7706">
          <cell r="C7706" t="str">
            <v>PCT Federal Credit Union_RAS</v>
          </cell>
          <cell r="H7706">
            <v>5047109</v>
          </cell>
          <cell r="AK7706" t="str">
            <v>Travis Peraza</v>
          </cell>
        </row>
        <row r="7707">
          <cell r="C7707" t="str">
            <v>Prudential ILI Workshop III</v>
          </cell>
          <cell r="H7707">
            <v>5047136</v>
          </cell>
          <cell r="AK7707" t="str">
            <v>Emily Glaessner</v>
          </cell>
        </row>
        <row r="7708">
          <cell r="C7708" t="str">
            <v>Jefferies RegIM Day 2 Support</v>
          </cell>
          <cell r="H7708">
            <v>5047119</v>
          </cell>
          <cell r="AK7708" t="str">
            <v>Matthew Rodgers</v>
          </cell>
        </row>
        <row r="7709">
          <cell r="C7709" t="str">
            <v>Jefferies DevOps Transformation Credits</v>
          </cell>
          <cell r="H7709">
            <v>5047334</v>
          </cell>
          <cell r="AK7709" t="str">
            <v>Nicholas Perkins</v>
          </cell>
        </row>
        <row r="7710">
          <cell r="C7710" t="str">
            <v>PM for MS Front Office Data Team</v>
          </cell>
          <cell r="H7710">
            <v>5047120</v>
          </cell>
          <cell r="AK7710" t="str">
            <v>Ruben Sooriya</v>
          </cell>
        </row>
        <row r="7711">
          <cell r="C7711" t="str">
            <v>HNB - Fraud Authentication Delivery Pod</v>
          </cell>
          <cell r="H7711">
            <v>5047134</v>
          </cell>
          <cell r="AK7711" t="str">
            <v>Imran Aquil</v>
          </cell>
        </row>
        <row r="7712">
          <cell r="C7712" t="str">
            <v>SVB CO_Marketing Process PGM Management</v>
          </cell>
          <cell r="H7712">
            <v>5045829</v>
          </cell>
          <cell r="AK7712" t="str">
            <v>Mark Mountan</v>
          </cell>
        </row>
        <row r="7713">
          <cell r="C7713" t="str">
            <v>Principal Financial Group - Brokerage Platform</v>
          </cell>
          <cell r="H7713">
            <v>5047131</v>
          </cell>
          <cell r="AK7713" t="str">
            <v>Paul Fulmer</v>
          </cell>
        </row>
        <row r="7714">
          <cell r="C7714" t="str">
            <v>SVB API portal DevOps and SRE - 2</v>
          </cell>
          <cell r="H7714">
            <v>5047180</v>
          </cell>
          <cell r="AK7714" t="str">
            <v>Chinmoy Bhatiya</v>
          </cell>
        </row>
        <row r="7715">
          <cell r="C7715" t="str">
            <v>BSA Independent Test 2022</v>
          </cell>
          <cell r="H7715">
            <v>5045071</v>
          </cell>
          <cell r="AK7715" t="str">
            <v>Charles Mcwilliam</v>
          </cell>
        </row>
        <row r="7716">
          <cell r="C7716" t="str">
            <v>FrMc_Data Privacy &amp; Governance (SA)</v>
          </cell>
          <cell r="H7716">
            <v>5047179</v>
          </cell>
          <cell r="AK7716" t="str">
            <v>Chad Bonadonna</v>
          </cell>
        </row>
        <row r="7717">
          <cell r="C7717" t="str">
            <v>FrMc_SA BA Support Role (SA)</v>
          </cell>
          <cell r="H7717">
            <v>5046062</v>
          </cell>
          <cell r="AK7717" t="str">
            <v>Kalkidan Tedla</v>
          </cell>
        </row>
        <row r="7718">
          <cell r="C7718" t="str">
            <v>ICG FRMT Extension Erv, Nishant, Dan Q4 2022</v>
          </cell>
          <cell r="H7718">
            <v>5047183</v>
          </cell>
          <cell r="AK7718" t="str">
            <v>Ervinas Janavicius</v>
          </cell>
        </row>
        <row r="7719">
          <cell r="C7719" t="str">
            <v>SMBC T+1 Assesment</v>
          </cell>
          <cell r="H7719">
            <v>5047194</v>
          </cell>
          <cell r="AK7719" t="str">
            <v>Anthony Madej</v>
          </cell>
        </row>
        <row r="7720">
          <cell r="C7720" t="str">
            <v>FrMc_EOT Data Analytics and PowerBI Support</v>
          </cell>
          <cell r="H7720">
            <v>5046317</v>
          </cell>
          <cell r="AK7720" t="str">
            <v>Kalkidan Tedla</v>
          </cell>
        </row>
        <row r="7721">
          <cell r="C7721" t="str">
            <v>SBD - Interim Compliance Officer</v>
          </cell>
          <cell r="H7721">
            <v>5047268</v>
          </cell>
          <cell r="AK7721" t="str">
            <v>Mariana Dumanovsky</v>
          </cell>
        </row>
        <row r="7722">
          <cell r="C7722" t="str">
            <v>HSBC-IT-MRA Controls PM</v>
          </cell>
          <cell r="H7722">
            <v>5047215</v>
          </cell>
          <cell r="AK7722" t="str">
            <v>Steven D'Angelo</v>
          </cell>
        </row>
        <row r="7723">
          <cell r="C7723" t="str">
            <v>JEFF_IT Risk Analyst_Extension_Oct_Dec_2022</v>
          </cell>
          <cell r="H7723">
            <v>5047335</v>
          </cell>
          <cell r="AK7723" t="str">
            <v>Justin Gonlag</v>
          </cell>
        </row>
        <row r="7724">
          <cell r="C7724" t="str">
            <v>SVB_Enterprise Agile BL</v>
          </cell>
          <cell r="H7724">
            <v>5045061</v>
          </cell>
          <cell r="AK7724" t="str">
            <v>Michael Guerrero</v>
          </cell>
        </row>
        <row r="7725">
          <cell r="C7725" t="str">
            <v>DB Wealth Core Platform - Finance and Tax_Ext Q42022</v>
          </cell>
          <cell r="H7725">
            <v>5045162</v>
          </cell>
          <cell r="AK7725" t="str">
            <v>Ruby Cherian</v>
          </cell>
        </row>
        <row r="7726">
          <cell r="C7726" t="str">
            <v>Investors AML/BSA Ext.</v>
          </cell>
          <cell r="H7726">
            <v>5047262</v>
          </cell>
          <cell r="AK7726" t="str">
            <v>Corene Connor</v>
          </cell>
        </row>
        <row r="7727">
          <cell r="C7727" t="str">
            <v>SVB API Platform Extension - Jennifer Rai</v>
          </cell>
          <cell r="H7727">
            <v>5047269</v>
          </cell>
          <cell r="AK7727" t="str">
            <v>Ameya Deolalkar</v>
          </cell>
        </row>
        <row r="7728">
          <cell r="C7728" t="str">
            <v>DB Wealth Core Platform Program Lead support Q42022</v>
          </cell>
          <cell r="H7728">
            <v>5045191</v>
          </cell>
          <cell r="AK7728" t="str">
            <v>Ruby Cherian</v>
          </cell>
        </row>
        <row r="7729">
          <cell r="C7729" t="str">
            <v>IBOR IT Extension</v>
          </cell>
          <cell r="H7729">
            <v>5047328</v>
          </cell>
          <cell r="AK7729" t="str">
            <v>Conor Dowling</v>
          </cell>
        </row>
        <row r="7730">
          <cell r="C7730" t="str">
            <v>Dime Bank 2022 Addendum</v>
          </cell>
          <cell r="H7730">
            <v>5044453</v>
          </cell>
          <cell r="AK7730" t="str">
            <v>Gail Rassler</v>
          </cell>
        </row>
        <row r="7731">
          <cell r="C7731" t="str">
            <v>Centennial_Lending Analysts Ext Oct 2022</v>
          </cell>
          <cell r="H7731">
            <v>5046816</v>
          </cell>
          <cell r="AK7731" t="str">
            <v>Jennifer Lifgren</v>
          </cell>
        </row>
        <row r="7732">
          <cell r="C7732" t="str">
            <v>APAC CRB QA Extension 22-23</v>
          </cell>
          <cell r="H7732">
            <v>5047463</v>
          </cell>
          <cell r="AK7732" t="str">
            <v>John McCaffrey</v>
          </cell>
        </row>
        <row r="7733">
          <cell r="C7733" t="str">
            <v>Plumas FLRA 2022 Q4</v>
          </cell>
          <cell r="H7733">
            <v>5045435</v>
          </cell>
          <cell r="AK7733" t="str">
            <v>Leigh Tribou</v>
          </cell>
        </row>
        <row r="7734">
          <cell r="C7734" t="str">
            <v>Sabal Trust Annual Directors Audit</v>
          </cell>
          <cell r="H7734">
            <v>5046844</v>
          </cell>
          <cell r="AK7734" t="str">
            <v>Mary Louise Radley</v>
          </cell>
        </row>
        <row r="7735">
          <cell r="C7735" t="str">
            <v>SVB_Enterprise Agile GA</v>
          </cell>
          <cell r="H7735">
            <v>5045234</v>
          </cell>
          <cell r="AK7735" t="str">
            <v>Michael Guerrero</v>
          </cell>
        </row>
        <row r="7736">
          <cell r="C7736" t="str">
            <v>BayVanguard Bank_RAS</v>
          </cell>
          <cell r="H7736">
            <v>5047110</v>
          </cell>
          <cell r="AK7736" t="str">
            <v>Diane Banks</v>
          </cell>
        </row>
        <row r="7737">
          <cell r="C7737" t="str">
            <v>Alts PM Q4 Extension</v>
          </cell>
          <cell r="H7737">
            <v>5047132</v>
          </cell>
          <cell r="AK7737" t="str">
            <v>Jennifer Hsiung</v>
          </cell>
        </row>
        <row r="7738">
          <cell r="C7738" t="str">
            <v>Southern Bank_RAS</v>
          </cell>
          <cell r="H7738">
            <v>5047260</v>
          </cell>
          <cell r="AK7738" t="str">
            <v>Diane Banks</v>
          </cell>
        </row>
        <row r="7739">
          <cell r="C7739" t="str">
            <v>Veritex BSA/AML/OFAC Risk Assessment</v>
          </cell>
          <cell r="H7739">
            <v>5045491</v>
          </cell>
          <cell r="AK7739" t="str">
            <v>William Sachs</v>
          </cell>
        </row>
        <row r="7740">
          <cell r="C7740" t="str">
            <v>Metropolitan Commercial Bank</v>
          </cell>
          <cell r="H7740">
            <v>5046964</v>
          </cell>
          <cell r="AK7740" t="str">
            <v>Leigh Tribou</v>
          </cell>
        </row>
        <row r="7741">
          <cell r="C7741" t="str">
            <v>SVB_API Strategy and Product Partnership</v>
          </cell>
          <cell r="H7741">
            <v>5045955</v>
          </cell>
          <cell r="AK7741" t="str">
            <v>Nate Walton</v>
          </cell>
        </row>
        <row r="7742">
          <cell r="C7742" t="str">
            <v>SVB BP Integration OCT - Dec</v>
          </cell>
          <cell r="H7742">
            <v>5045828</v>
          </cell>
          <cell r="AK7742" t="str">
            <v>Andrew Murphy</v>
          </cell>
        </row>
        <row r="7743">
          <cell r="C7743" t="str">
            <v>FrMc_Resolution Planning Role Ext (SA)</v>
          </cell>
          <cell r="H7743">
            <v>5045494</v>
          </cell>
          <cell r="AK7743" t="str">
            <v>Michael Mathew</v>
          </cell>
        </row>
        <row r="7744">
          <cell r="C7744" t="str">
            <v>ITG Bus Manager Ext</v>
          </cell>
          <cell r="H7744">
            <v>5046124</v>
          </cell>
          <cell r="AK7744" t="str">
            <v>Christina Artieda</v>
          </cell>
        </row>
        <row r="7745">
          <cell r="C7745" t="str">
            <v>HB BOL Q3/Q4</v>
          </cell>
          <cell r="H7745">
            <v>5045303</v>
          </cell>
          <cell r="AK7745" t="str">
            <v>Bemo Itoe</v>
          </cell>
        </row>
        <row r="7746">
          <cell r="C7746" t="str">
            <v>Natixis_Vulnerability Operationalization</v>
          </cell>
          <cell r="H7746">
            <v>5045809</v>
          </cell>
          <cell r="AK7746" t="str">
            <v>Boris Mallet</v>
          </cell>
        </row>
        <row r="7747">
          <cell r="C7747" t="str">
            <v>HB Digital Wealth - InvestCloud Extension</v>
          </cell>
          <cell r="H7747">
            <v>5044821</v>
          </cell>
          <cell r="AK7747" t="str">
            <v>Nikhil Sharma</v>
          </cell>
        </row>
        <row r="7748">
          <cell r="C7748" t="str">
            <v>MMSD Resource Managers</v>
          </cell>
          <cell r="H7748">
            <v>5046804</v>
          </cell>
          <cell r="AK7748" t="str">
            <v>Gordon Lunsford</v>
          </cell>
        </row>
        <row r="7749">
          <cell r="C7749" t="str">
            <v>BSA AML Audit</v>
          </cell>
          <cell r="H7749">
            <v>5047153</v>
          </cell>
          <cell r="AK7749" t="str">
            <v>Charles Mcwilliam</v>
          </cell>
        </row>
        <row r="7750">
          <cell r="C7750" t="str">
            <v>Private Flood Insurance Review</v>
          </cell>
          <cell r="H7750">
            <v>5047177</v>
          </cell>
          <cell r="AK7750" t="str">
            <v>David Belfer</v>
          </cell>
        </row>
        <row r="7751">
          <cell r="C7751" t="str">
            <v>SVB Data Engineering PM CO3</v>
          </cell>
          <cell r="H7751">
            <v>5045822</v>
          </cell>
          <cell r="AK7751" t="str">
            <v>Christopher Tecchio</v>
          </cell>
        </row>
        <row r="7752">
          <cell r="C7752" t="str">
            <v>InvestCloud (Direct) Delivery Support_TIer 1</v>
          </cell>
          <cell r="H7752">
            <v>5047406</v>
          </cell>
          <cell r="AK7752" t="str">
            <v>James Jeffries</v>
          </cell>
        </row>
        <row r="7753">
          <cell r="C7753" t="str">
            <v>MSWM_Investment Platforms_Alt Invest Extension [Oct 2022]</v>
          </cell>
          <cell r="H7753">
            <v>5044827</v>
          </cell>
          <cell r="AK7753" t="str">
            <v>Dan Schutzman</v>
          </cell>
        </row>
        <row r="7754">
          <cell r="C7754" t="str">
            <v>Revantage MT ext oct</v>
          </cell>
          <cell r="H7754">
            <v>5046773</v>
          </cell>
          <cell r="AK7754" t="str">
            <v>Grzegorz Walukanis</v>
          </cell>
        </row>
        <row r="7755">
          <cell r="C7755" t="str">
            <v>Jefferies New Business Support</v>
          </cell>
          <cell r="H7755">
            <v>5047325</v>
          </cell>
          <cell r="AK7755" t="str">
            <v>Julia Simmons</v>
          </cell>
        </row>
        <row r="7756">
          <cell r="C7756" t="str">
            <v>SVB PSP Stabilization Pod Ext</v>
          </cell>
          <cell r="H7756">
            <v>5047075</v>
          </cell>
          <cell r="AK7756" t="str">
            <v>Nitin Raju</v>
          </cell>
        </row>
        <row r="7757">
          <cell r="C7757" t="str">
            <v>Vendor Program Review</v>
          </cell>
          <cell r="H7757">
            <v>5046903</v>
          </cell>
          <cell r="AK7757" t="str">
            <v>Tania Makuh</v>
          </cell>
        </row>
        <row r="7758">
          <cell r="C7758" t="str">
            <v>HSBC-IT- Sr Controls PM</v>
          </cell>
          <cell r="H7758">
            <v>5047267</v>
          </cell>
          <cell r="AK7758" t="str">
            <v>Steven D'Angelo</v>
          </cell>
        </row>
        <row r="7759">
          <cell r="C7759" t="str">
            <v>EGM_Truist Dev Delivery 2022Q4</v>
          </cell>
          <cell r="H7759">
            <v>5047284</v>
          </cell>
          <cell r="AK7759" t="str">
            <v>Brett Knickle</v>
          </cell>
        </row>
        <row r="7760">
          <cell r="C7760" t="str">
            <v>Gilded_Global FinTech 3.0 - Sep thru Dec</v>
          </cell>
          <cell r="H7760">
            <v>5044156</v>
          </cell>
          <cell r="AK7760" t="str">
            <v>Grzegorz Walukanis</v>
          </cell>
        </row>
        <row r="7761">
          <cell r="C7761" t="str">
            <v>Jefferies IBOR COE Q4 support</v>
          </cell>
          <cell r="H7761">
            <v>5047327</v>
          </cell>
          <cell r="AK7761" t="str">
            <v>Julia Simmons</v>
          </cell>
        </row>
        <row r="7762">
          <cell r="C7762" t="str">
            <v>Customers HMDA Reviews 22-23</v>
          </cell>
          <cell r="H7762">
            <v>5047458</v>
          </cell>
          <cell r="AK7762" t="str">
            <v>Juan Pimentel</v>
          </cell>
        </row>
        <row r="7763">
          <cell r="C7763" t="str">
            <v>MS_REM_TPPM_ProcessUnity Business Analyst [Kristen Wong]</v>
          </cell>
          <cell r="H7763">
            <v>5044798</v>
          </cell>
          <cell r="AK7763" t="str">
            <v>Dan Schutzman</v>
          </cell>
        </row>
        <row r="7764">
          <cell r="C7764" t="str">
            <v>Shift_Service Design</v>
          </cell>
          <cell r="H7764">
            <v>5047283</v>
          </cell>
          <cell r="AK7764" t="str">
            <v>Thomas Wendt</v>
          </cell>
        </row>
        <row r="7765">
          <cell r="C7765" t="str">
            <v>SVB_BP Reg Reporting Oct-Dec</v>
          </cell>
          <cell r="H7765">
            <v>5047408</v>
          </cell>
          <cell r="AK7765" t="str">
            <v>Nitin Raju</v>
          </cell>
        </row>
        <row r="7766">
          <cell r="C7766" t="str">
            <v>SVB Design/Research Council</v>
          </cell>
          <cell r="H7766">
            <v>5047407</v>
          </cell>
          <cell r="AK7766" t="str">
            <v>Thomas Wendt</v>
          </cell>
        </row>
        <row r="7767">
          <cell r="C7767" t="str">
            <v>High Peak (Acusite) - Business Plan Advisory</v>
          </cell>
          <cell r="H7767">
            <v>5047336</v>
          </cell>
          <cell r="AK7767" t="str">
            <v>Emily Glaessner</v>
          </cell>
        </row>
        <row r="7768">
          <cell r="C7768" t="str">
            <v>RJ SBL Implementation Phase 2a: Discovery</v>
          </cell>
          <cell r="H7768">
            <v>5047312</v>
          </cell>
          <cell r="AK7768" t="str">
            <v>Brett Fisher</v>
          </cell>
        </row>
        <row r="7769">
          <cell r="C7769" t="str">
            <v>Jaris Model Validation</v>
          </cell>
          <cell r="H7769">
            <v>5047307</v>
          </cell>
          <cell r="AK7769" t="str">
            <v>Leigh Tribou</v>
          </cell>
        </row>
        <row r="7770">
          <cell r="C7770" t="str">
            <v>Harbor Bank of Maryland BSA Independent Testing</v>
          </cell>
          <cell r="H7770">
            <v>5047373</v>
          </cell>
          <cell r="AK7770" t="str">
            <v>W. Annette Dredden</v>
          </cell>
        </row>
        <row r="7771">
          <cell r="C7771" t="str">
            <v>CACIB - Obsolescence Program Quality Review</v>
          </cell>
          <cell r="H7771">
            <v>5047344</v>
          </cell>
          <cell r="AK7771" t="str">
            <v>Kristen Visakay</v>
          </cell>
        </row>
        <row r="7772">
          <cell r="C7772" t="str">
            <v>BMO Market Risk &amp; Corporate Treasury - Agile Transformation</v>
          </cell>
          <cell r="H7772">
            <v>5047324</v>
          </cell>
          <cell r="AK7772" t="str">
            <v>Patrice Nye</v>
          </cell>
        </row>
        <row r="7773">
          <cell r="C7773" t="str">
            <v>Alert Clearing - RMC</v>
          </cell>
          <cell r="H7773">
            <v>5047324</v>
          </cell>
          <cell r="AK7773" t="str">
            <v>Patrice Nye</v>
          </cell>
        </row>
        <row r="7774">
          <cell r="C7774" t="str">
            <v>MVB Bank - RDC &amp; Mobile Deposit Risk Assessment</v>
          </cell>
          <cell r="H7774">
            <v>5047362</v>
          </cell>
          <cell r="AK7774" t="str">
            <v>Robert Farmer</v>
          </cell>
        </row>
        <row r="7775">
          <cell r="C7775" t="str">
            <v>Valley Bank Fiduciary Administrative Review</v>
          </cell>
          <cell r="H7775">
            <v>5047396</v>
          </cell>
          <cell r="AK7775" t="str">
            <v>David Stalnaker</v>
          </cell>
        </row>
        <row r="7776">
          <cell r="C7776" t="str">
            <v>TRUIST_Project Ignite WO#1</v>
          </cell>
          <cell r="H7776">
            <v>5047477</v>
          </cell>
          <cell r="AK7776" t="str">
            <v>Thomas Wilson</v>
          </cell>
        </row>
        <row r="7777">
          <cell r="C7777" t="str">
            <v>MCB - Cloud and Infrastructure Management</v>
          </cell>
          <cell r="H7777">
            <v>5047383</v>
          </cell>
          <cell r="AK7777" t="str">
            <v>Luke Penca</v>
          </cell>
        </row>
        <row r="7778">
          <cell r="C7778" t="str">
            <v>Vendor Management Review</v>
          </cell>
          <cell r="H7778">
            <v>5047465</v>
          </cell>
          <cell r="AK7778" t="str">
            <v>Eric Van Epps</v>
          </cell>
        </row>
        <row r="7779">
          <cell r="C7779" t="str">
            <v>GTSO Portfolio Dashboard</v>
          </cell>
          <cell r="H7779">
            <v>5045977</v>
          </cell>
          <cell r="AK7779" t="str">
            <v>Emily Clark</v>
          </cell>
        </row>
        <row r="7780">
          <cell r="C7780" t="str">
            <v>Jefferies Padma</v>
          </cell>
          <cell r="H7780">
            <v>5043230</v>
          </cell>
          <cell r="AK7780" t="str">
            <v>John Clifford</v>
          </cell>
        </row>
        <row r="7781">
          <cell r="C7781" t="str">
            <v>SVB_LFI-CECL Reporting CO1</v>
          </cell>
          <cell r="H7781">
            <v>5045588</v>
          </cell>
          <cell r="AK7781" t="str">
            <v>Kyle Marynowski</v>
          </cell>
        </row>
        <row r="7782">
          <cell r="C7782" t="str">
            <v>DB-PB-WLT-IT-US Wealth Novo H2 2022</v>
          </cell>
          <cell r="H7782">
            <v>5047385</v>
          </cell>
          <cell r="AK7782" t="str">
            <v>Ruby Cherian</v>
          </cell>
        </row>
        <row r="7783">
          <cell r="C7783" t="str">
            <v>Delta Community Credit Union Data Security and Privacy Assessment</v>
          </cell>
          <cell r="H7783">
            <v>5047343</v>
          </cell>
          <cell r="AK7783" t="str">
            <v>Paul Laurent</v>
          </cell>
        </row>
        <row r="7784">
          <cell r="C7784" t="str">
            <v>Pru_HR Pod 1 (PruComms)</v>
          </cell>
          <cell r="H7784">
            <v>5047366</v>
          </cell>
          <cell r="AK7784" t="str">
            <v>Lauren Somma</v>
          </cell>
        </row>
        <row r="7785">
          <cell r="C7785" t="str">
            <v>MSWM_Consulting Group_WM Billing Automation EXT</v>
          </cell>
          <cell r="H7785">
            <v>5045912</v>
          </cell>
          <cell r="AK7785" t="str">
            <v>Dan Schutzman</v>
          </cell>
        </row>
        <row r="7786">
          <cell r="C7786" t="str">
            <v>Nassau_Senior PM Support Ext 1</v>
          </cell>
          <cell r="H7786">
            <v>5045249</v>
          </cell>
          <cell r="AK7786" t="str">
            <v>Eric Fairchild</v>
          </cell>
        </row>
        <row r="7787">
          <cell r="C7787" t="str">
            <v>HSBC-DBS-OCC Remediation Support Team - Q3 Extension 2022</v>
          </cell>
          <cell r="H7787">
            <v>5044484</v>
          </cell>
          <cell r="AK7787" t="str">
            <v>Rahul Govada</v>
          </cell>
        </row>
        <row r="7788">
          <cell r="C7788" t="str">
            <v>Jefferies - Junior PMO - Tech Change Enablement Team</v>
          </cell>
          <cell r="H7788">
            <v>5047478</v>
          </cell>
          <cell r="AK7788" t="str">
            <v>Imran Parekh</v>
          </cell>
        </row>
        <row r="7789">
          <cell r="C7789" t="str">
            <v>SvnHan_BSA/AML Assistance</v>
          </cell>
          <cell r="H7789">
            <v>5047342</v>
          </cell>
          <cell r="AK7789" t="str">
            <v>William Sachs</v>
          </cell>
        </row>
        <row r="7790">
          <cell r="C7790" t="str">
            <v>SvnHan_AML Broker Dealer 2022</v>
          </cell>
          <cell r="H7790">
            <v>5047341</v>
          </cell>
          <cell r="AK7790" t="str">
            <v>William Sachs</v>
          </cell>
        </row>
        <row r="7791">
          <cell r="C7791" t="str">
            <v>HSBC-DBS-OCC Remediation IT Program (BA)-EXT1</v>
          </cell>
          <cell r="H7791">
            <v>5045386</v>
          </cell>
          <cell r="AK7791" t="str">
            <v>Rahul Govada</v>
          </cell>
        </row>
        <row r="7792">
          <cell r="C7792" t="str">
            <v>1st Colonial MQC 22-23</v>
          </cell>
          <cell r="H7792">
            <v>5047513</v>
          </cell>
          <cell r="AK7792" t="str">
            <v>Christian Maier</v>
          </cell>
        </row>
        <row r="7793">
          <cell r="C7793" t="str">
            <v>Open Bank - Channel and Transformation - Phase 2</v>
          </cell>
          <cell r="H7793">
            <v>5045590</v>
          </cell>
          <cell r="AK7793" t="str">
            <v>Dana Schwaeber</v>
          </cell>
        </row>
        <row r="7794">
          <cell r="C7794" t="str">
            <v>Artisans' Bank - MQC 22-23</v>
          </cell>
          <cell r="H7794">
            <v>5047491</v>
          </cell>
          <cell r="AK7794" t="str">
            <v>Christian Maier</v>
          </cell>
        </row>
        <row r="7795">
          <cell r="C7795" t="str">
            <v>FrMc_ICM LIBOR</v>
          </cell>
          <cell r="H7795">
            <v>5047415</v>
          </cell>
          <cell r="AK7795" t="str">
            <v>Michael Mathew</v>
          </cell>
        </row>
        <row r="7796">
          <cell r="C7796" t="str">
            <v>Bravera Bank_MQC 22-23</v>
          </cell>
          <cell r="H7796">
            <v>5047610</v>
          </cell>
          <cell r="AK7796" t="str">
            <v>Christian Maier</v>
          </cell>
        </row>
        <row r="7797">
          <cell r="C7797" t="str">
            <v>Marketing Program Update</v>
          </cell>
          <cell r="H7797">
            <v>5047629</v>
          </cell>
          <cell r="AK7797" t="str">
            <v>Eugene Collett</v>
          </cell>
        </row>
        <row r="7798">
          <cell r="C7798" t="str">
            <v>SYF-Collibra Consulting CO 2</v>
          </cell>
          <cell r="H7798">
            <v>5045440</v>
          </cell>
          <cell r="AK7798" t="str">
            <v>John Cahill</v>
          </cell>
        </row>
        <row r="7799">
          <cell r="C7799" t="str">
            <v>Eq Flow Monitor Junior Dev</v>
          </cell>
          <cell r="H7799">
            <v>5047380</v>
          </cell>
          <cell r="AK7799" t="str">
            <v>Irina Szilagyi</v>
          </cell>
        </row>
        <row r="7800">
          <cell r="C7800" t="str">
            <v>CapitalB NA-MQC 22-23</v>
          </cell>
          <cell r="H7800">
            <v>5048247</v>
          </cell>
          <cell r="AK7800" t="str">
            <v>Christian Maier</v>
          </cell>
        </row>
        <row r="7801">
          <cell r="C7801" t="str">
            <v>ION Project Team Phase 2</v>
          </cell>
          <cell r="H7801">
            <v>5045306</v>
          </cell>
          <cell r="AK7801" t="str">
            <v>Christina Artieda</v>
          </cell>
        </row>
        <row r="7802">
          <cell r="C7802" t="str">
            <v>Pru_Acusite Platform Development Part 2</v>
          </cell>
          <cell r="H7802">
            <v>5046910</v>
          </cell>
          <cell r="AK7802" t="str">
            <v>Laura D'Alessandro</v>
          </cell>
        </row>
        <row r="7803">
          <cell r="C7803" t="str">
            <v>Revantage AS PMO</v>
          </cell>
          <cell r="H7803">
            <v>5047493</v>
          </cell>
          <cell r="AK7803" t="str">
            <v>Grzegorz Walukanis</v>
          </cell>
        </row>
        <row r="7804">
          <cell r="C7804" t="str">
            <v>MS HR Data Strategy</v>
          </cell>
          <cell r="H7804">
            <v>5047431</v>
          </cell>
          <cell r="AK7804" t="str">
            <v>Kshitij Zaveri</v>
          </cell>
        </row>
        <row r="7805">
          <cell r="C7805" t="str">
            <v>SVB Credit Admin UX Addition</v>
          </cell>
          <cell r="H7805">
            <v>5047552</v>
          </cell>
          <cell r="AK7805" t="str">
            <v>Cynthia Lee</v>
          </cell>
        </row>
        <row r="7806">
          <cell r="C7806" t="str">
            <v>First Merchants Bank UDAAP Risk Assessment</v>
          </cell>
          <cell r="H7806">
            <v>5047547</v>
          </cell>
          <cell r="AK7806" t="str">
            <v>Steve Manitzas</v>
          </cell>
        </row>
        <row r="7807">
          <cell r="C7807" t="str">
            <v>Battle Bank System Integrator Extension - Phase 3</v>
          </cell>
          <cell r="H7807">
            <v>5047466</v>
          </cell>
          <cell r="AK7807" t="str">
            <v>James Kane</v>
          </cell>
        </row>
        <row r="7808">
          <cell r="C7808" t="str">
            <v>Commerce Bank Digital Post Purchase Installments</v>
          </cell>
          <cell r="H7808">
            <v>5046669</v>
          </cell>
          <cell r="AK7808" t="str">
            <v>Kari Raimondi</v>
          </cell>
        </row>
        <row r="7809">
          <cell r="C7809" t="str">
            <v>Key Process AMD 6</v>
          </cell>
          <cell r="H7809">
            <v>5042840</v>
          </cell>
          <cell r="AK7809" t="str">
            <v>Samuel Awsumb</v>
          </cell>
        </row>
        <row r="7810">
          <cell r="C7810" t="str">
            <v>ICB China US-RCM Monitoring ext 2</v>
          </cell>
          <cell r="H7810">
            <v>5034487</v>
          </cell>
          <cell r="AK7810" t="str">
            <v>Leah Robinson</v>
          </cell>
        </row>
        <row r="7811">
          <cell r="C7811" t="str">
            <v>Unqork Extension Nov-Dec 2022</v>
          </cell>
          <cell r="H7811">
            <v>5046982</v>
          </cell>
          <cell r="AK7811" t="str">
            <v>Devyani Patel</v>
          </cell>
        </row>
        <row r="7812">
          <cell r="C7812" t="str">
            <v>UB_116 TO1_Symphony SP-008 Ext 1</v>
          </cell>
          <cell r="H7812">
            <v>5044330</v>
          </cell>
          <cell r="AK7812" t="str">
            <v>Samuel Awsumb</v>
          </cell>
        </row>
        <row r="7813">
          <cell r="C7813" t="str">
            <v>SEIU IT - Addl PO/BA, QA Ph2</v>
          </cell>
          <cell r="H7813">
            <v>5046704</v>
          </cell>
          <cell r="AK7813" t="str">
            <v>Eric Fairchild</v>
          </cell>
        </row>
        <row r="7814">
          <cell r="C7814" t="str">
            <v>CC5-Fraud Risk Assessment</v>
          </cell>
          <cell r="H7814">
            <v>5047333</v>
          </cell>
          <cell r="AK7814" t="str">
            <v>Delsys Salas</v>
          </cell>
        </row>
        <row r="7815">
          <cell r="C7815" t="str">
            <v>WTB BUCO HLD Extn</v>
          </cell>
          <cell r="H7815">
            <v>5043264</v>
          </cell>
          <cell r="AK7815" t="str">
            <v>Brian Phillips</v>
          </cell>
        </row>
        <row r="7816">
          <cell r="C7816" t="str">
            <v>Malaga Extension</v>
          </cell>
          <cell r="H7816">
            <v>5047522</v>
          </cell>
          <cell r="AK7816" t="str">
            <v>Helen Person</v>
          </cell>
        </row>
        <row r="7817">
          <cell r="C7817" t="str">
            <v>SVB_Leerink IT PMO Nov - Jan</v>
          </cell>
          <cell r="H7817">
            <v>5047264</v>
          </cell>
          <cell r="AK7817" t="str">
            <v>Nitin Raju</v>
          </cell>
        </row>
        <row r="7818">
          <cell r="C7818" t="str">
            <v>ICB China US-RCM Monitoring '23</v>
          </cell>
          <cell r="H7818">
            <v>5034487</v>
          </cell>
          <cell r="AK7818" t="str">
            <v>Leah Robinson</v>
          </cell>
        </row>
        <row r="7819">
          <cell r="C7819" t="str">
            <v>RBCUS - TransactionTestingMRA RISC</v>
          </cell>
          <cell r="H7819">
            <v>5047474</v>
          </cell>
          <cell r="AK7819" t="str">
            <v>Danny Li</v>
          </cell>
        </row>
        <row r="7820">
          <cell r="C7820" t="str">
            <v>RBCUS - TransactionTestingMRA RISC</v>
          </cell>
          <cell r="H7820">
            <v>5047474</v>
          </cell>
          <cell r="AK7820" t="str">
            <v>Danny Li</v>
          </cell>
        </row>
        <row r="7821">
          <cell r="C7821" t="str">
            <v>Pru_OneTrust Cookie Consent Implementation</v>
          </cell>
          <cell r="H7821">
            <v>5047526</v>
          </cell>
          <cell r="AK7821" t="str">
            <v>Chaitan Parikh</v>
          </cell>
        </row>
        <row r="7822">
          <cell r="C7822" t="str">
            <v>US Bank - ESG</v>
          </cell>
          <cell r="H7822">
            <v>5047588</v>
          </cell>
          <cell r="AK7822" t="str">
            <v>Carolyn Allwin</v>
          </cell>
        </row>
        <row r="7823">
          <cell r="C7823" t="str">
            <v>RBCUS Qlikview Dev Nov 22 - Apr 23</v>
          </cell>
          <cell r="H7823">
            <v>5044766</v>
          </cell>
          <cell r="AK7823" t="str">
            <v>Kirby Pulver</v>
          </cell>
        </row>
        <row r="7824">
          <cell r="C7824" t="str">
            <v>LOD2 Framework &amp; DFS 500 Assessment</v>
          </cell>
          <cell r="H7824">
            <v>5047469</v>
          </cell>
          <cell r="AK7824" t="str">
            <v>Boris Mallet</v>
          </cell>
        </row>
        <row r="7825">
          <cell r="C7825" t="str">
            <v>Murex Production Support</v>
          </cell>
          <cell r="H7825">
            <v>5047781</v>
          </cell>
          <cell r="AK7825" t="str">
            <v>Nikin Karunakaran Nambiar</v>
          </cell>
        </row>
        <row r="7826">
          <cell r="C7826" t="str">
            <v>Natixis - VPM Risk Decisioning</v>
          </cell>
          <cell r="H7826">
            <v>5047580</v>
          </cell>
          <cell r="AK7826" t="str">
            <v>Boris Mallet</v>
          </cell>
        </row>
        <row r="7827">
          <cell r="C7827" t="str">
            <v>SEIU_CLC EA Project Support Ph6</v>
          </cell>
          <cell r="H7827">
            <v>5041705</v>
          </cell>
          <cell r="AK7827" t="str">
            <v>Eric Fairchild</v>
          </cell>
        </row>
        <row r="7828">
          <cell r="C7828" t="str">
            <v>ICBC NY - Regulatory Updates '23</v>
          </cell>
          <cell r="H7828">
            <v>5034379</v>
          </cell>
          <cell r="AK7828" t="str">
            <v>Leah Robinson</v>
          </cell>
        </row>
        <row r="7829">
          <cell r="C7829" t="str">
            <v>Pru_Independent Agent - External Marketing Launch ($150k Option)</v>
          </cell>
          <cell r="H7829">
            <v>5047518</v>
          </cell>
          <cell r="AK7829" t="str">
            <v>Matthew Berkowitz</v>
          </cell>
        </row>
        <row r="7830">
          <cell r="C7830" t="str">
            <v>MS_WM_Ops_Home Loan Services</v>
          </cell>
          <cell r="H7830">
            <v>5047495</v>
          </cell>
          <cell r="AK7830" t="str">
            <v>Raymond Ortiz II</v>
          </cell>
        </row>
        <row r="7831">
          <cell r="C7831" t="str">
            <v>NET CU - Information Security RA</v>
          </cell>
          <cell r="H7831">
            <v>5044309</v>
          </cell>
          <cell r="AK7831" t="str">
            <v>Robert Farmer</v>
          </cell>
        </row>
        <row r="7832">
          <cell r="C7832" t="str">
            <v>Empire State Bank_CRA Services</v>
          </cell>
          <cell r="H7832">
            <v>5047574</v>
          </cell>
          <cell r="AK7832" t="str">
            <v>Elanna Kooistra</v>
          </cell>
        </row>
        <row r="7833">
          <cell r="C7833" t="str">
            <v>Farmers Merchants MQC Reviews 22-23</v>
          </cell>
          <cell r="H7833">
            <v>5047844</v>
          </cell>
          <cell r="AK7833" t="str">
            <v>Christian Maier</v>
          </cell>
        </row>
        <row r="7834">
          <cell r="C7834" t="str">
            <v>Client Ops - Client Strategy BI</v>
          </cell>
          <cell r="H7834">
            <v>5047494</v>
          </cell>
          <cell r="AK7834" t="str">
            <v>Ruben Sooriya</v>
          </cell>
        </row>
        <row r="7835">
          <cell r="C7835" t="str">
            <v>Chain Bridge 2022 MQC Reviews</v>
          </cell>
          <cell r="H7835">
            <v>5047974</v>
          </cell>
          <cell r="AK7835" t="str">
            <v>Christian Maier</v>
          </cell>
        </row>
        <row r="7836">
          <cell r="C7836" t="str">
            <v>Stifel MQC Reviews 22-23</v>
          </cell>
          <cell r="H7836">
            <v>5047798</v>
          </cell>
          <cell r="AK7836" t="str">
            <v>Christian Maier</v>
          </cell>
        </row>
        <row r="7837">
          <cell r="C7837" t="str">
            <v>Woodsboro MQC 22-23</v>
          </cell>
          <cell r="H7837">
            <v>5047676</v>
          </cell>
          <cell r="AK7837" t="str">
            <v>Christian Maier</v>
          </cell>
        </row>
        <row r="7838">
          <cell r="C7838" t="str">
            <v>Project Novo H222 - Investments Tribe BA</v>
          </cell>
          <cell r="H7838">
            <v>5047385</v>
          </cell>
          <cell r="AK7838" t="str">
            <v>Ruby Cherian</v>
          </cell>
        </row>
        <row r="7839">
          <cell r="C7839" t="str">
            <v>Jefferies Equities PM/BA</v>
          </cell>
          <cell r="H7839">
            <v>5047678</v>
          </cell>
          <cell r="AK7839" t="str">
            <v>Sri Nonabur Srinivasamurthy</v>
          </cell>
        </row>
        <row r="7840">
          <cell r="C7840" t="str">
            <v>Nomura Reg Ops CFTC</v>
          </cell>
          <cell r="H7840">
            <v>5047559</v>
          </cell>
          <cell r="AK7840" t="str">
            <v>Salim Modi</v>
          </cell>
        </row>
        <row r="7841">
          <cell r="C7841" t="str">
            <v>SVB CO Marketing Process PGM Management - Dec '22 Extension</v>
          </cell>
          <cell r="H7841">
            <v>5045829</v>
          </cell>
          <cell r="AK7841" t="str">
            <v>Mark Mountan</v>
          </cell>
        </row>
        <row r="7842">
          <cell r="C7842" t="str">
            <v>Global Wealth Margin Lending Implementation</v>
          </cell>
          <cell r="H7842">
            <v>5047492</v>
          </cell>
          <cell r="AK7842" t="str">
            <v>Ervinas Janavicius</v>
          </cell>
        </row>
        <row r="7843">
          <cell r="C7843" t="str">
            <v>BMO Finance Transformation</v>
          </cell>
          <cell r="H7843">
            <v>5047598</v>
          </cell>
          <cell r="AK7843" t="str">
            <v>Ramnish Gupta</v>
          </cell>
        </row>
        <row r="7844">
          <cell r="C7844" t="str">
            <v>MSWM_Billing Automation_11.18 Extension</v>
          </cell>
          <cell r="H7844">
            <v>5045912</v>
          </cell>
          <cell r="AK7844" t="str">
            <v>Dan Schutzman</v>
          </cell>
        </row>
        <row r="7845">
          <cell r="C7845" t="str">
            <v>HNB Secure Card Extension and API Development SWAT Team</v>
          </cell>
          <cell r="H7845">
            <v>5047599</v>
          </cell>
          <cell r="AK7845" t="str">
            <v>Daniela Hawkins</v>
          </cell>
        </row>
        <row r="7846">
          <cell r="C7846" t="str">
            <v>Lido Advisors - RIA Integration Planning</v>
          </cell>
          <cell r="H7846">
            <v>5047546</v>
          </cell>
          <cell r="AK7846" t="str">
            <v>Matthew Berkowitz</v>
          </cell>
        </row>
        <row r="7847">
          <cell r="C7847" t="str">
            <v>MS_ISG_Finance PM Ext</v>
          </cell>
          <cell r="H7847">
            <v>5044822</v>
          </cell>
          <cell r="AK7847" t="str">
            <v>Ruben Sooriya</v>
          </cell>
        </row>
        <row r="7848">
          <cell r="C7848" t="str">
            <v>FrMc_Resolution Planning Ext Role (SA)</v>
          </cell>
          <cell r="H7848">
            <v>5045494</v>
          </cell>
          <cell r="AK7848" t="str">
            <v>Michael Mathew</v>
          </cell>
        </row>
        <row r="7849">
          <cell r="C7849" t="str">
            <v>CA Indosuez - SW Dev Oversight</v>
          </cell>
          <cell r="H7849">
            <v>5047795</v>
          </cell>
          <cell r="AK7849" t="str">
            <v>Kristen Visakay</v>
          </cell>
        </row>
        <row r="7850">
          <cell r="C7850" t="str">
            <v>Key Bank_Google PFS Migration</v>
          </cell>
          <cell r="H7850">
            <v>5051381</v>
          </cell>
          <cell r="AK7850" t="str">
            <v>Nick Hufford</v>
          </cell>
        </row>
        <row r="7851">
          <cell r="C7851" t="str">
            <v>GWM - AI-Machine Learning Use Case development for DMO</v>
          </cell>
          <cell r="H7851">
            <v>5046772</v>
          </cell>
          <cell r="AK7851" t="str">
            <v>Stephane Ritz</v>
          </cell>
        </row>
        <row r="7852">
          <cell r="C7852" t="str">
            <v>Computershare Process Improvement Extension</v>
          </cell>
          <cell r="H7852">
            <v>5045816</v>
          </cell>
          <cell r="AK7852" t="str">
            <v>Douglas Sieg</v>
          </cell>
        </row>
        <row r="7853">
          <cell r="C7853" t="str">
            <v>Jefferies_Drucella</v>
          </cell>
          <cell r="H7853">
            <v>5043230</v>
          </cell>
          <cell r="AK7853" t="str">
            <v>John Clifford</v>
          </cell>
        </row>
        <row r="7854">
          <cell r="C7854" t="str">
            <v>RBC - ERM CUSO / CNB Support</v>
          </cell>
          <cell r="H7854">
            <v>5047631</v>
          </cell>
          <cell r="AK7854" t="str">
            <v>Derek Bland</v>
          </cell>
        </row>
        <row r="7855">
          <cell r="C7855" t="str">
            <v>Wealth Management-CC5</v>
          </cell>
          <cell r="H7855">
            <v>5047486</v>
          </cell>
          <cell r="AK7855" t="str">
            <v>Delsys Salas</v>
          </cell>
        </row>
        <row r="7856">
          <cell r="C7856" t="str">
            <v>Prudential ILI Workshop IV</v>
          </cell>
          <cell r="H7856">
            <v>5047590</v>
          </cell>
          <cell r="AK7856" t="str">
            <v>Emily Glaessner</v>
          </cell>
        </row>
        <row r="7857">
          <cell r="C7857" t="str">
            <v>Essa Bank &amp; Trust RAS</v>
          </cell>
          <cell r="H7857">
            <v>5047584</v>
          </cell>
          <cell r="AK7857" t="str">
            <v>Diane Banks</v>
          </cell>
        </row>
        <row r="7858">
          <cell r="C7858" t="str">
            <v>SVB_Workforce Optimization - Investment</v>
          </cell>
          <cell r="H7858">
            <v>5047696</v>
          </cell>
          <cell r="AK7858" t="str">
            <v>Karl Augenstein</v>
          </cell>
        </row>
        <row r="7859">
          <cell r="C7859" t="str">
            <v>SVB Rewards Benchmark</v>
          </cell>
          <cell r="H7859">
            <v>5047515</v>
          </cell>
          <cell r="AK7859" t="str">
            <v>Seth Berman</v>
          </cell>
        </row>
        <row r="7860">
          <cell r="C7860" t="str">
            <v>NBH - Development SOW</v>
          </cell>
          <cell r="H7860">
            <v>5047314</v>
          </cell>
          <cell r="AK7860" t="str">
            <v>Kelsey Popplewell</v>
          </cell>
        </row>
        <row r="7861">
          <cell r="C7861" t="str">
            <v>Key Bank_Executive Strategy Support</v>
          </cell>
          <cell r="H7861">
            <v>5047655</v>
          </cell>
          <cell r="AK7861" t="str">
            <v>Pete Grebus</v>
          </cell>
        </row>
        <row r="7862">
          <cell r="C7862" t="str">
            <v>FCSB 2022 HMDA Validation</v>
          </cell>
          <cell r="H7862">
            <v>5047525</v>
          </cell>
          <cell r="AK7862" t="str">
            <v>Mariana Dumanovsky</v>
          </cell>
        </row>
        <row r="7863">
          <cell r="C7863" t="str">
            <v>Centennial AML/BSA Extn 1</v>
          </cell>
          <cell r="H7863">
            <v>5046993</v>
          </cell>
          <cell r="AK7863" t="str">
            <v>Sara Sanchez</v>
          </cell>
        </row>
        <row r="7864">
          <cell r="C7864" t="str">
            <v>Pru_Digital Front End Framework</v>
          </cell>
          <cell r="H7864">
            <v>5047490</v>
          </cell>
          <cell r="AK7864" t="str">
            <v>Lauren Somma</v>
          </cell>
        </row>
        <row r="7865">
          <cell r="C7865" t="str">
            <v>Murex Team 2023</v>
          </cell>
          <cell r="H7865">
            <v>5047782</v>
          </cell>
          <cell r="AK7865" t="str">
            <v>Conor Dowling</v>
          </cell>
        </row>
        <row r="7866">
          <cell r="C7866" t="str">
            <v>FedLine Solutions Security and Resiliency Assurance</v>
          </cell>
          <cell r="H7866">
            <v>5047657</v>
          </cell>
          <cell r="AK7866" t="str">
            <v>Jason Rodrigues</v>
          </cell>
        </row>
        <row r="7867">
          <cell r="C7867" t="str">
            <v>Independent Bank - HMDA Data Validation</v>
          </cell>
          <cell r="H7867">
            <v>5047694</v>
          </cell>
          <cell r="AK7867" t="str">
            <v>Juan Pimentel</v>
          </cell>
        </row>
        <row r="7868">
          <cell r="C7868" t="str">
            <v>Jefferies IBIT Technical Specialist H1 2023</v>
          </cell>
          <cell r="H7868">
            <v>5047805</v>
          </cell>
          <cell r="AK7868" t="str">
            <v>Aoife Hogan</v>
          </cell>
        </row>
        <row r="7869">
          <cell r="C7869" t="str">
            <v>AFC Modeling Tester role H22022</v>
          </cell>
          <cell r="H7869">
            <v>5044647</v>
          </cell>
          <cell r="AK7869" t="str">
            <v>Ruby Cherian</v>
          </cell>
        </row>
        <row r="7870">
          <cell r="C7870" t="str">
            <v>JEF - Madison_Salesforce BA Nov-Dec 2022 Ext.</v>
          </cell>
          <cell r="H7870">
            <v>5046742</v>
          </cell>
          <cell r="AK7870" t="str">
            <v>Aoife Hogan</v>
          </cell>
        </row>
        <row r="7871">
          <cell r="C7871" t="str">
            <v>MM_Haven Life Phase II</v>
          </cell>
          <cell r="H7871">
            <v>5047044</v>
          </cell>
          <cell r="AK7871" t="str">
            <v>Gordon Lunsford</v>
          </cell>
        </row>
        <row r="7872">
          <cell r="C7872" t="str">
            <v>Citi_ICG Loan Operations 2022 Q4 (Ahsan ext)</v>
          </cell>
          <cell r="H7872">
            <v>5043846</v>
          </cell>
          <cell r="AK7872" t="str">
            <v>Ervinas Janavicius</v>
          </cell>
        </row>
        <row r="7873">
          <cell r="C7873" t="str">
            <v>Finxact Battle Implementation Sprints Extension 2</v>
          </cell>
          <cell r="H7873">
            <v>5047749</v>
          </cell>
          <cell r="AK7873" t="str">
            <v>James Kane</v>
          </cell>
        </row>
        <row r="7874">
          <cell r="C7874" t="str">
            <v>MSPB Scrum Master role</v>
          </cell>
          <cell r="H7874">
            <v>5047747</v>
          </cell>
          <cell r="AK7874" t="str">
            <v>Balaji Ramamurthy</v>
          </cell>
        </row>
        <row r="7875">
          <cell r="C7875" t="str">
            <v>Lazard - Vendor Risk Management</v>
          </cell>
          <cell r="H7875">
            <v>5047753</v>
          </cell>
          <cell r="AK7875" t="str">
            <v>Andy Soodek</v>
          </cell>
        </row>
        <row r="7876">
          <cell r="C7876" t="str">
            <v>BKU Managed Services Extension</v>
          </cell>
          <cell r="H7876">
            <v>5047870</v>
          </cell>
          <cell r="AK7876" t="str">
            <v>Kyle Chavers</v>
          </cell>
        </row>
        <row r="7877">
          <cell r="C7877" t="str">
            <v>JDOE Equities Swaps Support &amp; QA</v>
          </cell>
          <cell r="H7877">
            <v>5047973</v>
          </cell>
          <cell r="AK7877" t="str">
            <v>John McCaffrey</v>
          </cell>
        </row>
        <row r="7878">
          <cell r="C7878" t="str">
            <v>Equities Reg Program Manager</v>
          </cell>
          <cell r="H7878">
            <v>5048016</v>
          </cell>
          <cell r="AK7878" t="str">
            <v>Sri Nonabur Srinivasamurthy</v>
          </cell>
        </row>
        <row r="7879">
          <cell r="C7879" t="str">
            <v>Jeff_Madison Program Team Dec 1 2022 - Nov 30 2023 Extension</v>
          </cell>
          <cell r="H7879">
            <v>5047825</v>
          </cell>
          <cell r="AK7879" t="str">
            <v>Aoife Hogan</v>
          </cell>
        </row>
        <row r="7880">
          <cell r="C7880" t="str">
            <v>Old Glory Holding Company_RAS</v>
          </cell>
          <cell r="H7880">
            <v>5047776</v>
          </cell>
          <cell r="AK7880" t="str">
            <v>Rebecca Breland</v>
          </cell>
        </row>
        <row r="7881">
          <cell r="C7881" t="str">
            <v>Jefferies Cloud PM December 2022- May 2023</v>
          </cell>
          <cell r="H7881">
            <v>5047969</v>
          </cell>
          <cell r="AK7881" t="str">
            <v>John McCaffrey</v>
          </cell>
        </row>
        <row r="7882">
          <cell r="C7882" t="str">
            <v>Trustco Debit Card Fraud Review</v>
          </cell>
          <cell r="H7882">
            <v>5047709</v>
          </cell>
          <cell r="AK7882" t="str">
            <v>Mary Louise Radley</v>
          </cell>
        </row>
        <row r="7883">
          <cell r="C7883" t="str">
            <v>Freedom CU MQC 22-23</v>
          </cell>
          <cell r="H7883">
            <v>5048347</v>
          </cell>
          <cell r="AK7883" t="str">
            <v>Christian Maier</v>
          </cell>
        </row>
        <row r="7884">
          <cell r="C7884" t="str">
            <v>SEIU IT - Addl PO/BA, QA Ph3</v>
          </cell>
          <cell r="H7884">
            <v>5046704</v>
          </cell>
          <cell r="AK7884" t="str">
            <v>Eric Fairchild</v>
          </cell>
        </row>
        <row r="7885">
          <cell r="C7885" t="str">
            <v>Toast, Inc. / Third-Party Sender ACH Audit</v>
          </cell>
          <cell r="H7885">
            <v>5047259</v>
          </cell>
          <cell r="AK7885" t="str">
            <v>Robert Farmer</v>
          </cell>
        </row>
        <row r="7886">
          <cell r="C7886" t="str">
            <v>NBM / GLBA Information Security Risk Assessment</v>
          </cell>
          <cell r="H7886">
            <v>5047548</v>
          </cell>
          <cell r="AK7886" t="str">
            <v>Robert Farmer</v>
          </cell>
        </row>
        <row r="7887">
          <cell r="C7887" t="str">
            <v>HELOC Product launch</v>
          </cell>
          <cell r="H7887">
            <v>5048094</v>
          </cell>
          <cell r="AK7887" t="str">
            <v>Thuy Whitaker</v>
          </cell>
        </row>
        <row r="7888">
          <cell r="C7888" t="str">
            <v>Harbor Bank of MD / Fedline Security &amp; Resiliency Assurance Assessment</v>
          </cell>
          <cell r="H7888">
            <v>5047582</v>
          </cell>
          <cell r="AK7888" t="str">
            <v>Robert Farmer</v>
          </cell>
        </row>
        <row r="7889">
          <cell r="C7889" t="str">
            <v>JCREW Run The Bank Support 2023</v>
          </cell>
          <cell r="H7889">
            <v>5048392</v>
          </cell>
          <cell r="AK7889" t="str">
            <v>John McCaffrey</v>
          </cell>
        </row>
        <row r="7890">
          <cell r="C7890" t="str">
            <v>Jeff_Transcend Extension_Dec 2022_Feb 2023</v>
          </cell>
          <cell r="H7890">
            <v>5047972</v>
          </cell>
          <cell r="AK7890" t="str">
            <v>Justin Gonlag</v>
          </cell>
        </row>
        <row r="7891">
          <cell r="C7891" t="str">
            <v>SEIU_CLC EA Project Support Ph7</v>
          </cell>
          <cell r="H7891">
            <v>5041705</v>
          </cell>
          <cell r="AK7891" t="str">
            <v>Eric Fairchild</v>
          </cell>
        </row>
        <row r="7892">
          <cell r="C7892" t="str">
            <v>Amalgamated Bank_State Data Feed 2023</v>
          </cell>
          <cell r="H7892">
            <v>5044155</v>
          </cell>
          <cell r="AK7892" t="str">
            <v>Leah Robinson</v>
          </cell>
        </row>
        <row r="7893">
          <cell r="C7893" t="str">
            <v>Jeff_Boomerang 2023</v>
          </cell>
          <cell r="H7893">
            <v>5045763</v>
          </cell>
          <cell r="AK7893" t="str">
            <v>John McCaffrey</v>
          </cell>
        </row>
        <row r="7894">
          <cell r="C7894" t="str">
            <v>Jeff_Boomerang 2023 Ext</v>
          </cell>
          <cell r="H7894">
            <v>5045769</v>
          </cell>
          <cell r="AK7894" t="str">
            <v>Mark Breslin</v>
          </cell>
        </row>
        <row r="7895">
          <cell r="C7895" t="str">
            <v>Truist_SOW #11 CO#1_FDIC 370</v>
          </cell>
          <cell r="H7895">
            <v>5046752</v>
          </cell>
          <cell r="AK7895" t="str">
            <v>Sebastian Ekberg</v>
          </cell>
        </row>
        <row r="7896">
          <cell r="C7896" t="str">
            <v>FrMc_Resolution Planning Role Ext5 (SA)</v>
          </cell>
          <cell r="H7896">
            <v>5045494</v>
          </cell>
          <cell r="AK7896" t="str">
            <v>Michael Mathew</v>
          </cell>
        </row>
        <row r="7897">
          <cell r="C7897" t="str">
            <v>FrMc_Cloud Data Strategy Piece (5979-07)</v>
          </cell>
          <cell r="H7897">
            <v>5045390</v>
          </cell>
          <cell r="AK7897" t="str">
            <v>Chad Bonadonna</v>
          </cell>
        </row>
        <row r="7898">
          <cell r="C7898" t="str">
            <v>Jefferies_Antonella</v>
          </cell>
          <cell r="H7898">
            <v>5048814</v>
          </cell>
          <cell r="AK7898" t="str">
            <v>John Clifford</v>
          </cell>
        </row>
        <row r="7899">
          <cell r="C7899" t="str">
            <v>T+1 Resilience Strategic Discovery</v>
          </cell>
          <cell r="H7899">
            <v>5047840</v>
          </cell>
          <cell r="AK7899" t="str">
            <v>Ruben Sooriya</v>
          </cell>
        </row>
        <row r="7900">
          <cell r="C7900" t="str">
            <v>Patelco Org Strategy</v>
          </cell>
          <cell r="H7900">
            <v>5047873</v>
          </cell>
          <cell r="AK7900" t="str">
            <v>Emily Glaessner</v>
          </cell>
        </row>
        <row r="7901">
          <cell r="C7901" t="str">
            <v>UVA CCU Where to Play, How to Win</v>
          </cell>
          <cell r="H7901">
            <v>5047807</v>
          </cell>
          <cell r="AK7901" t="str">
            <v>Burt Yeo</v>
          </cell>
        </row>
        <row r="7902">
          <cell r="C7902" t="str">
            <v>Pru_OneTrust Consent and Preferences Extension</v>
          </cell>
          <cell r="H7902">
            <v>5045530</v>
          </cell>
          <cell r="AK7902" t="str">
            <v>Chaitan Parikh</v>
          </cell>
        </row>
        <row r="7903">
          <cell r="C7903" t="str">
            <v>MM_Haven Tech API Design and Build</v>
          </cell>
          <cell r="H7903">
            <v>5047913</v>
          </cell>
          <cell r="AK7903" t="str">
            <v>Randy Love</v>
          </cell>
        </row>
        <row r="7904">
          <cell r="C7904" t="str">
            <v>Consulting - Monitoring Reviews</v>
          </cell>
          <cell r="H7904">
            <v>5047852</v>
          </cell>
          <cell r="AK7904" t="str">
            <v>Mariana Dumanovsky</v>
          </cell>
        </row>
        <row r="7905">
          <cell r="C7905" t="str">
            <v>FDIC Remediation - Cross River</v>
          </cell>
          <cell r="H7905">
            <v>5048375</v>
          </cell>
          <cell r="AK7905" t="str">
            <v>Eric Van Epps</v>
          </cell>
        </row>
        <row r="7906">
          <cell r="C7906" t="str">
            <v>UB_116 TO2_Symphony SP-020 Ext 3</v>
          </cell>
          <cell r="H7906">
            <v>5044478</v>
          </cell>
          <cell r="AK7906" t="str">
            <v>Samuel Awsumb</v>
          </cell>
        </row>
        <row r="7907">
          <cell r="C7907" t="str">
            <v>PGIM Tech Uplift - Adobe</v>
          </cell>
          <cell r="H7907">
            <v>5047955</v>
          </cell>
          <cell r="AK7907" t="str">
            <v>Lauren Somma</v>
          </cell>
        </row>
        <row r="7908">
          <cell r="C7908" t="str">
            <v>Centennial CRA Review</v>
          </cell>
          <cell r="H7908">
            <v>5048245</v>
          </cell>
          <cell r="AK7908" t="str">
            <v>Juan Pimentel</v>
          </cell>
        </row>
        <row r="7909">
          <cell r="C7909" t="str">
            <v>CACIB - Fedline Assessment Change Order</v>
          </cell>
          <cell r="H7909">
            <v>5047657</v>
          </cell>
          <cell r="AK7909" t="str">
            <v>Jason Rodrigues</v>
          </cell>
        </row>
        <row r="7910">
          <cell r="C7910" t="str">
            <v>Interim CCO</v>
          </cell>
          <cell r="H7910">
            <v>5048412</v>
          </cell>
          <cell r="AK7910" t="str">
            <v>Mariana Dumanovsky</v>
          </cell>
        </row>
        <row r="7911">
          <cell r="C7911" t="str">
            <v>SD Compliance Testing PM Ext</v>
          </cell>
          <cell r="H7911">
            <v>5047976</v>
          </cell>
          <cell r="AK7911" t="str">
            <v>Matthew Rodgers</v>
          </cell>
        </row>
        <row r="7912">
          <cell r="C7912" t="str">
            <v>The Chiba  Bank - Transaction Monitoring and Filtering Program</v>
          </cell>
          <cell r="H7912">
            <v>5047843</v>
          </cell>
          <cell r="AK7912" t="str">
            <v>Mary Louise Radley</v>
          </cell>
        </row>
        <row r="7913">
          <cell r="C7913" t="str">
            <v>Customers Bank Fraud Support</v>
          </cell>
          <cell r="H7913">
            <v>5048115</v>
          </cell>
          <cell r="AK7913" t="str">
            <v>Antonio Narvaez</v>
          </cell>
        </row>
        <row r="7914">
          <cell r="C7914" t="str">
            <v>First Financial Bank</v>
          </cell>
          <cell r="H7914">
            <v>5048394</v>
          </cell>
          <cell r="AK7914" t="str">
            <v>Eugene Collett</v>
          </cell>
        </row>
        <row r="7915">
          <cell r="C7915" t="str">
            <v>TP ICAP Broker Dealer Extension 2023</v>
          </cell>
          <cell r="H7915">
            <v>5044825</v>
          </cell>
          <cell r="AK7915" t="str">
            <v>Kirby Pulver</v>
          </cell>
        </row>
        <row r="7916">
          <cell r="C7916" t="str">
            <v>FrMc_Resolution Planning (SA) Ext Of Role</v>
          </cell>
          <cell r="H7916">
            <v>5045494</v>
          </cell>
          <cell r="AK7916" t="str">
            <v>Michael Mathew</v>
          </cell>
        </row>
        <row r="7917">
          <cell r="C7917" t="str">
            <v>Lazard IT Risk Assessment</v>
          </cell>
          <cell r="H7917">
            <v>5047753</v>
          </cell>
          <cell r="AK7917" t="str">
            <v>Andy Soodek</v>
          </cell>
        </row>
        <row r="7918">
          <cell r="C7918" t="str">
            <v>CACIB_CIO Office Management</v>
          </cell>
          <cell r="H7918">
            <v>5048095</v>
          </cell>
          <cell r="AK7918" t="str">
            <v>Garry Harvey</v>
          </cell>
        </row>
        <row r="7919">
          <cell r="C7919" t="str">
            <v>Enterprise Bank and Trust</v>
          </cell>
          <cell r="H7919">
            <v>5048936</v>
          </cell>
          <cell r="AK7919" t="str">
            <v>Christian Maier</v>
          </cell>
        </row>
        <row r="7920">
          <cell r="C7920" t="str">
            <v>MS IIS Branch Buildout Q4 2023</v>
          </cell>
          <cell r="H7920">
            <v>5044876</v>
          </cell>
          <cell r="AK7920" t="str">
            <v>Dan Schutzman</v>
          </cell>
        </row>
        <row r="7921">
          <cell r="C7921" t="str">
            <v>HSBC-CMB-Client Services - FF</v>
          </cell>
          <cell r="H7921">
            <v>5049065</v>
          </cell>
          <cell r="AK7921" t="str">
            <v>Steven D'Angelo</v>
          </cell>
        </row>
        <row r="7922">
          <cell r="C7922" t="str">
            <v>MS_WM_Ops_Workflow 2023 Q4</v>
          </cell>
          <cell r="H7922">
            <v>5044844</v>
          </cell>
          <cell r="AK7922" t="str">
            <v>Raymond Ortiz II</v>
          </cell>
        </row>
        <row r="7923">
          <cell r="C7923" t="str">
            <v>Reoccurring - Texas National Bank - Audit Services</v>
          </cell>
          <cell r="H7923">
            <v>5047999</v>
          </cell>
          <cell r="AK7923" t="str">
            <v>Dennis Smith</v>
          </cell>
        </row>
        <row r="7924">
          <cell r="C7924" t="str">
            <v>SVB_ITAM 2023</v>
          </cell>
          <cell r="H7924">
            <v>5048445</v>
          </cell>
          <cell r="AK7924" t="str">
            <v>Souma Basu</v>
          </cell>
        </row>
        <row r="7925">
          <cell r="C7925" t="str">
            <v>MS_REM_TPPM_SPAR Deactivation WS Lead</v>
          </cell>
          <cell r="H7925">
            <v>5048225</v>
          </cell>
          <cell r="AK7925" t="str">
            <v>Dan Schutzman</v>
          </cell>
        </row>
        <row r="7926">
          <cell r="C7926" t="str">
            <v>MSWM Ops Client Service, Innovation, &amp; Analytics Q4 2023</v>
          </cell>
          <cell r="H7926">
            <v>5047779</v>
          </cell>
          <cell r="AK7926" t="str">
            <v>Raymond Ortiz II</v>
          </cell>
        </row>
        <row r="7927">
          <cell r="C7927" t="str">
            <v>GA_Capco Agile Transformation Ext</v>
          </cell>
          <cell r="H7927">
            <v>5048162</v>
          </cell>
          <cell r="AK7927" t="str">
            <v>Erik Johnson</v>
          </cell>
        </row>
        <row r="7928">
          <cell r="C7928" t="str">
            <v>Recurring New Millennium Bank CMS</v>
          </cell>
          <cell r="H7928">
            <v>5048119</v>
          </cell>
          <cell r="AK7928" t="str">
            <v>Anna Proleika</v>
          </cell>
        </row>
        <row r="7929">
          <cell r="C7929" t="str">
            <v>HAR CO FCU CMS 2023</v>
          </cell>
          <cell r="H7929">
            <v>5047971</v>
          </cell>
          <cell r="AK7929" t="str">
            <v>W. Annette Dredden</v>
          </cell>
        </row>
        <row r="7930">
          <cell r="C7930" t="str">
            <v>MS_WM_Ops_Home Loan Services Q4 2023</v>
          </cell>
          <cell r="H7930">
            <v>5047495</v>
          </cell>
          <cell r="AK7930" t="str">
            <v>Raymond Ortiz II</v>
          </cell>
        </row>
        <row r="7931">
          <cell r="C7931" t="str">
            <v>Risk IT Environment 2023</v>
          </cell>
          <cell r="H7931">
            <v>5048352</v>
          </cell>
          <cell r="AK7931" t="str">
            <v>John McCaffrey</v>
          </cell>
        </row>
        <row r="7932">
          <cell r="C7932" t="str">
            <v>IBOR Transition 2023</v>
          </cell>
          <cell r="H7932">
            <v>5048339</v>
          </cell>
          <cell r="AK7932" t="str">
            <v>Conor Dowling</v>
          </cell>
        </row>
        <row r="7933">
          <cell r="C7933" t="str">
            <v>SVB_ODP Project Mgmt Jan23-Mar23</v>
          </cell>
          <cell r="H7933">
            <v>5048452</v>
          </cell>
          <cell r="AK7933" t="str">
            <v>Christopher Tecchio</v>
          </cell>
        </row>
        <row r="7934">
          <cell r="C7934" t="str">
            <v>RECURRING Rosedale CMS 23</v>
          </cell>
          <cell r="H7934">
            <v>5048426</v>
          </cell>
          <cell r="AK7934" t="str">
            <v>W. Annette Dredden</v>
          </cell>
        </row>
        <row r="7935">
          <cell r="C7935" t="str">
            <v>Liberty Bank Regulatory Readiness</v>
          </cell>
          <cell r="H7935">
            <v>5047872</v>
          </cell>
          <cell r="AK7935" t="str">
            <v>Pamela Acciardo</v>
          </cell>
        </row>
        <row r="7936">
          <cell r="C7936" t="str">
            <v>Connecticut Community CMS 2023</v>
          </cell>
          <cell r="H7936">
            <v>5047702</v>
          </cell>
          <cell r="AK7936" t="str">
            <v>Mary Louise Radley</v>
          </cell>
        </row>
        <row r="7937">
          <cell r="C7937" t="str">
            <v>NorthEast Community Bank CMSO</v>
          </cell>
          <cell r="H7937">
            <v>5047890</v>
          </cell>
          <cell r="AK7937" t="str">
            <v>David Belfer</v>
          </cell>
        </row>
        <row r="7938">
          <cell r="C7938" t="str">
            <v>RECURRING Avidia Bank - CMS</v>
          </cell>
          <cell r="H7938">
            <v>5048080</v>
          </cell>
          <cell r="AK7938" t="str">
            <v>Eric Van Epps</v>
          </cell>
        </row>
        <row r="7939">
          <cell r="C7939" t="str">
            <v>Bank of East Asia</v>
          </cell>
          <cell r="H7939">
            <v>5047349</v>
          </cell>
          <cell r="AK7939" t="str">
            <v>David Belfer</v>
          </cell>
        </row>
        <row r="7940">
          <cell r="C7940" t="str">
            <v>Global Wealth Data and Tech</v>
          </cell>
          <cell r="H7940">
            <v>5048460</v>
          </cell>
          <cell r="AK7940" t="str">
            <v>Ervinas Janavicius</v>
          </cell>
        </row>
        <row r="7941">
          <cell r="C7941" t="str">
            <v>RECURRING FNB Absecon</v>
          </cell>
          <cell r="H7941">
            <v>5048712</v>
          </cell>
          <cell r="AK7941" t="str">
            <v>Elizabeth Rozsa</v>
          </cell>
        </row>
        <row r="7942">
          <cell r="C7942" t="str">
            <v>Rockland Trust MQC 2023</v>
          </cell>
          <cell r="H7942">
            <v>5048000</v>
          </cell>
          <cell r="AK7942" t="str">
            <v>Christian Maier</v>
          </cell>
        </row>
        <row r="7943">
          <cell r="C7943" t="str">
            <v>MS_REM_TPPM_Risk Transformation Q4 2023</v>
          </cell>
          <cell r="H7943">
            <v>5044913</v>
          </cell>
          <cell r="AK7943" t="str">
            <v>Dan Schutzman</v>
          </cell>
        </row>
        <row r="7944">
          <cell r="C7944" t="str">
            <v>MS WM S&amp;A Q4 2023</v>
          </cell>
          <cell r="H7944">
            <v>5045085</v>
          </cell>
          <cell r="AK7944" t="str">
            <v>Dan Schutzman</v>
          </cell>
        </row>
        <row r="7945">
          <cell r="C7945" t="str">
            <v>Goldman MQC 2023</v>
          </cell>
          <cell r="H7945">
            <v>5047756</v>
          </cell>
          <cell r="AK7945" t="str">
            <v>Christian Maier</v>
          </cell>
        </row>
        <row r="7946">
          <cell r="C7946" t="str">
            <v>Bank of San Francisco / Digital Banking RA</v>
          </cell>
          <cell r="H7946">
            <v>5047575</v>
          </cell>
          <cell r="AK7946" t="str">
            <v>Robert Farmer</v>
          </cell>
        </row>
        <row r="7947">
          <cell r="C7947" t="str">
            <v>Goldman TRID 2023</v>
          </cell>
          <cell r="H7947">
            <v>5047754</v>
          </cell>
          <cell r="AK7947" t="str">
            <v>Christian Maier</v>
          </cell>
        </row>
        <row r="7948">
          <cell r="C7948" t="str">
            <v>BNYM Liquidity Orchestration 2023</v>
          </cell>
          <cell r="H7948">
            <v>5044429</v>
          </cell>
          <cell r="AK7948" t="str">
            <v>Grzegorz Walukanis</v>
          </cell>
        </row>
        <row r="7949">
          <cell r="C7949" t="str">
            <v>DB-PB-WLT-IT-US Wealth Novo Exten Q12023</v>
          </cell>
          <cell r="H7949">
            <v>5048864</v>
          </cell>
          <cell r="AK7949" t="str">
            <v>Ruby Cherian</v>
          </cell>
        </row>
        <row r="7950">
          <cell r="C7950" t="str">
            <v>Citi-ICG 2023 H1 - Data Lineage extn (US Only)</v>
          </cell>
          <cell r="H7950">
            <v>5048168</v>
          </cell>
          <cell r="AK7950" t="str">
            <v>Helen Needham</v>
          </cell>
        </row>
        <row r="7951">
          <cell r="C7951" t="str">
            <v>MS_WM_Ops_AI RTB_RISC Ext 3</v>
          </cell>
          <cell r="H7951">
            <v>5045043</v>
          </cell>
          <cell r="AK7951" t="str">
            <v>John Clifford</v>
          </cell>
        </row>
        <row r="7952">
          <cell r="C7952" t="str">
            <v>MS_Wealth Advisory Technology Q4 2023</v>
          </cell>
          <cell r="H7952">
            <v>5045059</v>
          </cell>
          <cell r="AK7952" t="str">
            <v>Balaji Ramamurthy</v>
          </cell>
        </row>
        <row r="7953">
          <cell r="C7953" t="str">
            <v>MS_Innovation_Cloud9</v>
          </cell>
          <cell r="H7953">
            <v>5045281</v>
          </cell>
          <cell r="AK7953" t="str">
            <v>Shivaji Chakraborty</v>
          </cell>
        </row>
        <row r="7954">
          <cell r="C7954" t="str">
            <v>RCU_CMS</v>
          </cell>
          <cell r="H7954">
            <v>5048278</v>
          </cell>
          <cell r="AK7954" t="str">
            <v>Louvera Walden</v>
          </cell>
        </row>
        <row r="7955">
          <cell r="C7955" t="str">
            <v>PS Bank_CMS Optimizer 2023</v>
          </cell>
          <cell r="H7955">
            <v>5047889</v>
          </cell>
          <cell r="AK7955" t="str">
            <v>Gail Rassler</v>
          </cell>
        </row>
        <row r="7956">
          <cell r="C7956" t="str">
            <v>IT GRC - extension Suzi/Bill</v>
          </cell>
          <cell r="H7956">
            <v>5046831</v>
          </cell>
          <cell r="AK7956" t="str">
            <v>Adrian Ungureanu</v>
          </cell>
        </row>
        <row r="7957">
          <cell r="C7957" t="str">
            <v>Goldman MQC Orlando 2023</v>
          </cell>
          <cell r="H7957">
            <v>5047755</v>
          </cell>
          <cell r="AK7957" t="str">
            <v>Christian Maier</v>
          </cell>
        </row>
        <row r="7958">
          <cell r="C7958" t="str">
            <v>Census FCU</v>
          </cell>
          <cell r="H7958">
            <v>5048048</v>
          </cell>
          <cell r="AK7958" t="str">
            <v>W. Annette Dredden</v>
          </cell>
        </row>
        <row r="7959">
          <cell r="C7959" t="str">
            <v>Recurring First S&amp;L_Compliance Review</v>
          </cell>
          <cell r="H7959">
            <v>5048046</v>
          </cell>
          <cell r="AK7959" t="str">
            <v>Amanda Pickering</v>
          </cell>
        </row>
        <row r="7960">
          <cell r="C7960" t="str">
            <v>MS WM Technology - Delivery Management - Loan Originations Q4 2023</v>
          </cell>
          <cell r="H7960">
            <v>5047046</v>
          </cell>
          <cell r="AK7960" t="str">
            <v>Raymond Ortiz II</v>
          </cell>
        </row>
        <row r="7961">
          <cell r="C7961" t="str">
            <v>Recurring Argent FCU CMSO</v>
          </cell>
          <cell r="H7961">
            <v>5048493</v>
          </cell>
          <cell r="AK7961" t="str">
            <v>Steve Manitzas</v>
          </cell>
        </row>
        <row r="7962">
          <cell r="C7962" t="str">
            <v>Recurring Haddon Savings_CMS Support</v>
          </cell>
          <cell r="H7962">
            <v>5048241</v>
          </cell>
          <cell r="AK7962" t="str">
            <v>Anna Proleika</v>
          </cell>
        </row>
        <row r="7963">
          <cell r="C7963" t="str">
            <v>RECURRING BerkshireMA-Compl Monitoring 2023-2025</v>
          </cell>
          <cell r="H7963">
            <v>5048454</v>
          </cell>
          <cell r="AK7963" t="str">
            <v>Eugene Collett</v>
          </cell>
        </row>
        <row r="7964">
          <cell r="C7964" t="str">
            <v>Recurring Achieva CU_Compliance Audits</v>
          </cell>
          <cell r="H7964">
            <v>5047192</v>
          </cell>
          <cell r="AK7964" t="str">
            <v>Anna Proleika</v>
          </cell>
        </row>
        <row r="7965">
          <cell r="C7965" t="str">
            <v>MS_WM_S and A_Advisory Trading Q4 2023</v>
          </cell>
          <cell r="H7965">
            <v>5044858</v>
          </cell>
          <cell r="AK7965" t="str">
            <v>Dan Schutzman</v>
          </cell>
        </row>
        <row r="7966">
          <cell r="C7966" t="str">
            <v>RECURRING The Cape Cod Five Cents Savings Bank - CMS</v>
          </cell>
          <cell r="H7966">
            <v>5048108</v>
          </cell>
          <cell r="AK7966" t="str">
            <v>Lawana Clark</v>
          </cell>
        </row>
        <row r="7967">
          <cell r="C7967" t="str">
            <v>MS_WM UAT Wealth Advisory Q4 2023</v>
          </cell>
          <cell r="H7967">
            <v>5044847</v>
          </cell>
          <cell r="AK7967" t="str">
            <v>Balaji Ramamurthy</v>
          </cell>
        </row>
        <row r="7968">
          <cell r="C7968" t="str">
            <v>RECURRING Clear Mtn Bank CMS 23</v>
          </cell>
          <cell r="H7968">
            <v>5048448</v>
          </cell>
          <cell r="AK7968" t="str">
            <v>Kristina Slattery</v>
          </cell>
        </row>
        <row r="7969">
          <cell r="C7969" t="str">
            <v>MS_Trading Harmonization 2023 Q4</v>
          </cell>
          <cell r="H7969">
            <v>5045081</v>
          </cell>
          <cell r="AK7969" t="str">
            <v>Dan Schutzman</v>
          </cell>
        </row>
        <row r="7970">
          <cell r="C7970" t="str">
            <v>WF_Corporate Risk Change Management_Non-FCRM</v>
          </cell>
          <cell r="H7970">
            <v>5048274</v>
          </cell>
          <cell r="AK7970" t="str">
            <v>Trisha Stone</v>
          </cell>
        </row>
        <row r="7971">
          <cell r="C7971" t="str">
            <v>MS_Investment Platforms COO Q4 2023</v>
          </cell>
          <cell r="H7971">
            <v>5044940</v>
          </cell>
          <cell r="AK7971" t="str">
            <v>Dan Schutzman</v>
          </cell>
        </row>
        <row r="7972">
          <cell r="C7972" t="str">
            <v>MSWM Investment Platforms Advisory Q4 2023</v>
          </cell>
          <cell r="H7972">
            <v>5044826</v>
          </cell>
          <cell r="AK7972" t="str">
            <v>Dan Schutzman</v>
          </cell>
        </row>
        <row r="7973">
          <cell r="C7973" t="str">
            <v>MS_WM_ Advisory Technology_NY Q4 2023</v>
          </cell>
          <cell r="H7973">
            <v>5044883</v>
          </cell>
          <cell r="AK7973" t="str">
            <v>Balaji Ramamurthy</v>
          </cell>
        </row>
        <row r="7974">
          <cell r="C7974" t="str">
            <v>RECURRING The Cooperative Bank of Cape Cod - CMS</v>
          </cell>
          <cell r="H7974">
            <v>5047573</v>
          </cell>
          <cell r="AK7974" t="str">
            <v>David Belfer</v>
          </cell>
        </row>
        <row r="7975">
          <cell r="C7975" t="str">
            <v>RECURRING ICBC CMS</v>
          </cell>
          <cell r="H7975">
            <v>5047939</v>
          </cell>
          <cell r="AK7975" t="str">
            <v>David Belfer</v>
          </cell>
        </row>
        <row r="7976">
          <cell r="C7976" t="str">
            <v>Popular Bank-Lending Compliance Support</v>
          </cell>
          <cell r="H7976">
            <v>5048410</v>
          </cell>
          <cell r="AK7976" t="str">
            <v>Jeanette Wampler</v>
          </cell>
        </row>
        <row r="7977">
          <cell r="C7977" t="str">
            <v>RECURRING The Dime Bank CMS 2023</v>
          </cell>
          <cell r="H7977">
            <v>5048430</v>
          </cell>
          <cell r="AK7977" t="str">
            <v>Gail Rassler</v>
          </cell>
        </row>
        <row r="7978">
          <cell r="C7978" t="str">
            <v>MS_WM_S and A_PMO Q4 2023</v>
          </cell>
          <cell r="H7978">
            <v>5044863</v>
          </cell>
          <cell r="AK7978" t="str">
            <v>Dan Schutzman</v>
          </cell>
        </row>
        <row r="7979">
          <cell r="C7979" t="str">
            <v>Enterprise_FLRA FLSA</v>
          </cell>
          <cell r="H7979">
            <v>5047888</v>
          </cell>
          <cell r="AK7979" t="str">
            <v>Leigh Tribou</v>
          </cell>
        </row>
        <row r="7980">
          <cell r="C7980" t="str">
            <v>MS WM Intergration Etrade Q4 2023</v>
          </cell>
          <cell r="H7980">
            <v>5044941</v>
          </cell>
          <cell r="AK7980" t="str">
            <v>Dan Schutzman</v>
          </cell>
        </row>
        <row r="7981">
          <cell r="C7981" t="str">
            <v>MS_WM_PBO_2023 Q4</v>
          </cell>
          <cell r="H7981">
            <v>5044834</v>
          </cell>
          <cell r="AK7981" t="str">
            <v>Vishal Vyas</v>
          </cell>
        </row>
        <row r="7982">
          <cell r="C7982" t="str">
            <v>RECURRING Savings Bank of Danbury CMS</v>
          </cell>
          <cell r="H7982">
            <v>5048358</v>
          </cell>
          <cell r="AK7982" t="str">
            <v>Mariana Dumanovsky</v>
          </cell>
        </row>
        <row r="7983">
          <cell r="C7983" t="str">
            <v>DB-CRB-AS-IT-Extension of AaaS Contracts for H1 23 (Jan - Jun)</v>
          </cell>
          <cell r="H7983">
            <v>5045566</v>
          </cell>
          <cell r="AK7983" t="str">
            <v>Conor Hodnett</v>
          </cell>
        </row>
        <row r="7984">
          <cell r="C7984" t="str">
            <v>MS_SSBO GSP BA Q4 2023</v>
          </cell>
          <cell r="H7984">
            <v>5047076</v>
          </cell>
          <cell r="AK7984" t="str">
            <v>Ruben Sooriya</v>
          </cell>
        </row>
        <row r="7985">
          <cell r="C7985" t="str">
            <v>Recurring CommunityDL_CMSO</v>
          </cell>
          <cell r="H7985">
            <v>5048626</v>
          </cell>
          <cell r="AK7985" t="str">
            <v>Jeanette Wampler</v>
          </cell>
        </row>
        <row r="7986">
          <cell r="C7986" t="str">
            <v>SVB_Enterprise Agile Q1 2023</v>
          </cell>
          <cell r="H7986">
            <v>5045234</v>
          </cell>
          <cell r="AK7986" t="str">
            <v>Michael Guerrero</v>
          </cell>
        </row>
        <row r="7987">
          <cell r="C7987" t="str">
            <v>MS_WM_CIS_eTrade Analytical Q4 2023</v>
          </cell>
          <cell r="H7987">
            <v>5044835</v>
          </cell>
          <cell r="AK7987" t="str">
            <v>Raymond Ortiz II</v>
          </cell>
        </row>
        <row r="7988">
          <cell r="C7988" t="str">
            <v>FNB Elmer CMS Support</v>
          </cell>
          <cell r="H7988">
            <v>5048834</v>
          </cell>
          <cell r="AK7988" t="str">
            <v>Elizabeth Rozsa</v>
          </cell>
        </row>
        <row r="7989">
          <cell r="C7989" t="str">
            <v>SVB_Data Policy Q1 2023</v>
          </cell>
          <cell r="H7989">
            <v>5046016</v>
          </cell>
          <cell r="AK7989" t="str">
            <v>Lance Rhodes</v>
          </cell>
        </row>
        <row r="7990">
          <cell r="C7990" t="str">
            <v>MS_WM_Ops_Digital Q4 2023</v>
          </cell>
          <cell r="H7990">
            <v>5044838</v>
          </cell>
          <cell r="AK7990" t="str">
            <v>Raymond Ortiz II</v>
          </cell>
        </row>
        <row r="7991">
          <cell r="C7991" t="str">
            <v>MS_SSBO Q4 2023</v>
          </cell>
          <cell r="H7991">
            <v>5044839</v>
          </cell>
          <cell r="AK7991" t="str">
            <v>Ruben Sooriya</v>
          </cell>
        </row>
        <row r="7992">
          <cell r="C7992" t="str">
            <v>WF_Regulatory Change program management_FCRM_2023 Extension</v>
          </cell>
          <cell r="H7992">
            <v>5048277</v>
          </cell>
          <cell r="AK7992" t="str">
            <v>Trisha Stone</v>
          </cell>
        </row>
        <row r="7993">
          <cell r="C7993" t="str">
            <v>County Bank for Savings_RAS</v>
          </cell>
          <cell r="H7993">
            <v>5048316</v>
          </cell>
          <cell r="AK7993" t="str">
            <v>Diane Banks</v>
          </cell>
        </row>
        <row r="7994">
          <cell r="C7994" t="str">
            <v>Lennar_BSA Risk Assessment 23</v>
          </cell>
          <cell r="H7994">
            <v>5048513</v>
          </cell>
          <cell r="AK7994" t="str">
            <v>Charles Lynn Piper</v>
          </cell>
        </row>
        <row r="7995">
          <cell r="C7995" t="str">
            <v>MS_ISG_Mumbai_CFTC Q4 2023</v>
          </cell>
          <cell r="H7995">
            <v>5045019</v>
          </cell>
          <cell r="AK7995" t="str">
            <v>Ruben Sooriya</v>
          </cell>
        </row>
        <row r="7996">
          <cell r="C7996" t="str">
            <v>Recurring 1st Exchange_CMSO</v>
          </cell>
          <cell r="H7996">
            <v>5048389</v>
          </cell>
          <cell r="AK7996" t="str">
            <v>Jeanette Wampler</v>
          </cell>
        </row>
        <row r="7997">
          <cell r="C7997" t="str">
            <v>Transcend Application Support 2023</v>
          </cell>
          <cell r="H7997">
            <v>5048345</v>
          </cell>
          <cell r="AK7997" t="str">
            <v>John McCaffrey</v>
          </cell>
        </row>
        <row r="7998">
          <cell r="C7998" t="str">
            <v>MS_ISG_ISGPO Q4 2023</v>
          </cell>
          <cell r="H7998">
            <v>5044840</v>
          </cell>
          <cell r="AK7998" t="str">
            <v>Ruben Sooriya</v>
          </cell>
        </row>
        <row r="7999">
          <cell r="C7999" t="str">
            <v>MS_ETRADE_Merger Integration Q4 2023</v>
          </cell>
          <cell r="H7999">
            <v>5044864</v>
          </cell>
          <cell r="AK7999" t="str">
            <v>Dan Schutzman</v>
          </cell>
        </row>
        <row r="8000">
          <cell r="C8000" t="str">
            <v>MS_WM_Ops_Tax and Client Report Q4 2023</v>
          </cell>
          <cell r="H8000">
            <v>5044843</v>
          </cell>
          <cell r="AK8000" t="str">
            <v>Raymond Ortiz II</v>
          </cell>
        </row>
        <row r="8001">
          <cell r="C8001" t="str">
            <v>SVB - Commerical Card Support 2023</v>
          </cell>
          <cell r="H8001">
            <v>5048117</v>
          </cell>
          <cell r="AK8001" t="str">
            <v>Seth Berman</v>
          </cell>
        </row>
        <row r="8002">
          <cell r="C8002" t="str">
            <v>KEB Hana USA - CMS</v>
          </cell>
          <cell r="H8002">
            <v>5047902</v>
          </cell>
          <cell r="AK8002" t="str">
            <v>Mary Louise Radley</v>
          </cell>
        </row>
        <row r="8003">
          <cell r="C8003" t="str">
            <v>Wells Fargo - IT&amp;V Automation Playbook Support</v>
          </cell>
          <cell r="H8003">
            <v>5047432</v>
          </cell>
          <cell r="AK8003" t="str">
            <v>Jason Noran</v>
          </cell>
        </row>
        <row r="8004">
          <cell r="C8004" t="str">
            <v>PenFed Disclosure Desk 2023</v>
          </cell>
          <cell r="H8004">
            <v>5048116</v>
          </cell>
          <cell r="AK8004" t="str">
            <v>Thuy Whitaker</v>
          </cell>
        </row>
        <row r="8005">
          <cell r="C8005" t="str">
            <v>MS_ISG_Strategic RTB India Q4 2023</v>
          </cell>
          <cell r="H8005">
            <v>5046739</v>
          </cell>
          <cell r="AK8005" t="str">
            <v>Ruben Sooriya</v>
          </cell>
        </row>
        <row r="8006">
          <cell r="C8006" t="str">
            <v>PenFed Closing TRID Review 2023</v>
          </cell>
          <cell r="H8006">
            <v>5048114</v>
          </cell>
          <cell r="AK8006" t="str">
            <v>Thuy Whitaker</v>
          </cell>
        </row>
        <row r="8007">
          <cell r="C8007" t="str">
            <v>MS_ISG_GPG Q4 2023</v>
          </cell>
          <cell r="H8007">
            <v>5044922</v>
          </cell>
          <cell r="AK8007" t="str">
            <v>Ruben Sooriya</v>
          </cell>
        </row>
        <row r="8008">
          <cell r="C8008" t="str">
            <v>Brotherhood CU / Fedline Security &amp; Resiliency Assurance Assessment</v>
          </cell>
          <cell r="H8008">
            <v>5047549</v>
          </cell>
          <cell r="AK8008" t="str">
            <v>Robert Farmer</v>
          </cell>
        </row>
        <row r="8009">
          <cell r="C8009" t="str">
            <v>MS WM Private Bank Core Banking Q4 2023</v>
          </cell>
          <cell r="H8009">
            <v>5045790</v>
          </cell>
          <cell r="AK8009" t="str">
            <v>Nathalia Sousa</v>
          </cell>
        </row>
        <row r="8010">
          <cell r="C8010" t="str">
            <v>MS_WM UAT Investment Platforms Q4 2023</v>
          </cell>
          <cell r="H8010">
            <v>5045084</v>
          </cell>
          <cell r="AK8010" t="str">
            <v>Balaji Ramamurthy</v>
          </cell>
        </row>
        <row r="8011">
          <cell r="C8011" t="str">
            <v>SVB_Agile Communication Coordinator Q1 2023</v>
          </cell>
          <cell r="H8011">
            <v>5045762</v>
          </cell>
          <cell r="AK8011" t="str">
            <v>Michael Guerrero</v>
          </cell>
        </row>
        <row r="8012">
          <cell r="C8012" t="str">
            <v>MS_ISG_India_Bangalore Q4 2023</v>
          </cell>
          <cell r="H8012">
            <v>5044983</v>
          </cell>
          <cell r="AK8012" t="str">
            <v>Ruben Sooriya</v>
          </cell>
        </row>
        <row r="8013">
          <cell r="C8013" t="str">
            <v>MS Eaton Vance_Procurement Q4 2023</v>
          </cell>
          <cell r="H8013">
            <v>5044646</v>
          </cell>
          <cell r="AK8013" t="str">
            <v>Dan Schutzman</v>
          </cell>
        </row>
        <row r="8014">
          <cell r="C8014" t="str">
            <v>MS_REM_TPPM_ProcessUnity_Strategy Q4 2023</v>
          </cell>
          <cell r="H8014">
            <v>5044798</v>
          </cell>
          <cell r="AK8014" t="str">
            <v>Dan Schutzman</v>
          </cell>
        </row>
        <row r="8015">
          <cell r="C8015" t="str">
            <v>Recurring MSB CMS Support23</v>
          </cell>
          <cell r="H8015">
            <v>5048912</v>
          </cell>
          <cell r="AK8015" t="str">
            <v>David Stalnaker</v>
          </cell>
        </row>
        <row r="8016">
          <cell r="C8016" t="str">
            <v>Broadridge WMAP Extension 2023</v>
          </cell>
          <cell r="H8016">
            <v>5045168</v>
          </cell>
          <cell r="AK8016" t="str">
            <v>Devyani Patel</v>
          </cell>
        </row>
        <row r="8017">
          <cell r="C8017" t="str">
            <v>MS_WM UAT OBM 2023 Q4</v>
          </cell>
          <cell r="H8017">
            <v>5044823</v>
          </cell>
          <cell r="AK8017" t="str">
            <v>Balaji Ramamurthy</v>
          </cell>
        </row>
        <row r="8018">
          <cell r="C8018" t="str">
            <v>MS_WM UAT ETrade Q4 2023</v>
          </cell>
          <cell r="H8018">
            <v>5044865</v>
          </cell>
          <cell r="AK8018" t="str">
            <v>Balaji Ramamurthy</v>
          </cell>
        </row>
        <row r="8019">
          <cell r="C8019" t="str">
            <v>MS_ETRADE_Investment Solutions Q4 2023</v>
          </cell>
          <cell r="H8019">
            <v>5045075</v>
          </cell>
          <cell r="AK8019" t="str">
            <v>Dan Schutzman</v>
          </cell>
        </row>
        <row r="8020">
          <cell r="C8020" t="str">
            <v>HSBC-DBS-OCC Remediation Support Team - 2023 Extension</v>
          </cell>
          <cell r="H8020">
            <v>5044484</v>
          </cell>
          <cell r="AK8020" t="str">
            <v>Rahul Govada</v>
          </cell>
        </row>
        <row r="8021">
          <cell r="C8021" t="str">
            <v>MS_WM_UAT_FPL_WSA Q4 2023</v>
          </cell>
          <cell r="H8021">
            <v>5044860</v>
          </cell>
          <cell r="AK8021" t="str">
            <v>Balaji Ramamurthy</v>
          </cell>
        </row>
        <row r="8022">
          <cell r="C8022" t="str">
            <v>MS_ISG_ TTRO_ Q4 2023</v>
          </cell>
          <cell r="H8022">
            <v>5044824</v>
          </cell>
          <cell r="AK8022" t="str">
            <v>Salim Modi</v>
          </cell>
        </row>
        <row r="8023">
          <cell r="C8023" t="str">
            <v>Customers Bank VDD Addendum 4</v>
          </cell>
          <cell r="H8023">
            <v>5042733</v>
          </cell>
          <cell r="AK8023" t="str">
            <v>Gail Rassler</v>
          </cell>
        </row>
        <row r="8024">
          <cell r="C8024" t="str">
            <v>MS_TPPM_Risk Reporting Redesign Q4 2023</v>
          </cell>
          <cell r="H8024">
            <v>5046843</v>
          </cell>
          <cell r="AK8024" t="str">
            <v>Dan Schutzman</v>
          </cell>
        </row>
        <row r="8025">
          <cell r="C8025" t="str">
            <v>MS_WM UAT WIPRO Resource Q4 2023</v>
          </cell>
          <cell r="H8025">
            <v>5045072</v>
          </cell>
          <cell r="AK8025" t="str">
            <v>Balaji Ramamurthy</v>
          </cell>
        </row>
        <row r="8026">
          <cell r="C8026" t="str">
            <v>MS_ISG_FID Strats Q4 2023</v>
          </cell>
          <cell r="H8026">
            <v>5044837</v>
          </cell>
          <cell r="AK8026" t="str">
            <v>Ruben Sooriya</v>
          </cell>
        </row>
        <row r="8027">
          <cell r="C8027" t="str">
            <v>SVB_Fiserv BA Extension</v>
          </cell>
          <cell r="H8027">
            <v>5047086</v>
          </cell>
          <cell r="AK8027" t="str">
            <v>Andrew Murphy</v>
          </cell>
        </row>
        <row r="8028">
          <cell r="C8028" t="str">
            <v>MS_ISG Data CoE US Team Q4 2023</v>
          </cell>
          <cell r="H8028">
            <v>5044943</v>
          </cell>
          <cell r="AK8028" t="str">
            <v>Grzegorz Walukanis</v>
          </cell>
        </row>
        <row r="8029">
          <cell r="C8029" t="str">
            <v>MS_Wealth UAT FSS Q4 2023</v>
          </cell>
          <cell r="H8029">
            <v>5044942</v>
          </cell>
          <cell r="AK8029" t="str">
            <v>Balaji Ramamurthy</v>
          </cell>
        </row>
        <row r="8030">
          <cell r="C8030" t="str">
            <v>DB-CAO-AFC-BC-AFC Modeling Extn H12023</v>
          </cell>
          <cell r="H8030">
            <v>5044647</v>
          </cell>
          <cell r="AK8030" t="str">
            <v>Ruby Cherian</v>
          </cell>
        </row>
        <row r="8031">
          <cell r="C8031" t="str">
            <v>Revantage Data PMO P2 AMD JT</v>
          </cell>
          <cell r="H8031">
            <v>5046100</v>
          </cell>
          <cell r="AK8031" t="str">
            <v>Grzegorz Walukanis</v>
          </cell>
        </row>
        <row r="8032">
          <cell r="C8032" t="str">
            <v>SVB BP Data Governance Jan</v>
          </cell>
          <cell r="H8032">
            <v>5045976</v>
          </cell>
          <cell r="AK8032" t="str">
            <v>Todd Bronshtein</v>
          </cell>
        </row>
        <row r="8033">
          <cell r="C8033" t="str">
            <v>SVB_Catalyst Transformation 2023</v>
          </cell>
          <cell r="H8033">
            <v>5045423</v>
          </cell>
          <cell r="AK8033" t="str">
            <v>Natacha Garcia</v>
          </cell>
        </row>
        <row r="8034">
          <cell r="C8034" t="str">
            <v>MSWM_Investment Platforms_AI Q4 2023</v>
          </cell>
          <cell r="H8034">
            <v>5044827</v>
          </cell>
          <cell r="AK8034" t="str">
            <v>Dan Schutzman</v>
          </cell>
        </row>
        <row r="8035">
          <cell r="C8035" t="str">
            <v>HB BOL Expansion Half Pod</v>
          </cell>
          <cell r="H8035">
            <v>5045303</v>
          </cell>
          <cell r="AK8035" t="str">
            <v>Bemo Itoe</v>
          </cell>
        </row>
        <row r="8036">
          <cell r="C8036" t="str">
            <v>Broadridge RBC G2G 2023</v>
          </cell>
          <cell r="H8036">
            <v>5044333</v>
          </cell>
          <cell r="AK8036" t="str">
            <v>Raymond Ortiz II</v>
          </cell>
        </row>
        <row r="8037">
          <cell r="C8037" t="str">
            <v>FrMc_EOT ILM</v>
          </cell>
          <cell r="H8037">
            <v>5046317</v>
          </cell>
          <cell r="AK8037" t="str">
            <v>Kalkidan Tedla</v>
          </cell>
        </row>
        <row r="8038">
          <cell r="C8038" t="str">
            <v>GS AMD 2023</v>
          </cell>
          <cell r="H8038">
            <v>5045190</v>
          </cell>
          <cell r="AK8038" t="str">
            <v>Parul Chowdhry</v>
          </cell>
        </row>
        <row r="8039">
          <cell r="C8039" t="str">
            <v>SVB_Data Policy Support</v>
          </cell>
          <cell r="H8039">
            <v>5048443</v>
          </cell>
          <cell r="AK8039" t="str">
            <v>Ridha Mesli</v>
          </cell>
        </row>
        <row r="8040">
          <cell r="C8040" t="str">
            <v>SVB_BP Reg Reporting H1 23</v>
          </cell>
          <cell r="H8040">
            <v>5048249</v>
          </cell>
          <cell r="AK8040" t="str">
            <v>Nitin Raju</v>
          </cell>
        </row>
        <row r="8041">
          <cell r="C8041" t="str">
            <v>Jefferies - RPA Program Support Extension</v>
          </cell>
          <cell r="H8041">
            <v>5048370</v>
          </cell>
          <cell r="AK8041" t="str">
            <v>Imran Parekh</v>
          </cell>
        </row>
        <row r="8042">
          <cell r="C8042" t="str">
            <v>Strategic Vendor Audit</v>
          </cell>
          <cell r="H8042">
            <v>5048359</v>
          </cell>
          <cell r="AK8042" t="str">
            <v>Mary Louise Radley</v>
          </cell>
        </row>
        <row r="8043">
          <cell r="C8043" t="str">
            <v>SVB  BP Integration CO3 Q1 23</v>
          </cell>
          <cell r="H8043">
            <v>5045828</v>
          </cell>
          <cell r="AK8043" t="str">
            <v>Andrew Murphy</v>
          </cell>
        </row>
        <row r="8044">
          <cell r="C8044" t="str">
            <v>CRB/AT/AH QA Lead</v>
          </cell>
          <cell r="H8044">
            <v>5048332</v>
          </cell>
          <cell r="AK8044" t="str">
            <v>John McCaffrey</v>
          </cell>
        </row>
        <row r="8045">
          <cell r="C8045" t="str">
            <v>Legal and Compliance BA</v>
          </cell>
          <cell r="H8045">
            <v>5048320</v>
          </cell>
          <cell r="AK8045" t="str">
            <v>Matthew Rodgers</v>
          </cell>
        </row>
        <row r="8046">
          <cell r="C8046" t="str">
            <v>EGM_SCREEN 2.0 Development Resources 2023</v>
          </cell>
          <cell r="H8046">
            <v>5048079</v>
          </cell>
          <cell r="AK8046" t="str">
            <v>Brett Knickle</v>
          </cell>
        </row>
        <row r="8047">
          <cell r="C8047" t="str">
            <v>UNFCU CFPB and $10B Readiness</v>
          </cell>
          <cell r="H8047">
            <v>5047801</v>
          </cell>
          <cell r="AK8047" t="str">
            <v>Tania Makuh</v>
          </cell>
        </row>
        <row r="8048">
          <cell r="C8048" t="str">
            <v>Citi ICG DSFT Governance NWTL Q1 2023 Extension (Franklin Howard)</v>
          </cell>
          <cell r="H8048">
            <v>5044862</v>
          </cell>
          <cell r="AK8048" t="str">
            <v>Ervinas Janavicius</v>
          </cell>
        </row>
        <row r="8049">
          <cell r="C8049" t="str">
            <v>Lee Bank Spanish Translation</v>
          </cell>
          <cell r="H8049">
            <v>5048279</v>
          </cell>
          <cell r="AK8049" t="str">
            <v>Delsys Salas</v>
          </cell>
        </row>
        <row r="8050">
          <cell r="C8050" t="str">
            <v>Morgan Stanley - ProcessUnity Data Migration</v>
          </cell>
          <cell r="H8050">
            <v>5048223</v>
          </cell>
          <cell r="AK8050" t="str">
            <v>Grzegorz Walukanis</v>
          </cell>
        </row>
        <row r="8051">
          <cell r="C8051" t="str">
            <v>Tech Uplift Ext - 2023 Q1</v>
          </cell>
          <cell r="H8051">
            <v>5047182</v>
          </cell>
          <cell r="AK8051" t="str">
            <v>Lauren Somma</v>
          </cell>
        </row>
        <row r="8052">
          <cell r="C8052" t="str">
            <v>BSA Independent Test</v>
          </cell>
          <cell r="H8052">
            <v>5047871</v>
          </cell>
          <cell r="AK8052" t="str">
            <v>William Sachs</v>
          </cell>
        </row>
        <row r="8053">
          <cell r="C8053" t="str">
            <v>The Bank of Delmarva</v>
          </cell>
          <cell r="H8053">
            <v>5048207</v>
          </cell>
          <cell r="AK8053" t="str">
            <v>Kristina Slattery</v>
          </cell>
        </row>
        <row r="8054">
          <cell r="C8054" t="str">
            <v>Operations Regulatory Support</v>
          </cell>
          <cell r="H8054">
            <v>5045269</v>
          </cell>
          <cell r="AK8054" t="str">
            <v>Matthew Rodgers</v>
          </cell>
        </row>
        <row r="8055">
          <cell r="C8055" t="str">
            <v>Transcend QA 2023</v>
          </cell>
          <cell r="H8055">
            <v>5048382</v>
          </cell>
          <cell r="AK8055" t="str">
            <v>John McCaffrey</v>
          </cell>
        </row>
        <row r="8056">
          <cell r="C8056" t="str">
            <v>BB Delivery for AFCU</v>
          </cell>
          <cell r="H8056">
            <v>5044932</v>
          </cell>
          <cell r="AK8056" t="str">
            <v>Luke Penca</v>
          </cell>
        </row>
        <row r="8057">
          <cell r="C8057" t="str">
            <v>Risk Based Capital QA 2023</v>
          </cell>
          <cell r="H8057">
            <v>5048333</v>
          </cell>
          <cell r="AK8057" t="str">
            <v>John McCaffrey</v>
          </cell>
        </row>
        <row r="8058">
          <cell r="C8058" t="str">
            <v>BROADRIDGE_WMAP_2023_Prod_Readiness_Alexis_Todaro_Darrell_Vydra</v>
          </cell>
          <cell r="H8058">
            <v>5045168</v>
          </cell>
          <cell r="AK8058" t="str">
            <v>Devyani Patel</v>
          </cell>
        </row>
        <row r="8059">
          <cell r="C8059" t="str">
            <v>Risk Based Capital QA</v>
          </cell>
          <cell r="H8059">
            <v>5047535</v>
          </cell>
          <cell r="AK8059" t="str">
            <v>John McCaffrey</v>
          </cell>
        </row>
        <row r="8060">
          <cell r="C8060" t="str">
            <v>GFT FRMT Extension 2023 Q1</v>
          </cell>
          <cell r="H8060">
            <v>5047839</v>
          </cell>
          <cell r="AK8060" t="str">
            <v>Ervinas Janavicius</v>
          </cell>
        </row>
        <row r="8061">
          <cell r="C8061" t="str">
            <v>MM Resource Support</v>
          </cell>
          <cell r="H8061">
            <v>5046804</v>
          </cell>
          <cell r="AK8061" t="str">
            <v>Gordon Lunsford</v>
          </cell>
        </row>
        <row r="8062">
          <cell r="C8062" t="str">
            <v>IBOR COE support_H1 2023</v>
          </cell>
          <cell r="H8062">
            <v>5048336</v>
          </cell>
          <cell r="AK8062" t="str">
            <v>Conor Dowling</v>
          </cell>
        </row>
        <row r="8063">
          <cell r="C8063" t="str">
            <v>DB-CRB-AS-IT-Automation as a Service H1 2023 – UX Design Team Extension</v>
          </cell>
          <cell r="H8063">
            <v>5046059</v>
          </cell>
          <cell r="AK8063" t="str">
            <v>Tara Goderez</v>
          </cell>
        </row>
        <row r="8064">
          <cell r="C8064" t="str">
            <v>SEIU IT - Addl PO/BA, QA Ph4</v>
          </cell>
          <cell r="H8064">
            <v>5046704</v>
          </cell>
          <cell r="AK8064" t="str">
            <v>Eric Fairchild</v>
          </cell>
        </row>
        <row r="8065">
          <cell r="C8065" t="str">
            <v>Commerce Bank | Discovery Phase - User Admin &amp; Onboarding</v>
          </cell>
          <cell r="H8065">
            <v>5047968</v>
          </cell>
          <cell r="AK8065" t="str">
            <v>Kari Raimondi</v>
          </cell>
        </row>
        <row r="8066">
          <cell r="C8066" t="str">
            <v>SVB_Payment Software Engineer_Ext</v>
          </cell>
          <cell r="H8066">
            <v>5048092</v>
          </cell>
          <cell r="AK8066" t="str">
            <v>Ameya Deolalkar</v>
          </cell>
        </row>
        <row r="8067">
          <cell r="C8067" t="str">
            <v>EOT Operational Risk Control Testing Support (Core)</v>
          </cell>
          <cell r="H8067">
            <v>5048481</v>
          </cell>
          <cell r="AK8067" t="str">
            <v>Boris Mallet</v>
          </cell>
        </row>
        <row r="8068">
          <cell r="C8068" t="str">
            <v>EOT Operational Risk Control Testing Support (Core)</v>
          </cell>
          <cell r="H8068">
            <v>5048481</v>
          </cell>
          <cell r="AK8068" t="str">
            <v>Boris Mallet</v>
          </cell>
        </row>
        <row r="8069">
          <cell r="C8069" t="str">
            <v>HSBC-DBS-OCC Remediation IT Program (BA)-EXT2</v>
          </cell>
          <cell r="H8069">
            <v>5045386</v>
          </cell>
          <cell r="AK8069" t="str">
            <v>Rahul Govada</v>
          </cell>
        </row>
        <row r="8070">
          <cell r="C8070" t="str">
            <v>FrMc_ICM Libor 2023 Ext</v>
          </cell>
          <cell r="H8070">
            <v>5047415</v>
          </cell>
          <cell r="AK8070" t="str">
            <v>Michael Mathew</v>
          </cell>
        </row>
        <row r="8071">
          <cell r="C8071" t="str">
            <v>FIST Project Management</v>
          </cell>
          <cell r="H8071">
            <v>5048167</v>
          </cell>
          <cell r="AK8071" t="str">
            <v>Christina Artieda</v>
          </cell>
        </row>
        <row r="8072">
          <cell r="C8072" t="str">
            <v>SVB_API Software Analyst</v>
          </cell>
          <cell r="H8072">
            <v>5048118</v>
          </cell>
          <cell r="AK8072" t="str">
            <v>Ameya Deolalkar</v>
          </cell>
        </row>
        <row r="8073">
          <cell r="C8073" t="str">
            <v>RECURRING Cecil Bank</v>
          </cell>
          <cell r="H8073">
            <v>5048353</v>
          </cell>
          <cell r="AK8073" t="str">
            <v>Steve Manitzas</v>
          </cell>
        </row>
        <row r="8074">
          <cell r="C8074" t="str">
            <v>MECU HMDA Data Review</v>
          </cell>
          <cell r="H8074">
            <v>5048455</v>
          </cell>
          <cell r="AK8074" t="str">
            <v>W. Annette Dredden</v>
          </cell>
        </row>
        <row r="8075">
          <cell r="C8075" t="str">
            <v>SVB_JIRA and Confluence Extension</v>
          </cell>
          <cell r="H8075">
            <v>5045064</v>
          </cell>
          <cell r="AK8075" t="str">
            <v>Ameya Deolalkar</v>
          </cell>
        </row>
        <row r="8076">
          <cell r="C8076" t="str">
            <v>Artisans Bank CMS Support</v>
          </cell>
          <cell r="H8076">
            <v>5048122</v>
          </cell>
          <cell r="AK8076" t="str">
            <v>Amanda Pickering</v>
          </cell>
        </row>
        <row r="8077">
          <cell r="C8077" t="str">
            <v>FrMc_MF Staff Augmentation Extension (SA)</v>
          </cell>
          <cell r="H8077">
            <v>5044802</v>
          </cell>
          <cell r="AK8077" t="str">
            <v>Kalkidan Tedla</v>
          </cell>
        </row>
        <row r="8078">
          <cell r="C8078" t="str">
            <v>Broadridge - PMWH Alts PM 2023</v>
          </cell>
          <cell r="H8078">
            <v>5047132</v>
          </cell>
          <cell r="AK8078" t="str">
            <v>Jennifer Hsiung</v>
          </cell>
        </row>
        <row r="8079">
          <cell r="C8079" t="str">
            <v>FrMc_Payment Modernization 2023 (SOW 6477-04)</v>
          </cell>
          <cell r="H8079">
            <v>5043741</v>
          </cell>
          <cell r="AK8079" t="str">
            <v>Kalkidan Tedla</v>
          </cell>
        </row>
        <row r="8080">
          <cell r="C8080" t="str">
            <v>FrMc_MF ILM H1 2023 (4067)</v>
          </cell>
          <cell r="H8080">
            <v>5046248</v>
          </cell>
          <cell r="AK8080" t="str">
            <v>Rishi Sanghavi</v>
          </cell>
        </row>
        <row r="8081">
          <cell r="C8081" t="str">
            <v>DB-TDI-DAT-BC-AFC Data Trace - H1 2023</v>
          </cell>
          <cell r="H8081">
            <v>5044329</v>
          </cell>
          <cell r="AK8081" t="str">
            <v>David Roberts</v>
          </cell>
        </row>
        <row r="8082">
          <cell r="C8082" t="str">
            <v>UB_116 TO4_Symphony SP-059 Ext 3</v>
          </cell>
          <cell r="H8082">
            <v>5044818</v>
          </cell>
          <cell r="AK8082" t="str">
            <v>Samuel Awsumb</v>
          </cell>
        </row>
        <row r="8083">
          <cell r="C8083" t="str">
            <v>Broadridge WMAP 2023_Cheri_Warner</v>
          </cell>
          <cell r="H8083">
            <v>5045168</v>
          </cell>
          <cell r="AK8083" t="str">
            <v>Devyani Patel</v>
          </cell>
        </row>
        <row r="8084">
          <cell r="C8084" t="str">
            <v>Mitsui OFAC Support</v>
          </cell>
          <cell r="H8084">
            <v>5042259</v>
          </cell>
          <cell r="AK8084" t="str">
            <v>Helen Person</v>
          </cell>
        </row>
        <row r="8085">
          <cell r="C8085" t="str">
            <v>Revantage MT Ext Jan 2023</v>
          </cell>
          <cell r="H8085">
            <v>5046773</v>
          </cell>
          <cell r="AK8085" t="str">
            <v>Grzegorz Walukanis</v>
          </cell>
        </row>
        <row r="8086">
          <cell r="C8086" t="str">
            <v>SVB_TE OCM H1 2023</v>
          </cell>
          <cell r="H8086">
            <v>5046189</v>
          </cell>
          <cell r="AK8086" t="str">
            <v>Chinmoy Bhatiya</v>
          </cell>
        </row>
        <row r="8087">
          <cell r="C8087" t="str">
            <v>Key Process AMD 7</v>
          </cell>
          <cell r="H8087">
            <v>5042840</v>
          </cell>
          <cell r="AK8087" t="str">
            <v>Samuel Awsumb</v>
          </cell>
        </row>
        <row r="8088">
          <cell r="C8088" t="str">
            <v>HSBC-CMB-Client Services-EXT1</v>
          </cell>
          <cell r="H8088">
            <v>5046881</v>
          </cell>
          <cell r="AK8088" t="str">
            <v>Rahul Govada</v>
          </cell>
        </row>
        <row r="8089">
          <cell r="C8089" t="str">
            <v>SVB CX Council Extension</v>
          </cell>
          <cell r="H8089">
            <v>5047407</v>
          </cell>
          <cell r="AK8089" t="str">
            <v>Thomas Wendt</v>
          </cell>
        </row>
        <row r="8090">
          <cell r="C8090" t="str">
            <v>HSBC-WPB-GPB-Agile BA</v>
          </cell>
          <cell r="H8090">
            <v>5048363</v>
          </cell>
          <cell r="AK8090" t="str">
            <v>Steven D'Angelo</v>
          </cell>
        </row>
        <row r="8091">
          <cell r="C8091" t="str">
            <v>WF CIB R&amp;R 2023 2024 Extension</v>
          </cell>
          <cell r="H8091">
            <v>5048255</v>
          </cell>
          <cell r="AK8091" t="str">
            <v>Stephanie Colling</v>
          </cell>
        </row>
        <row r="8092">
          <cell r="C8092" t="str">
            <v>Computershare Change &amp; Transformation Support CY23 - Core Team Extension</v>
          </cell>
          <cell r="H8092">
            <v>5045816</v>
          </cell>
          <cell r="AK8092" t="str">
            <v>Douglas Sieg</v>
          </cell>
        </row>
        <row r="8093">
          <cell r="C8093" t="str">
            <v>Norwood-CMS Opt 2023</v>
          </cell>
          <cell r="H8093">
            <v>5047869</v>
          </cell>
          <cell r="AK8093" t="str">
            <v>Louvera Walden</v>
          </cell>
        </row>
        <row r="8094">
          <cell r="C8094" t="str">
            <v>UB_116 TO3_Symphony SP 040 Ext 3</v>
          </cell>
          <cell r="H8094">
            <v>5044537</v>
          </cell>
          <cell r="AK8094" t="str">
            <v>Samuel Awsumb</v>
          </cell>
        </row>
        <row r="8095">
          <cell r="C8095" t="str">
            <v>HB Omni Q4 FY23 Q1 FY24</v>
          </cell>
          <cell r="H8095">
            <v>5048184</v>
          </cell>
          <cell r="AK8095" t="str">
            <v>Luke Penca</v>
          </cell>
        </row>
        <row r="8096">
          <cell r="C8096" t="str">
            <v>MSWM_MS@Work Project Sunrise_PM Support</v>
          </cell>
          <cell r="H8096">
            <v>5048227</v>
          </cell>
          <cell r="AK8096" t="str">
            <v>Dan Schutzman</v>
          </cell>
        </row>
        <row r="8097">
          <cell r="C8097" t="str">
            <v>Farmers and Merchants Bank</v>
          </cell>
          <cell r="H8097">
            <v>5048390</v>
          </cell>
          <cell r="AK8097" t="str">
            <v>W. Annette Dredden</v>
          </cell>
        </row>
        <row r="8098">
          <cell r="C8098" t="str">
            <v>CNB_TLM MRA Support</v>
          </cell>
          <cell r="H8098">
            <v>5048047</v>
          </cell>
          <cell r="AK8098" t="str">
            <v>Betsy Cherian</v>
          </cell>
        </row>
        <row r="8099">
          <cell r="C8099" t="str">
            <v>SD Compliance PM</v>
          </cell>
          <cell r="H8099">
            <v>5048439</v>
          </cell>
          <cell r="AK8099" t="str">
            <v>Parul Chowdhry</v>
          </cell>
        </row>
        <row r="8100">
          <cell r="C8100" t="str">
            <v>ITG Business Manager Ext3</v>
          </cell>
          <cell r="H8100">
            <v>5046124</v>
          </cell>
          <cell r="AK8100" t="str">
            <v>Christina Artieda</v>
          </cell>
        </row>
        <row r="8101">
          <cell r="C8101" t="str">
            <v>Blue Foundry Bank CMS Support</v>
          </cell>
          <cell r="H8101">
            <v>5048391</v>
          </cell>
          <cell r="AK8101" t="str">
            <v>Anna Proleika</v>
          </cell>
        </row>
        <row r="8102">
          <cell r="C8102" t="str">
            <v>FIS CTR OFAC Support</v>
          </cell>
          <cell r="H8102">
            <v>5048821</v>
          </cell>
          <cell r="AK8102" t="str">
            <v>Anna Proleika</v>
          </cell>
        </row>
        <row r="8103">
          <cell r="C8103" t="str">
            <v>Sunwest Bank -RAS</v>
          </cell>
          <cell r="H8103">
            <v>5048341</v>
          </cell>
          <cell r="AK8103" t="str">
            <v>Rebecca Breland</v>
          </cell>
        </row>
        <row r="8104">
          <cell r="C8104" t="str">
            <v>RECURRING Watertown Savings Bank Compl Cons</v>
          </cell>
          <cell r="H8104">
            <v>5048408</v>
          </cell>
          <cell r="AK8104" t="str">
            <v>Lawana Clark</v>
          </cell>
        </row>
        <row r="8105">
          <cell r="C8105" t="str">
            <v>ICG Transformation Office Extension 2023 (US Only)</v>
          </cell>
          <cell r="H8105">
            <v>5048091</v>
          </cell>
          <cell r="AK8105" t="str">
            <v>Sarah Smith</v>
          </cell>
        </row>
        <row r="8106">
          <cell r="C8106" t="str">
            <v>Jefferies Tech Change Enablement Team Lead</v>
          </cell>
          <cell r="H8106">
            <v>5048348</v>
          </cell>
          <cell r="AK8106" t="str">
            <v>Nicholas Perkins</v>
          </cell>
        </row>
        <row r="8107">
          <cell r="C8107" t="str">
            <v>BNYM TR Program 2023 Phase 1</v>
          </cell>
          <cell r="H8107">
            <v>5048310</v>
          </cell>
          <cell r="AK8107" t="str">
            <v>Mehak Nagpal</v>
          </cell>
        </row>
        <row r="8108">
          <cell r="C8108" t="str">
            <v>NSF Fees - Compliance Consulting</v>
          </cell>
          <cell r="H8108">
            <v>5048409</v>
          </cell>
          <cell r="AK8108" t="str">
            <v>Anna Proleika</v>
          </cell>
        </row>
        <row r="8109">
          <cell r="C8109" t="str">
            <v>GRC - Danube Upgrade Migration Testing</v>
          </cell>
          <cell r="H8109">
            <v>5048579</v>
          </cell>
          <cell r="AK8109" t="str">
            <v>Tania Makuh</v>
          </cell>
        </row>
        <row r="8110">
          <cell r="C8110" t="str">
            <v>Reoccurring - ITC Annual Fiduciary &amp; AML Audits</v>
          </cell>
          <cell r="H8110">
            <v>5047612</v>
          </cell>
          <cell r="AK8110" t="str">
            <v>Mary Louise Radley</v>
          </cell>
        </row>
        <row r="8111">
          <cell r="C8111" t="str">
            <v>Recurring  GRC Compliance Content</v>
          </cell>
          <cell r="H8111">
            <v>5038237</v>
          </cell>
          <cell r="AK8111" t="str">
            <v>Tania Makuh</v>
          </cell>
        </row>
        <row r="8112">
          <cell r="C8112" t="str">
            <v>FNMA UW Transform Extension</v>
          </cell>
          <cell r="H8112">
            <v>5041493</v>
          </cell>
          <cell r="AK8112" t="str">
            <v>Nitin Raju</v>
          </cell>
        </row>
        <row r="8113">
          <cell r="C8113" t="str">
            <v>Pru C&amp;P Q1 2023 Extension</v>
          </cell>
          <cell r="H8113">
            <v>5045530</v>
          </cell>
          <cell r="AK8113" t="str">
            <v>Chaitan Parikh</v>
          </cell>
        </row>
        <row r="8114">
          <cell r="C8114" t="str">
            <v>Walden Savings Bank CMS (Addt'l Hours)</v>
          </cell>
          <cell r="H8114">
            <v>5041032</v>
          </cell>
          <cell r="AK8114" t="str">
            <v>Mariana Dumanovsky</v>
          </cell>
        </row>
        <row r="8115">
          <cell r="C8115" t="str">
            <v>HSL_NetSuite&amp;CFO Support 1Q2023</v>
          </cell>
          <cell r="H8115">
            <v>5045663</v>
          </cell>
          <cell r="AK8115" t="str">
            <v>Eric Fairchild</v>
          </cell>
        </row>
        <row r="8116">
          <cell r="C8116" t="str">
            <v>Berkshire Bank_RAS</v>
          </cell>
          <cell r="H8116">
            <v>5044652</v>
          </cell>
          <cell r="AK8116" t="str">
            <v>Diane Banks</v>
          </cell>
        </row>
        <row r="8117">
          <cell r="C8117" t="str">
            <v>Wealth Current State Assessment</v>
          </cell>
          <cell r="H8117">
            <v>5048384</v>
          </cell>
          <cell r="AK8117" t="str">
            <v>Raymond Ortiz II</v>
          </cell>
        </row>
        <row r="8118">
          <cell r="C8118" t="str">
            <v>Broadridge Cloud Data Transformation</v>
          </cell>
          <cell r="H8118">
            <v>5048470</v>
          </cell>
          <cell r="AK8118" t="str">
            <v>Gwen Long</v>
          </cell>
        </row>
        <row r="8119">
          <cell r="C8119" t="str">
            <v>Dime CMS and State</v>
          </cell>
          <cell r="H8119">
            <v>5048465</v>
          </cell>
          <cell r="AK8119" t="str">
            <v>Lawana Clark</v>
          </cell>
        </row>
        <row r="8120">
          <cell r="C8120" t="str">
            <v>Jefferies Cloud Innovation Manager</v>
          </cell>
          <cell r="H8120">
            <v>5048568</v>
          </cell>
          <cell r="AK8120" t="str">
            <v>Aoife Hogan</v>
          </cell>
        </row>
        <row r="8121">
          <cell r="C8121" t="str">
            <v>Fraud Alert Clearing Support</v>
          </cell>
          <cell r="H8121">
            <v>5048431</v>
          </cell>
          <cell r="AK8121" t="str">
            <v>Helen Person</v>
          </cell>
        </row>
        <row r="8122">
          <cell r="C8122" t="str">
            <v>MSWM_IIS_Tech Implementation Business Analyst</v>
          </cell>
          <cell r="H8122">
            <v>5044876</v>
          </cell>
          <cell r="AK8122" t="str">
            <v>Dan Schutzman</v>
          </cell>
        </row>
        <row r="8123">
          <cell r="C8123" t="str">
            <v>MS_Strategic Sourcing_Process Unity Configuration_Lead PM</v>
          </cell>
          <cell r="H8123">
            <v>5044798</v>
          </cell>
          <cell r="AK8123" t="str">
            <v>Dan Schutzman</v>
          </cell>
        </row>
        <row r="8124">
          <cell r="C8124" t="str">
            <v>ERM Advisory - Census FCU</v>
          </cell>
          <cell r="H8124">
            <v>5048521</v>
          </cell>
          <cell r="AK8124" t="str">
            <v>Tania Makuh</v>
          </cell>
        </row>
        <row r="8125">
          <cell r="C8125" t="str">
            <v>SVB Leerink Q1 23</v>
          </cell>
          <cell r="H8125">
            <v>5047264</v>
          </cell>
          <cell r="AK8125" t="str">
            <v>Nitin Raju</v>
          </cell>
        </row>
        <row r="8126">
          <cell r="C8126" t="str">
            <v>Jefferies - Elizabeth Extn</v>
          </cell>
          <cell r="H8126">
            <v>5048814</v>
          </cell>
          <cell r="AK8126" t="str">
            <v>John Clifford</v>
          </cell>
        </row>
        <row r="8127">
          <cell r="C8127" t="str">
            <v>Community National Bank-RAS</v>
          </cell>
          <cell r="H8127">
            <v>5048525</v>
          </cell>
          <cell r="AK8127" t="str">
            <v>Diane Banks</v>
          </cell>
        </row>
        <row r="8128">
          <cell r="C8128" t="str">
            <v>Haven Life Agent Support</v>
          </cell>
          <cell r="H8128">
            <v>5047044</v>
          </cell>
          <cell r="AK8128" t="str">
            <v>Gordon Lunsford</v>
          </cell>
        </row>
        <row r="8129">
          <cell r="C8129" t="str">
            <v>The Bank of Delmarva BSA YH System Review</v>
          </cell>
          <cell r="H8129">
            <v>5048192</v>
          </cell>
          <cell r="AK8129" t="str">
            <v>William Sachs</v>
          </cell>
        </row>
        <row r="8130">
          <cell r="C8130" t="str">
            <v>Jeff_Transcend Extension_Feb 2023</v>
          </cell>
          <cell r="H8130">
            <v>5048608</v>
          </cell>
          <cell r="AK8130" t="str">
            <v>Matthew Rodgers</v>
          </cell>
        </row>
        <row r="8131">
          <cell r="C8131" t="str">
            <v>Capital Bank Pricing UW Reports</v>
          </cell>
          <cell r="H8131">
            <v>5048880</v>
          </cell>
          <cell r="AK8131" t="str">
            <v>Juan Pimentel</v>
          </cell>
        </row>
        <row r="8132">
          <cell r="C8132" t="str">
            <v>Recurring Noah Bank_CMS Support 2023</v>
          </cell>
          <cell r="H8132">
            <v>5048490</v>
          </cell>
          <cell r="AK8132" t="str">
            <v>Anna Proleika</v>
          </cell>
        </row>
        <row r="8133">
          <cell r="C8133" t="str">
            <v>Haddon Savings Bank Risk Assessments</v>
          </cell>
          <cell r="H8133">
            <v>5048762</v>
          </cell>
          <cell r="AK8133" t="str">
            <v>William Sachs</v>
          </cell>
        </row>
        <row r="8134">
          <cell r="C8134" t="str">
            <v>HSBC-GFP-DBS-OCC Remediation India Team</v>
          </cell>
          <cell r="H8134">
            <v>5049834</v>
          </cell>
          <cell r="AK8134" t="str">
            <v>Steven D'Angelo</v>
          </cell>
        </row>
        <row r="8135">
          <cell r="C8135" t="str">
            <v>Clear Mountain Bank</v>
          </cell>
          <cell r="H8135">
            <v>5048852</v>
          </cell>
          <cell r="AK8135" t="str">
            <v>William Sachs</v>
          </cell>
        </row>
        <row r="8136">
          <cell r="C8136" t="str">
            <v>New Millennium Bank AML Monitoring System Tuning</v>
          </cell>
          <cell r="H8136">
            <v>5048575</v>
          </cell>
          <cell r="AK8136" t="str">
            <v>William Sachs</v>
          </cell>
        </row>
        <row r="8137">
          <cell r="C8137" t="str">
            <v>Comm. Bank of Parkersburg - Supplemental Monitoring 2023</v>
          </cell>
          <cell r="H8137">
            <v>5048372</v>
          </cell>
          <cell r="AK8137" t="str">
            <v>Jeanette Wampler</v>
          </cell>
        </row>
        <row r="8138">
          <cell r="C8138" t="str">
            <v>Harbor Bank  AML Alert Clearing</v>
          </cell>
          <cell r="H8138">
            <v>5048653</v>
          </cell>
          <cell r="AK8138" t="str">
            <v>Patrice Nye</v>
          </cell>
        </row>
        <row r="8139">
          <cell r="C8139" t="str">
            <v>Arvest Bank_Reg Data Feed</v>
          </cell>
          <cell r="H8139">
            <v>5048578</v>
          </cell>
          <cell r="AK8139" t="str">
            <v>Leah Robinson</v>
          </cell>
        </row>
        <row r="8140">
          <cell r="C8140" t="str">
            <v>PSECU Compliance Reviews</v>
          </cell>
          <cell r="H8140">
            <v>5048636</v>
          </cell>
          <cell r="AK8140" t="str">
            <v>Gail Rassler</v>
          </cell>
        </row>
        <row r="8141">
          <cell r="C8141" t="str">
            <v>Embedded Agile Team Members - Feb 2023 and Beyond</v>
          </cell>
          <cell r="H8141">
            <v>5048526</v>
          </cell>
          <cell r="AK8141" t="str">
            <v>Michelle Rosen</v>
          </cell>
        </row>
        <row r="8142">
          <cell r="C8142" t="str">
            <v>MSWM_Advice Fleet Business Analysis_NaishiJhaveri</v>
          </cell>
          <cell r="H8142">
            <v>5048558</v>
          </cell>
          <cell r="AK8142" t="str">
            <v>Dan Schutzman</v>
          </cell>
        </row>
        <row r="8143">
          <cell r="C8143" t="str">
            <v>CNB_VMO Support 2023</v>
          </cell>
          <cell r="H8143">
            <v>5044794</v>
          </cell>
          <cell r="AK8143" t="str">
            <v>Betsy Cherian</v>
          </cell>
        </row>
        <row r="8144">
          <cell r="C8144" t="str">
            <v>CACIB - Additional Cyber PM</v>
          </cell>
          <cell r="H8144">
            <v>5045744</v>
          </cell>
          <cell r="AK8144" t="str">
            <v>Garry Harvey</v>
          </cell>
        </row>
        <row r="8145">
          <cell r="C8145" t="str">
            <v>HSBC-WIPRO-GFP-DBS-OCC Remediation India</v>
          </cell>
          <cell r="H8145">
            <v>5050519</v>
          </cell>
          <cell r="AK8145" t="str">
            <v>Rohan Dixit</v>
          </cell>
        </row>
        <row r="8146">
          <cell r="C8146" t="str">
            <v>FrMc_SF Process Mapping Ext (SA)</v>
          </cell>
          <cell r="H8146">
            <v>5045563</v>
          </cell>
          <cell r="AK8146" t="str">
            <v>Michael Mathew</v>
          </cell>
        </row>
        <row r="8147">
          <cell r="C8147" t="str">
            <v>MS - Strategic RTB India Q4 2023</v>
          </cell>
          <cell r="H8147">
            <v>5046739</v>
          </cell>
          <cell r="AK8147" t="str">
            <v>Ruben Sooriya</v>
          </cell>
        </row>
        <row r="8148">
          <cell r="C8148" t="str">
            <v>HSBC_OCC India Negative Sale</v>
          </cell>
          <cell r="H8148">
            <v>5049834</v>
          </cell>
          <cell r="AK8148" t="str">
            <v>Steven D'Angelo</v>
          </cell>
        </row>
        <row r="8149">
          <cell r="C8149" t="str">
            <v>Recurring Founders Bank CMS 23</v>
          </cell>
          <cell r="H8149">
            <v>5048603</v>
          </cell>
          <cell r="AK8149" t="str">
            <v>Amanda Pickering</v>
          </cell>
        </row>
        <row r="8150">
          <cell r="C8150" t="str">
            <v>RECURRING Harbor Bk CMS 23</v>
          </cell>
          <cell r="H8150">
            <v>5048433</v>
          </cell>
          <cell r="AK8150" t="str">
            <v>W. Annette Dredden</v>
          </cell>
        </row>
        <row r="8151">
          <cell r="C8151" t="str">
            <v>Post-Close TRID Quality Control</v>
          </cell>
          <cell r="H8151">
            <v>5048607</v>
          </cell>
          <cell r="AK8151" t="str">
            <v>Susan Stevenson</v>
          </cell>
        </row>
        <row r="8152">
          <cell r="C8152" t="str">
            <v>Pru_Acusite Platform Development Part 3</v>
          </cell>
          <cell r="H8152">
            <v>5046910</v>
          </cell>
          <cell r="AK8152" t="str">
            <v>Laura D'Alessandro</v>
          </cell>
        </row>
        <row r="8153">
          <cell r="C8153" t="str">
            <v>Equity Swaps Test Lead</v>
          </cell>
          <cell r="H8153">
            <v>5048615</v>
          </cell>
          <cell r="AK8153" t="str">
            <v>Sri Nonabur Srinivasamurthy</v>
          </cell>
        </row>
        <row r="8154">
          <cell r="C8154" t="str">
            <v>ERM Advisory - ANBTX</v>
          </cell>
          <cell r="H8154">
            <v>5048755</v>
          </cell>
          <cell r="AK8154" t="str">
            <v>Tania Makuh</v>
          </cell>
        </row>
        <row r="8155">
          <cell r="C8155" t="str">
            <v>MSWM_E*TRADE End User Migration BA/PM Support</v>
          </cell>
          <cell r="H8155">
            <v>5048557</v>
          </cell>
          <cell r="AK8155" t="str">
            <v>Dan Schutzman</v>
          </cell>
        </row>
        <row r="8156">
          <cell r="C8156" t="str">
            <v>Calhoun Banks - Supplemental Monitoring 2023</v>
          </cell>
          <cell r="H8156">
            <v>5048498</v>
          </cell>
          <cell r="AK8156" t="str">
            <v>Steve Manitzas</v>
          </cell>
        </row>
        <row r="8157">
          <cell r="C8157" t="str">
            <v>Flushing Bank - HMDA and CRA Services</v>
          </cell>
          <cell r="H8157">
            <v>5048564</v>
          </cell>
          <cell r="AK8157" t="str">
            <v>David Belfer</v>
          </cell>
        </row>
        <row r="8158">
          <cell r="C8158" t="str">
            <v>Hyperion Bank HMDA Scrub</v>
          </cell>
          <cell r="H8158">
            <v>5048494</v>
          </cell>
          <cell r="AK8158" t="str">
            <v>Anna Proleika</v>
          </cell>
        </row>
        <row r="8159">
          <cell r="C8159" t="str">
            <v>SEIU_CLC EA Project Support Ph8</v>
          </cell>
          <cell r="H8159">
            <v>5041705</v>
          </cell>
          <cell r="AK8159" t="str">
            <v>Eric Fairchild</v>
          </cell>
        </row>
        <row r="8160">
          <cell r="C8160" t="str">
            <v>Operationalization RM</v>
          </cell>
          <cell r="H8160">
            <v>5047469</v>
          </cell>
          <cell r="AK8160" t="str">
            <v>Boris Mallet</v>
          </cell>
        </row>
        <row r="8161">
          <cell r="C8161" t="str">
            <v>MVB_Compliance Audit</v>
          </cell>
          <cell r="H8161">
            <v>5047404</v>
          </cell>
          <cell r="AK8161" t="str">
            <v>David Stalnaker</v>
          </cell>
        </row>
        <row r="8162">
          <cell r="C8162" t="str">
            <v>FrMc_ICM Dev Support Extensions (SA)</v>
          </cell>
          <cell r="H8162">
            <v>5046062</v>
          </cell>
          <cell r="AK8162" t="str">
            <v>Kalkidan Tedla</v>
          </cell>
        </row>
        <row r="8163">
          <cell r="C8163" t="str">
            <v>HBAN - Digital Wealth - InvestCloud PMO</v>
          </cell>
          <cell r="H8163">
            <v>5048600</v>
          </cell>
          <cell r="AK8163" t="str">
            <v>Nikhil Sharma</v>
          </cell>
        </row>
        <row r="8164">
          <cell r="C8164" t="str">
            <v>FrMc_CDT (SOW 5979-08)</v>
          </cell>
          <cell r="H8164">
            <v>5045390</v>
          </cell>
          <cell r="AK8164" t="str">
            <v>Chad Bonadonna</v>
          </cell>
        </row>
        <row r="8165">
          <cell r="C8165" t="str">
            <v>SVB BP Data Governance Q1 2023</v>
          </cell>
          <cell r="H8165">
            <v>5045976</v>
          </cell>
          <cell r="AK8165" t="str">
            <v>Todd Bronshtein</v>
          </cell>
        </row>
        <row r="8166">
          <cell r="C8166" t="str">
            <v>Honey Well_Project Sunrise Transformation Management</v>
          </cell>
          <cell r="H8166">
            <v>5049067</v>
          </cell>
          <cell r="AK8166" t="str">
            <v>John Gubala</v>
          </cell>
        </row>
        <row r="8167">
          <cell r="C8167" t="str">
            <v>FrMc_SF Process Mapping Role Addition (SA)</v>
          </cell>
          <cell r="H8167">
            <v>5045563</v>
          </cell>
          <cell r="AK8167" t="str">
            <v>Michael Mathew</v>
          </cell>
        </row>
        <row r="8168">
          <cell r="C8168" t="str">
            <v>Equity Flow Monitor Design &amp; Dev</v>
          </cell>
          <cell r="H8168">
            <v>5048646</v>
          </cell>
          <cell r="AK8168" t="str">
            <v>Irina Szilagyi</v>
          </cell>
        </row>
        <row r="8169">
          <cell r="C8169" t="str">
            <v>Alight Alert Clearing Extension 2023</v>
          </cell>
          <cell r="H8169">
            <v>5048724</v>
          </cell>
          <cell r="AK8169" t="str">
            <v>Helen Person</v>
          </cell>
        </row>
        <row r="8170">
          <cell r="C8170" t="str">
            <v>WF RCSA Staffing</v>
          </cell>
          <cell r="H8170">
            <v>5048651</v>
          </cell>
          <cell r="AK8170" t="str">
            <v>Pranay Kalra</v>
          </cell>
        </row>
        <row r="8171">
          <cell r="C8171" t="str">
            <v>TP ICAP Broker Dealer Ops / Tech</v>
          </cell>
          <cell r="H8171">
            <v>5044825</v>
          </cell>
          <cell r="AK8171" t="str">
            <v>Kirby Pulver</v>
          </cell>
        </row>
        <row r="8172">
          <cell r="C8172" t="str">
            <v>Record Keeping Analysis</v>
          </cell>
          <cell r="H8172">
            <v>5048647</v>
          </cell>
          <cell r="AK8172" t="str">
            <v>Matthew Rodgers</v>
          </cell>
        </row>
        <row r="8173">
          <cell r="C8173" t="str">
            <v>MSUFCU_10 Billion Readiness Assessment</v>
          </cell>
          <cell r="H8173">
            <v>5048570</v>
          </cell>
          <cell r="AK8173" t="str">
            <v>Caroline Teunissen</v>
          </cell>
        </row>
        <row r="8174">
          <cell r="C8174" t="str">
            <v>First Citizens_FDIC 370 Compliance - Analysis and Planning</v>
          </cell>
          <cell r="H8174">
            <v>5048628</v>
          </cell>
          <cell r="AK8174" t="str">
            <v>Sebastian Ekberg</v>
          </cell>
        </row>
        <row r="8175">
          <cell r="C8175" t="str">
            <v>CC5 HMDA Review 2022</v>
          </cell>
          <cell r="H8175">
            <v>5048727</v>
          </cell>
          <cell r="AK8175" t="str">
            <v>Juan Pimentel</v>
          </cell>
        </row>
        <row r="8176">
          <cell r="C8176" t="str">
            <v>FrMc_MF Modern Delivery (SA)</v>
          </cell>
          <cell r="H8176">
            <v>5048648</v>
          </cell>
          <cell r="AK8176" t="str">
            <v>Kalkidan Tedla</v>
          </cell>
        </row>
        <row r="8177">
          <cell r="C8177" t="str">
            <v>MetricStream Danube Upgrade Testing</v>
          </cell>
          <cell r="H8177">
            <v>5048828</v>
          </cell>
          <cell r="AK8177" t="str">
            <v>Tania Makuh</v>
          </cell>
        </row>
        <row r="8178">
          <cell r="C8178" t="str">
            <v>HNB BOL Additional Pod</v>
          </cell>
          <cell r="H8178">
            <v>5048666</v>
          </cell>
          <cell r="AK8178" t="str">
            <v>Imran Aquil</v>
          </cell>
        </row>
        <row r="8179">
          <cell r="C8179" t="str">
            <v>M&amp;T Bank Reg Data Feed 2023</v>
          </cell>
          <cell r="H8179">
            <v>5048604</v>
          </cell>
          <cell r="AK8179" t="str">
            <v>Leah Robinson</v>
          </cell>
        </row>
        <row r="8180">
          <cell r="C8180" t="str">
            <v>Trustco Bank - CFR and Outliers Review</v>
          </cell>
          <cell r="H8180">
            <v>5048565</v>
          </cell>
          <cell r="AK8180" t="str">
            <v>Leigh Tribou</v>
          </cell>
        </row>
        <row r="8181">
          <cell r="C8181" t="str">
            <v>Key Bank Data &amp; Analytics</v>
          </cell>
          <cell r="H8181">
            <v>5048667</v>
          </cell>
          <cell r="AK8181" t="str">
            <v>Pete Grebus</v>
          </cell>
        </row>
        <row r="8182">
          <cell r="C8182" t="str">
            <v>Ops Resilience BA</v>
          </cell>
          <cell r="H8182">
            <v>5048705</v>
          </cell>
          <cell r="AK8182" t="str">
            <v>Ruben Sooriya</v>
          </cell>
        </row>
        <row r="8183">
          <cell r="C8183" t="str">
            <v>Citi Data Finance Extension 2023 Q1 (US Core Only)</v>
          </cell>
          <cell r="H8183">
            <v>5048771</v>
          </cell>
          <cell r="AK8183" t="str">
            <v>Gregg Henzel</v>
          </cell>
        </row>
        <row r="8184">
          <cell r="C8184" t="str">
            <v>Citi Strategic Ledger Implementation (US CORE Only)</v>
          </cell>
          <cell r="H8184">
            <v>5048774</v>
          </cell>
          <cell r="AK8184" t="str">
            <v>Jordell Clarke-McIntosh</v>
          </cell>
        </row>
        <row r="8185">
          <cell r="C8185" t="str">
            <v>Post Closing Portfolio Mortgage Compliance and QC Reviews</v>
          </cell>
          <cell r="H8185">
            <v>5048758</v>
          </cell>
          <cell r="AK8185" t="str">
            <v>Anna Proleika</v>
          </cell>
        </row>
        <row r="8186">
          <cell r="C8186" t="str">
            <v>MS_ISG Data CoE US Team Growth Pillar Support</v>
          </cell>
          <cell r="H8186">
            <v>5044943</v>
          </cell>
          <cell r="AK8186" t="str">
            <v>Grzegorz Walukanis</v>
          </cell>
        </row>
        <row r="8187">
          <cell r="C8187" t="str">
            <v>Patriot FCU-MQC 23-24</v>
          </cell>
          <cell r="H8187">
            <v>5048910</v>
          </cell>
          <cell r="AK8187" t="str">
            <v>Christian Maier</v>
          </cell>
        </row>
        <row r="8188">
          <cell r="C8188" t="str">
            <v>Wells Fargo Home Lending - Control Procedure Remediation</v>
          </cell>
          <cell r="H8188">
            <v>5048743</v>
          </cell>
          <cell r="AK8188" t="str">
            <v>Alberto Michelazzi</v>
          </cell>
        </row>
        <row r="8189">
          <cell r="C8189" t="str">
            <v>FrMc_IT issue Mgmt QA &amp; Risk Assessment</v>
          </cell>
          <cell r="H8189">
            <v>5048704</v>
          </cell>
          <cell r="AK8189" t="str">
            <v>Aaron Morgia</v>
          </cell>
        </row>
        <row r="8190">
          <cell r="C8190" t="str">
            <v>RJ SBL Implementation Phase 2b: Tech Delivery</v>
          </cell>
          <cell r="H8190">
            <v>5048803</v>
          </cell>
          <cell r="AK8190" t="str">
            <v>Nathan Adamo</v>
          </cell>
        </row>
        <row r="8191">
          <cell r="C8191" t="str">
            <v>FrMc_Issue Mgmt #1586</v>
          </cell>
          <cell r="H8191">
            <v>5048726</v>
          </cell>
          <cell r="AK8191" t="str">
            <v>Jorge Padilla</v>
          </cell>
        </row>
        <row r="8192">
          <cell r="C8192" t="str">
            <v>FXL Implementation Analysis</v>
          </cell>
          <cell r="H8192">
            <v>5048725</v>
          </cell>
          <cell r="AK8192" t="str">
            <v>Anthony Madej</v>
          </cell>
        </row>
        <row r="8193">
          <cell r="C8193" t="str">
            <v>MSC - CRA Data Validation</v>
          </cell>
          <cell r="H8193">
            <v>5048759</v>
          </cell>
          <cell r="AK8193" t="str">
            <v>Juan Pimentel</v>
          </cell>
        </row>
        <row r="8194">
          <cell r="C8194" t="str">
            <v>JEF-Madison - US EQ Change Management</v>
          </cell>
          <cell r="H8194">
            <v>5048790</v>
          </cell>
          <cell r="AK8194" t="str">
            <v>Aoife Hogan</v>
          </cell>
        </row>
        <row r="8195">
          <cell r="C8195" t="str">
            <v>RECURRING Leader Bank - CMSO 2023</v>
          </cell>
          <cell r="H8195">
            <v>5048819</v>
          </cell>
          <cell r="AK8195" t="str">
            <v>Lawana Clark</v>
          </cell>
        </row>
        <row r="8196">
          <cell r="C8196" t="str">
            <v>ION India Team 2023</v>
          </cell>
          <cell r="H8196">
            <v>5048842</v>
          </cell>
          <cell r="AK8196" t="str">
            <v>Manal Ray</v>
          </cell>
        </row>
        <row r="8197">
          <cell r="C8197" t="str">
            <v>Jeff_Transcend Ext_2023_Mar-May</v>
          </cell>
          <cell r="H8197">
            <v>5048865</v>
          </cell>
          <cell r="AK8197" t="str">
            <v>Matthew Rodgers</v>
          </cell>
        </row>
        <row r="8198">
          <cell r="C8198" t="str">
            <v>USAA_CDQA</v>
          </cell>
          <cell r="H8198">
            <v>5048769</v>
          </cell>
          <cell r="AK8198" t="str">
            <v>Michael Austin</v>
          </cell>
        </row>
        <row r="8199">
          <cell r="C8199" t="str">
            <v>Ridgewood Savings Bank - FL-CRA-HMDA</v>
          </cell>
          <cell r="H8199">
            <v>5048586</v>
          </cell>
          <cell r="AK8199" t="str">
            <v>Leigh Tribou</v>
          </cell>
        </row>
        <row r="8200">
          <cell r="C8200" t="str">
            <v>Reoccurring - FNBOE Internal Audits</v>
          </cell>
          <cell r="H8200">
            <v>5048576</v>
          </cell>
          <cell r="AK8200" t="str">
            <v>Mary Louise Radley</v>
          </cell>
        </row>
        <row r="8201">
          <cell r="C8201" t="str">
            <v>WA Trust 2023 HMDA Reviews</v>
          </cell>
          <cell r="H8201">
            <v>5049121</v>
          </cell>
          <cell r="AK8201" t="str">
            <v>Juan Pimentel</v>
          </cell>
        </row>
        <row r="8202">
          <cell r="C8202" t="str">
            <v>FrMc_Data Strategy Insight (5979)</v>
          </cell>
          <cell r="H8202">
            <v>5045390</v>
          </cell>
          <cell r="AK8202" t="str">
            <v>Chad Bonadonna</v>
          </cell>
        </row>
        <row r="8203">
          <cell r="C8203" t="str">
            <v>SEIU IT - Addl PO/BA, QA Ph5</v>
          </cell>
          <cell r="H8203">
            <v>5046704</v>
          </cell>
          <cell r="AK8203" t="str">
            <v>Eric Fairchild</v>
          </cell>
        </row>
        <row r="8204">
          <cell r="C8204" t="str">
            <v>First National Bank of Elmer / Digital Banking RA</v>
          </cell>
          <cell r="H8204">
            <v>5048466</v>
          </cell>
          <cell r="AK8204" t="str">
            <v>Robert Farmer</v>
          </cell>
        </row>
        <row r="8205">
          <cell r="C8205" t="str">
            <v>USAA_TILA Good Faith Review</v>
          </cell>
          <cell r="H8205">
            <v>5048767</v>
          </cell>
          <cell r="AK8205" t="str">
            <v>Michael Austin</v>
          </cell>
        </row>
        <row r="8206">
          <cell r="C8206" t="str">
            <v>Info Sec RA, IT Audit, FedLine Security &amp; Resiliency</v>
          </cell>
          <cell r="H8206">
            <v>5048396</v>
          </cell>
          <cell r="AK8206" t="str">
            <v>Robert Farmer</v>
          </cell>
        </row>
        <row r="8207">
          <cell r="C8207" t="str">
            <v>Compliance Consulting</v>
          </cell>
          <cell r="H8207">
            <v>5049062</v>
          </cell>
          <cell r="AK8207" t="str">
            <v>Anna Proleika</v>
          </cell>
        </row>
        <row r="8208">
          <cell r="C8208" t="str">
            <v>ANBTX_CRA Support</v>
          </cell>
          <cell r="H8208">
            <v>5044056</v>
          </cell>
          <cell r="AK8208" t="str">
            <v>Pamela Acciardo</v>
          </cell>
        </row>
        <row r="8209">
          <cell r="C8209" t="str">
            <v>SVB_HMDA Data Integrity Review</v>
          </cell>
          <cell r="H8209">
            <v>5048740</v>
          </cell>
          <cell r="AK8209" t="str">
            <v>Juan Pimentel</v>
          </cell>
        </row>
        <row r="8210">
          <cell r="C8210" t="str">
            <v>SVB HMDA 2023 Reviews</v>
          </cell>
          <cell r="H8210">
            <v>5048740</v>
          </cell>
          <cell r="AK8210" t="str">
            <v>Juan Pimentel</v>
          </cell>
        </row>
        <row r="8211">
          <cell r="C8211" t="str">
            <v>Recurring FAB_Audit Consulting</v>
          </cell>
          <cell r="H8211">
            <v>5049288</v>
          </cell>
          <cell r="AK8211" t="str">
            <v>William Sachs</v>
          </cell>
        </row>
        <row r="8212">
          <cell r="C8212" t="str">
            <v>Secured Card - API developer extension</v>
          </cell>
          <cell r="H8212">
            <v>5047599</v>
          </cell>
          <cell r="AK8212" t="str">
            <v>Daniela Hawkins</v>
          </cell>
        </row>
        <row r="8213">
          <cell r="C8213" t="str">
            <v>MSWM_AI Ops Core Support_Q4 Ext. [March]</v>
          </cell>
          <cell r="H8213">
            <v>5044827</v>
          </cell>
          <cell r="AK8213" t="str">
            <v>Dan Schutzman</v>
          </cell>
        </row>
        <row r="8214">
          <cell r="C8214" t="str">
            <v>USAA_Rvw of Purchase Agreemnts</v>
          </cell>
          <cell r="H8214">
            <v>5048768</v>
          </cell>
          <cell r="AK8214" t="str">
            <v>Michael Austin</v>
          </cell>
        </row>
        <row r="8215">
          <cell r="C8215" t="str">
            <v>MUFG_118_SharePoint Dev Sup</v>
          </cell>
          <cell r="H8215">
            <v>5048741</v>
          </cell>
          <cell r="AK8215" t="str">
            <v>Samuel Awsumb</v>
          </cell>
        </row>
        <row r="8216">
          <cell r="C8216" t="str">
            <v>ANBTX HMDA CRA 2023</v>
          </cell>
          <cell r="H8216">
            <v>5049257</v>
          </cell>
          <cell r="AK8216" t="str">
            <v>Juan Pimentel</v>
          </cell>
        </row>
        <row r="8217">
          <cell r="C8217" t="str">
            <v>Negative_Recurring FAB_Audit Consulting</v>
          </cell>
          <cell r="H8217">
            <v>5049288</v>
          </cell>
          <cell r="AK8217" t="str">
            <v>William Sachs</v>
          </cell>
        </row>
        <row r="8218">
          <cell r="C8218" t="str">
            <v>Horizon - Channel and Transformation - Phase 4</v>
          </cell>
          <cell r="H8218">
            <v>5045590</v>
          </cell>
          <cell r="AK8218" t="str">
            <v>Dana Schwaeber</v>
          </cell>
        </row>
        <row r="8219">
          <cell r="C8219" t="str">
            <v>FrMc_Resolution Planning Backfill Role (SA)</v>
          </cell>
          <cell r="H8219">
            <v>5045494</v>
          </cell>
          <cell r="AK8219" t="str">
            <v>Michael Mathew</v>
          </cell>
        </row>
        <row r="8220">
          <cell r="C8220" t="str">
            <v>FrMc_CDT Ext of March Roles</v>
          </cell>
          <cell r="H8220">
            <v>5045390</v>
          </cell>
          <cell r="AK8220" t="str">
            <v>Chad Bonadonna</v>
          </cell>
        </row>
        <row r="8221">
          <cell r="C8221" t="str">
            <v>HNB Omni - Backend Developer Core Mod PI Encryption</v>
          </cell>
          <cell r="H8221">
            <v>5048184</v>
          </cell>
          <cell r="AK8221" t="str">
            <v>Luke Penca</v>
          </cell>
        </row>
        <row r="8222">
          <cell r="C8222" t="str">
            <v>Jefferies - SPM Program Extension</v>
          </cell>
          <cell r="H8222">
            <v>5048963</v>
          </cell>
          <cell r="AK8222" t="str">
            <v>Imran Parekh</v>
          </cell>
        </row>
        <row r="8223">
          <cell r="C8223" t="str">
            <v>Jefferies Automation Program Support</v>
          </cell>
          <cell r="H8223">
            <v>5048829</v>
          </cell>
          <cell r="AK8223" t="str">
            <v>Imran Parekh</v>
          </cell>
        </row>
        <row r="8224">
          <cell r="C8224" t="str">
            <v>1st Colonial MQC 23-24 addendum</v>
          </cell>
          <cell r="H8224">
            <v>5047513</v>
          </cell>
          <cell r="AK8224" t="str">
            <v>Christian Maier</v>
          </cell>
        </row>
        <row r="8225">
          <cell r="C8225" t="str">
            <v>5049132 CRCM TCV Reduction</v>
          </cell>
          <cell r="H8225">
            <v>5049132</v>
          </cell>
          <cell r="AK8225" t="str">
            <v>Marisa DeVincentis</v>
          </cell>
        </row>
        <row r="8226">
          <cell r="C8226" t="str">
            <v>GA Operations Stabilization Phase 1</v>
          </cell>
          <cell r="H8226">
            <v>5048784</v>
          </cell>
          <cell r="AK8226" t="str">
            <v>Gordon Lunsford</v>
          </cell>
        </row>
        <row r="8227">
          <cell r="C8227" t="str">
            <v>BKU Managed Services Extension_March - Jun</v>
          </cell>
          <cell r="H8227">
            <v>5048806</v>
          </cell>
          <cell r="AK8227" t="str">
            <v>Kevin Miologos</v>
          </cell>
        </row>
        <row r="8228">
          <cell r="C8228" t="str">
            <v>Computershare - Dividend Investment Operations Location Strategy</v>
          </cell>
          <cell r="H8228">
            <v>5048900</v>
          </cell>
          <cell r="AK8228" t="str">
            <v>Douglas Sieg</v>
          </cell>
        </row>
        <row r="8229">
          <cell r="C8229" t="str">
            <v>Wells Fargo - Q3 Extensio_ Non-Fin Crimes</v>
          </cell>
          <cell r="H8229">
            <v>5049132</v>
          </cell>
          <cell r="AK8229" t="str">
            <v>Marisa DeVincentis</v>
          </cell>
        </row>
        <row r="8230">
          <cell r="C8230" t="str">
            <v>Jefferies Tech Change Enablement Team Lead</v>
          </cell>
          <cell r="H8230">
            <v>5048348</v>
          </cell>
          <cell r="AK8230" t="str">
            <v>Nicholas Perkins</v>
          </cell>
        </row>
        <row r="8231">
          <cell r="C8231" t="str">
            <v>Santander BSI - FFIEC assessment - WDX</v>
          </cell>
          <cell r="H8231">
            <v>5048665</v>
          </cell>
          <cell r="AK8231" t="str">
            <v>Boris Mallet</v>
          </cell>
        </row>
        <row r="8232">
          <cell r="C8232" t="str">
            <v>MS_ISG Ops_AI/ML to explore Trade breaks and identify Automation use cases (Phase 1)</v>
          </cell>
          <cell r="H8232">
            <v>5048863</v>
          </cell>
          <cell r="AK8232" t="str">
            <v>Jak Hart</v>
          </cell>
        </row>
        <row r="8233">
          <cell r="C8233" t="str">
            <v>NT platform conversion</v>
          </cell>
          <cell r="H8233">
            <v>5048826</v>
          </cell>
          <cell r="AK8233" t="str">
            <v>Nick Hufford</v>
          </cell>
        </row>
        <row r="8234">
          <cell r="C8234" t="str">
            <v>MS HR Data Business Analyst</v>
          </cell>
          <cell r="H8234">
            <v>5047431</v>
          </cell>
          <cell r="AK8234" t="str">
            <v>Kshitij Zaveri</v>
          </cell>
        </row>
        <row r="8235">
          <cell r="C8235" t="str">
            <v>US Bank ESG P2</v>
          </cell>
          <cell r="H8235">
            <v>5048836</v>
          </cell>
          <cell r="AK8235" t="str">
            <v>Carolyn Allwin</v>
          </cell>
        </row>
        <row r="8236">
          <cell r="C8236" t="str">
            <v>MS T+1 Resiliency Extension</v>
          </cell>
          <cell r="H8236">
            <v>5047840</v>
          </cell>
          <cell r="AK8236" t="str">
            <v>Ruben Sooriya</v>
          </cell>
        </row>
        <row r="8237">
          <cell r="C8237" t="str">
            <v>Prudential PGIM Technology Delivery (Pod 1 - Orlando) EXTENSION</v>
          </cell>
          <cell r="H8237">
            <v>5044906</v>
          </cell>
          <cell r="AK8237" t="str">
            <v>Lauren Somma</v>
          </cell>
        </row>
        <row r="8238">
          <cell r="C8238" t="str">
            <v>MSWM_Platforms COO Business Strategy_Junior Analyst [C. Koehler]</v>
          </cell>
          <cell r="H8238">
            <v>5044940</v>
          </cell>
          <cell r="AK8238" t="str">
            <v>Dan Schutzman</v>
          </cell>
        </row>
        <row r="8239">
          <cell r="C8239" t="str">
            <v>Treasury India Support Team Mar 2023 - Sep 2023</v>
          </cell>
          <cell r="H8239">
            <v>5046636</v>
          </cell>
          <cell r="AK8239" t="str">
            <v>Manal Ray</v>
          </cell>
        </row>
        <row r="8240">
          <cell r="C8240" t="str">
            <v>HNB_Pre-Conversion Assessment</v>
          </cell>
          <cell r="H8240">
            <v>5048903</v>
          </cell>
          <cell r="AK8240" t="str">
            <v>Daniela Hawkins</v>
          </cell>
        </row>
        <row r="8241">
          <cell r="C8241" t="str">
            <v>MainStreet Bank QAR Readiness Review</v>
          </cell>
          <cell r="H8241">
            <v>5048913</v>
          </cell>
          <cell r="AK8241" t="str">
            <v>David Stalnaker</v>
          </cell>
        </row>
        <row r="8242">
          <cell r="C8242" t="str">
            <v>Jeff_MVO Cyber Resiliency</v>
          </cell>
          <cell r="H8242">
            <v>5049000</v>
          </cell>
          <cell r="AK8242" t="str">
            <v>Michael Barry</v>
          </cell>
        </row>
        <row r="8243">
          <cell r="C8243" t="str">
            <v>MSWM_Investment Platforms_Cross Fleet BA/PM [J. Pedersen]</v>
          </cell>
          <cell r="H8243">
            <v>5044876</v>
          </cell>
          <cell r="AK8243" t="str">
            <v>Dan Schutzman</v>
          </cell>
        </row>
        <row r="8244">
          <cell r="C8244" t="str">
            <v>MS_REM_TPPM_ProcessUnity BA Expansion [J. Williams]</v>
          </cell>
          <cell r="H8244">
            <v>5044798</v>
          </cell>
          <cell r="AK8244" t="str">
            <v>Dan Schutzman</v>
          </cell>
        </row>
        <row r="8245">
          <cell r="C8245" t="str">
            <v>MSWM_Advice Platforms_Business Analyst [E. Scott]</v>
          </cell>
          <cell r="H8245">
            <v>5044826</v>
          </cell>
          <cell r="AK8245" t="str">
            <v>Dan Schutzman</v>
          </cell>
        </row>
        <row r="8246">
          <cell r="C8246" t="str">
            <v>Popular Bank-NY Loan Origination System</v>
          </cell>
          <cell r="H8246">
            <v>5049122</v>
          </cell>
          <cell r="AK8246" t="str">
            <v>Robin McConaughey</v>
          </cell>
        </row>
        <row r="8247">
          <cell r="C8247" t="str">
            <v>Mill Cities Communities Investments - Compliance Consulting</v>
          </cell>
          <cell r="H8247">
            <v>5048886</v>
          </cell>
          <cell r="AK8247" t="str">
            <v>Louvera Walden</v>
          </cell>
        </row>
        <row r="8248">
          <cell r="C8248" t="str">
            <v>ESB Patriot Officer Rationalization and Testing</v>
          </cell>
          <cell r="H8248">
            <v>5048761</v>
          </cell>
          <cell r="AK8248" t="str">
            <v>William Sachs</v>
          </cell>
        </row>
        <row r="8249">
          <cell r="C8249" t="str">
            <v>MS_ISG Data Lineage PM</v>
          </cell>
          <cell r="H8249">
            <v>5044943</v>
          </cell>
          <cell r="AK8249" t="str">
            <v>Grzegorz Walukanis</v>
          </cell>
        </row>
        <row r="8250">
          <cell r="C8250" t="str">
            <v>Digital Frontend Framework - Part II</v>
          </cell>
          <cell r="H8250">
            <v>5047490</v>
          </cell>
          <cell r="AK8250" t="str">
            <v>Lauren Somma</v>
          </cell>
        </row>
        <row r="8251">
          <cell r="C8251" t="str">
            <v>RegIM Day 2 Support extension</v>
          </cell>
          <cell r="H8251">
            <v>5048964</v>
          </cell>
          <cell r="AK8251" t="str">
            <v>Julia Simmons</v>
          </cell>
        </row>
        <row r="8252">
          <cell r="C8252" t="str">
            <v>Marsh - PPM Global Learning &amp; Development Strategy</v>
          </cell>
          <cell r="H8252">
            <v>5049191</v>
          </cell>
          <cell r="AK8252" t="str">
            <v>Casey Schaffer</v>
          </cell>
        </row>
        <row r="8253">
          <cell r="C8253" t="str">
            <v>Q3 Extension of Current FCRM + 6 Resources</v>
          </cell>
          <cell r="H8253">
            <v>5049133</v>
          </cell>
          <cell r="AK8253" t="str">
            <v>Trisha Stone</v>
          </cell>
        </row>
        <row r="8254">
          <cell r="C8254" t="str">
            <v>MS_ISG_ TTRO_Senior BA - Kaj U</v>
          </cell>
          <cell r="H8254">
            <v>5044824</v>
          </cell>
          <cell r="AK8254" t="str">
            <v>Salim Modi</v>
          </cell>
        </row>
        <row r="8255">
          <cell r="C8255" t="str">
            <v>MS_ISG_FID Loans CTB - 1st resource</v>
          </cell>
          <cell r="H8255">
            <v>5044840</v>
          </cell>
          <cell r="AK8255" t="str">
            <v>Ruben Sooriya</v>
          </cell>
        </row>
        <row r="8256">
          <cell r="C8256" t="str">
            <v>5049133 FCRM FF TCV reduction</v>
          </cell>
          <cell r="H8256">
            <v>5049133</v>
          </cell>
          <cell r="AK8256" t="str">
            <v>Trisha Stone</v>
          </cell>
        </row>
        <row r="8257">
          <cell r="C8257" t="str">
            <v>MS_Data_BigID Extension</v>
          </cell>
          <cell r="H8257">
            <v>5044867</v>
          </cell>
          <cell r="AK8257" t="str">
            <v>Paul Laurent</v>
          </cell>
        </row>
        <row r="8258">
          <cell r="C8258" t="str">
            <v>Mastercard Virtual Card Platform Strategy</v>
          </cell>
          <cell r="H8258">
            <v>5048791</v>
          </cell>
          <cell r="AK8258" t="str">
            <v>John McHugh</v>
          </cell>
        </row>
        <row r="8259">
          <cell r="C8259" t="str">
            <v>MSWM_Platforms Engagement &amp; Adoption [E&amp;A]_Short Term [H1]</v>
          </cell>
          <cell r="H8259">
            <v>5048930</v>
          </cell>
          <cell r="AK8259" t="str">
            <v>Dan Schutzman</v>
          </cell>
        </row>
        <row r="8260">
          <cell r="C8260" t="str">
            <v>Cetera Mobile App - UX Lead</v>
          </cell>
          <cell r="H8260">
            <v>5048971</v>
          </cell>
          <cell r="AK8260" t="str">
            <v>Scott Jurgensen</v>
          </cell>
        </row>
        <row r="8261">
          <cell r="C8261" t="str">
            <v>Jeff_Equities FO Tech PM Support</v>
          </cell>
          <cell r="H8261">
            <v>5049364</v>
          </cell>
          <cell r="AK8261" t="str">
            <v>Sri Nonabur Srinivasamurthy</v>
          </cell>
        </row>
        <row r="8262">
          <cell r="C8262" t="str">
            <v>CFSB BSA/AML Independent Audit</v>
          </cell>
          <cell r="H8262">
            <v>5049123</v>
          </cell>
          <cell r="AK8262" t="str">
            <v>Mary Louise Radley</v>
          </cell>
        </row>
        <row r="8263">
          <cell r="C8263" t="str">
            <v>Comerica Reg Change Management</v>
          </cell>
          <cell r="H8263">
            <v>5049026</v>
          </cell>
          <cell r="AK8263" t="str">
            <v>Leah Robinson</v>
          </cell>
        </row>
        <row r="8264">
          <cell r="C8264" t="str">
            <v>AML Support Extension - Helen Person</v>
          </cell>
          <cell r="H8264">
            <v>5048431</v>
          </cell>
          <cell r="AK8264" t="str">
            <v>Helen Person</v>
          </cell>
        </row>
        <row r="8265">
          <cell r="C8265" t="str">
            <v>Mobile Design &amp; Implementation</v>
          </cell>
          <cell r="H8265">
            <v>5048972</v>
          </cell>
          <cell r="AK8265" t="str">
            <v>Scott Jurgensen</v>
          </cell>
        </row>
        <row r="8266">
          <cell r="C8266" t="str">
            <v>Commerce Bank: Commercial Modules Build: User Admin &amp; Onboarding</v>
          </cell>
          <cell r="H8266">
            <v>5049002</v>
          </cell>
          <cell r="AK8266" t="str">
            <v>Kari Raimondi</v>
          </cell>
        </row>
        <row r="8267">
          <cell r="C8267" t="str">
            <v>MS Procurement_AP Implementation_PM/BA Support</v>
          </cell>
          <cell r="H8267">
            <v>5049192</v>
          </cell>
          <cell r="AK8267" t="str">
            <v>Dan Schutzman</v>
          </cell>
        </row>
        <row r="8268">
          <cell r="C8268" t="str">
            <v>MS_TPPM_[ProcessUnity] Config/Implementation Support_On/Offshore</v>
          </cell>
          <cell r="H8268">
            <v>5049103</v>
          </cell>
          <cell r="AK8268" t="str">
            <v>Dan Schutzman</v>
          </cell>
        </row>
        <row r="8269">
          <cell r="C8269" t="str">
            <v>Cyber Capabilities Assessment</v>
          </cell>
          <cell r="H8269">
            <v>5048998</v>
          </cell>
          <cell r="AK8269" t="str">
            <v>Boris Mallet</v>
          </cell>
        </row>
        <row r="8270">
          <cell r="C8270" t="str">
            <v>MCB_Enterprise Scheduler Discovery &amp; Tool Selection</v>
          </cell>
          <cell r="H8270">
            <v>5049116</v>
          </cell>
          <cell r="AK8270" t="str">
            <v>Richard Rhodes</v>
          </cell>
        </row>
        <row r="8271">
          <cell r="C8271" t="str">
            <v>HNB OMNI Change Order #8 - Luiz Padredi</v>
          </cell>
          <cell r="H8271">
            <v>5048184</v>
          </cell>
          <cell r="AK8271" t="str">
            <v>Luke Penca</v>
          </cell>
        </row>
        <row r="8272">
          <cell r="C8272" t="str">
            <v>Centennial HMDA 2023 Reviews</v>
          </cell>
          <cell r="H8272">
            <v>5049511</v>
          </cell>
          <cell r="AK8272" t="str">
            <v>Juan Pimentel</v>
          </cell>
        </row>
        <row r="8273">
          <cell r="C8273" t="str">
            <v>Amerant Bank HMDA Reviews</v>
          </cell>
          <cell r="H8273">
            <v>5049547</v>
          </cell>
          <cell r="AK8273" t="str">
            <v>Juan Pimentel</v>
          </cell>
        </row>
        <row r="8274">
          <cell r="C8274" t="str">
            <v>GS AMD 2023 Ext 1</v>
          </cell>
          <cell r="H8274">
            <v>5045190</v>
          </cell>
          <cell r="AK8274" t="str">
            <v>Parul Chowdhry</v>
          </cell>
        </row>
        <row r="8275">
          <cell r="C8275" t="str">
            <v>MS_Wealth Operations FY24</v>
          </cell>
          <cell r="H8275">
            <v>5049095</v>
          </cell>
          <cell r="AK8275" t="str">
            <v>Ruben Sooriya</v>
          </cell>
        </row>
        <row r="8276">
          <cell r="C8276" t="str">
            <v>Hanover Bank HMDA 2023</v>
          </cell>
          <cell r="H8276">
            <v>5049479</v>
          </cell>
          <cell r="AK8276" t="str">
            <v>Juan Pimentel</v>
          </cell>
        </row>
        <row r="8277">
          <cell r="C8277" t="str">
            <v>FNB South</v>
          </cell>
          <cell r="H8277">
            <v>5049641</v>
          </cell>
          <cell r="AK8277" t="str">
            <v>Juan Pimentel</v>
          </cell>
        </row>
        <row r="8278">
          <cell r="C8278" t="str">
            <v>SVB API Platform Extension</v>
          </cell>
          <cell r="H8278">
            <v>5049362</v>
          </cell>
          <cell r="AK8278" t="str">
            <v>Souma Basu</v>
          </cell>
        </row>
        <row r="8279">
          <cell r="C8279" t="str">
            <v>Arundel Federal Savings Bank</v>
          </cell>
          <cell r="H8279">
            <v>5050017</v>
          </cell>
          <cell r="AK8279" t="str">
            <v>Christian Maier</v>
          </cell>
        </row>
        <row r="8280">
          <cell r="C8280" t="str">
            <v>BB Americas HMDA 2023 Reviews</v>
          </cell>
          <cell r="H8280">
            <v>5049332</v>
          </cell>
          <cell r="AK8280" t="str">
            <v>Juan Pimentel</v>
          </cell>
        </row>
        <row r="8281">
          <cell r="C8281" t="str">
            <v>MS_WM QA_WMT Advisory Technology FY24</v>
          </cell>
          <cell r="H8281">
            <v>5049099</v>
          </cell>
          <cell r="AK8281" t="str">
            <v>Balaji Ramamurthy</v>
          </cell>
        </row>
        <row r="8282">
          <cell r="C8282" t="str">
            <v>Amerant Purchased Loan Reviews</v>
          </cell>
          <cell r="H8282">
            <v>5049546</v>
          </cell>
          <cell r="AK8282" t="str">
            <v>Juan Pimentel</v>
          </cell>
        </row>
        <row r="8283">
          <cell r="C8283" t="str">
            <v>MS_WM QA_Etrade FY24</v>
          </cell>
          <cell r="H8283">
            <v>5049059</v>
          </cell>
          <cell r="AK8283" t="str">
            <v>Balaji Ramamurthy</v>
          </cell>
        </row>
        <row r="8284">
          <cell r="C8284" t="str">
            <v>MS_WM QA_WMT Advisory India FY24</v>
          </cell>
          <cell r="H8284">
            <v>5049170</v>
          </cell>
          <cell r="AK8284" t="str">
            <v>Balaji Ramamurthy</v>
          </cell>
        </row>
        <row r="8285">
          <cell r="C8285" t="str">
            <v>MS_WM QA_AIDT FY24</v>
          </cell>
          <cell r="H8285">
            <v>5049102</v>
          </cell>
          <cell r="AK8285" t="str">
            <v>Balaji Ramamurthy</v>
          </cell>
        </row>
        <row r="8286">
          <cell r="C8286" t="str">
            <v>DB PMO</v>
          </cell>
          <cell r="H8286">
            <v>5051111</v>
          </cell>
          <cell r="AK8286" t="str">
            <v>Ruby Cherian</v>
          </cell>
        </row>
        <row r="8287">
          <cell r="C8287" t="str">
            <v>Prudential PMO</v>
          </cell>
          <cell r="H8287">
            <v>5051112</v>
          </cell>
          <cell r="AK8287" t="str">
            <v>Paul Tiede</v>
          </cell>
        </row>
        <row r="8288">
          <cell r="C8288" t="str">
            <v>MSWM_Wealth Management Business [FY24]</v>
          </cell>
          <cell r="H8288">
            <v>5049212</v>
          </cell>
          <cell r="AK8288" t="str">
            <v>Dan Schutzman</v>
          </cell>
        </row>
        <row r="8289">
          <cell r="C8289" t="str">
            <v>MS_REM_TPPM &amp; Procurement [FY24]</v>
          </cell>
          <cell r="H8289">
            <v>5049206</v>
          </cell>
          <cell r="AK8289" t="str">
            <v>Dan Schutzman</v>
          </cell>
        </row>
        <row r="8290">
          <cell r="C8290" t="str">
            <v>RECURRINGPeoples Security B&amp;T-CMS Optimizer 2023</v>
          </cell>
          <cell r="H8290">
            <v>5048994</v>
          </cell>
          <cell r="AK8290" t="str">
            <v>Gail Rassler</v>
          </cell>
        </row>
        <row r="8291">
          <cell r="C8291" t="str">
            <v>WTB CMS Support</v>
          </cell>
          <cell r="H8291">
            <v>5041573</v>
          </cell>
          <cell r="AK8291" t="str">
            <v>Mary Louise Radley</v>
          </cell>
        </row>
        <row r="8292">
          <cell r="C8292" t="str">
            <v>Trust Admin Review - Valley National Bank</v>
          </cell>
          <cell r="H8292">
            <v>5048697</v>
          </cell>
          <cell r="AK8292" t="str">
            <v>David Stalnaker</v>
          </cell>
        </row>
        <row r="8293">
          <cell r="C8293" t="str">
            <v>Reoccurring - CC5 Audits</v>
          </cell>
          <cell r="H8293">
            <v>5048625</v>
          </cell>
          <cell r="AK8293" t="str">
            <v>Mary Louise Radley</v>
          </cell>
        </row>
        <row r="8294">
          <cell r="C8294" t="str">
            <v>GLBA Risk Assessment</v>
          </cell>
          <cell r="H8294">
            <v>5048850</v>
          </cell>
          <cell r="AK8294" t="str">
            <v>Robert Farmer</v>
          </cell>
        </row>
        <row r="8295">
          <cell r="C8295" t="str">
            <v>Capital Bank CRA Reviews 2023</v>
          </cell>
          <cell r="H8295">
            <v>5048878</v>
          </cell>
          <cell r="AK8295" t="str">
            <v>Juan Pimentel</v>
          </cell>
        </row>
        <row r="8296">
          <cell r="C8296" t="str">
            <v>Finxact Battle Implementation Sprints Extension 3</v>
          </cell>
          <cell r="H8296">
            <v>5047749</v>
          </cell>
          <cell r="AK8296" t="str">
            <v>James Kane</v>
          </cell>
        </row>
        <row r="8297">
          <cell r="C8297" t="str">
            <v>Recurring GRC Compliance Content</v>
          </cell>
          <cell r="H8297">
            <v>5047308</v>
          </cell>
          <cell r="AK8297" t="str">
            <v>Gregg Henzel</v>
          </cell>
        </row>
        <row r="8298">
          <cell r="C8298" t="str">
            <v>SVB_Data Policy Risk and Control Q2 CY23'</v>
          </cell>
          <cell r="H8298">
            <v>5049453</v>
          </cell>
          <cell r="AK8298" t="str">
            <v>Ridha Mesli</v>
          </cell>
        </row>
        <row r="8299">
          <cell r="C8299" t="str">
            <v>MS_WM QA_OBM FY24</v>
          </cell>
          <cell r="H8299">
            <v>5049058</v>
          </cell>
          <cell r="AK8299" t="str">
            <v>Balaji Ramamurthy</v>
          </cell>
        </row>
        <row r="8300">
          <cell r="C8300" t="str">
            <v>MS_WM QA_SSS FY24</v>
          </cell>
          <cell r="H8300">
            <v>5049101</v>
          </cell>
          <cell r="AK8300" t="str">
            <v>Balaji Ramamurthy</v>
          </cell>
        </row>
        <row r="8301">
          <cell r="C8301" t="str">
            <v>BB Americas Purchased Loan Review</v>
          </cell>
          <cell r="H8301">
            <v>5049456</v>
          </cell>
          <cell r="AK8301" t="str">
            <v>Juan Pimentel</v>
          </cell>
        </row>
        <row r="8302">
          <cell r="C8302" t="str">
            <v>MS_WM QA_Wealth Advisory FY24</v>
          </cell>
          <cell r="H8302">
            <v>5049097</v>
          </cell>
          <cell r="AK8302" t="str">
            <v>Balaji Ramamurthy</v>
          </cell>
        </row>
        <row r="8303">
          <cell r="C8303" t="str">
            <v>WF PMO</v>
          </cell>
          <cell r="H8303">
            <v>5051110</v>
          </cell>
          <cell r="AK8303" t="str">
            <v>Benjamin Harding</v>
          </cell>
        </row>
        <row r="8304">
          <cell r="C8304" t="str">
            <v>MS PMO</v>
          </cell>
          <cell r="H8304">
            <v>5051109</v>
          </cell>
          <cell r="AK8304" t="str">
            <v>Mitali Drews</v>
          </cell>
        </row>
        <row r="8305">
          <cell r="C8305" t="str">
            <v>MS_WM Private Bank_FY24</v>
          </cell>
          <cell r="H8305">
            <v>5049100</v>
          </cell>
          <cell r="AK8305" t="str">
            <v>Nathalia Sousa</v>
          </cell>
        </row>
        <row r="8306">
          <cell r="C8306" t="str">
            <v>MS_WM QA_FPL FY24</v>
          </cell>
          <cell r="H8306">
            <v>5049064</v>
          </cell>
          <cell r="AK8306" t="str">
            <v>Balaji Ramamurthy</v>
          </cell>
        </row>
        <row r="8307">
          <cell r="C8307" t="str">
            <v>Computershare - Change &amp; Transformation Lead</v>
          </cell>
          <cell r="H8307">
            <v>5049469</v>
          </cell>
          <cell r="AK8307" t="str">
            <v>Douglas Sieg</v>
          </cell>
        </row>
        <row r="8308">
          <cell r="C8308" t="str">
            <v>MS_ISG Operations_Bangalore FY24</v>
          </cell>
          <cell r="H8308">
            <v>5049088</v>
          </cell>
          <cell r="AK8308" t="str">
            <v>Ruben Sooriya</v>
          </cell>
        </row>
        <row r="8309">
          <cell r="C8309" t="str">
            <v>MS_HR Data Strategy FY24</v>
          </cell>
          <cell r="H8309">
            <v>5047431</v>
          </cell>
          <cell r="AK8309" t="str">
            <v>Kshitij Zaveri</v>
          </cell>
        </row>
        <row r="8310">
          <cell r="C8310" t="str">
            <v>MS_Data CoE FY24</v>
          </cell>
          <cell r="H8310">
            <v>5049063</v>
          </cell>
          <cell r="AK8310" t="str">
            <v>Grzegorz Walukanis</v>
          </cell>
        </row>
        <row r="8311">
          <cell r="C8311" t="str">
            <v>Crown Bank FCRM</v>
          </cell>
          <cell r="H8311">
            <v>5048801</v>
          </cell>
          <cell r="AK8311" t="str">
            <v>William Sachs</v>
          </cell>
        </row>
        <row r="8312">
          <cell r="C8312" t="str">
            <v>MS_Wealth Operations PBO FY24</v>
          </cell>
          <cell r="H8312">
            <v>5049061</v>
          </cell>
          <cell r="AK8312" t="str">
            <v>Vishal Vyas</v>
          </cell>
        </row>
        <row r="8313">
          <cell r="C8313" t="str">
            <v>Harbor Bank Alert Clearing</v>
          </cell>
          <cell r="H8313">
            <v>5048653</v>
          </cell>
          <cell r="AK8313" t="str">
            <v>Patrice Nye</v>
          </cell>
        </row>
        <row r="8314">
          <cell r="C8314" t="str">
            <v>MS_ISG Operations FY24</v>
          </cell>
          <cell r="H8314">
            <v>5049094</v>
          </cell>
          <cell r="AK8314" t="str">
            <v>Ruben Sooriya</v>
          </cell>
        </row>
        <row r="8315">
          <cell r="C8315" t="str">
            <v>FrMc_CDT 2023 Phase 1</v>
          </cell>
          <cell r="H8315">
            <v>5049333</v>
          </cell>
          <cell r="AK8315" t="str">
            <v>Jeffrey Diaz Vega</v>
          </cell>
        </row>
        <row r="8316">
          <cell r="C8316" t="str">
            <v>ERM Advisory - Members 1st FCU</v>
          </cell>
          <cell r="H8316">
            <v>5049261</v>
          </cell>
          <cell r="AK8316" t="str">
            <v>Tania Makuh</v>
          </cell>
        </row>
        <row r="8317">
          <cell r="C8317" t="str">
            <v>Bank OZK - GRC Implementation and Support Services</v>
          </cell>
          <cell r="H8317">
            <v>5049342</v>
          </cell>
          <cell r="AK8317" t="str">
            <v>Gregg Henzel</v>
          </cell>
        </row>
        <row r="8318">
          <cell r="C8318" t="str">
            <v>MS_ISG_Mumbai FY24</v>
          </cell>
          <cell r="H8318">
            <v>5049096</v>
          </cell>
          <cell r="AK8318" t="str">
            <v>Ruben Sooriya</v>
          </cell>
        </row>
        <row r="8319">
          <cell r="C8319" t="str">
            <v>SB Danbury 2023 HMDA Reviews</v>
          </cell>
          <cell r="H8319">
            <v>5049939</v>
          </cell>
          <cell r="AK8319" t="str">
            <v>Juan Pimentel</v>
          </cell>
        </row>
        <row r="8320">
          <cell r="C8320" t="str">
            <v>Pru WAV Remediation Web App</v>
          </cell>
          <cell r="H8320">
            <v>5048904</v>
          </cell>
          <cell r="AK8320" t="str">
            <v>Bharath Chikkamaranahalli Bhaskar</v>
          </cell>
        </row>
        <row r="8321">
          <cell r="C8321" t="str">
            <v>Capital Bank HMDA Reviews 2023</v>
          </cell>
          <cell r="H8321">
            <v>5048877</v>
          </cell>
          <cell r="AK8321" t="str">
            <v>Juan Pimentel</v>
          </cell>
        </row>
        <row r="8322">
          <cell r="C8322" t="str">
            <v>Jeff_Ops Business Manager</v>
          </cell>
          <cell r="H8322">
            <v>5049383</v>
          </cell>
          <cell r="AK8322" t="str">
            <v>Matthew Rodgers</v>
          </cell>
        </row>
        <row r="8323">
          <cell r="C8323" t="str">
            <v>MMSD Resource Manager Support</v>
          </cell>
          <cell r="H8323">
            <v>5046804</v>
          </cell>
          <cell r="AK8323" t="str">
            <v>Gordon Lunsford</v>
          </cell>
        </row>
        <row r="8324">
          <cell r="C8324" t="str">
            <v>Dime Community Bank CMS Addendum</v>
          </cell>
          <cell r="H8324">
            <v>5048465</v>
          </cell>
          <cell r="AK8324" t="str">
            <v>Lawana Clark</v>
          </cell>
        </row>
        <row r="8325">
          <cell r="C8325" t="str">
            <v>MSWM_Digital Marketing_Brand &amp; Editorial Support [MS@Work Redesign]</v>
          </cell>
          <cell r="H8325">
            <v>5049190</v>
          </cell>
          <cell r="AK8325" t="str">
            <v>Dan Schutzman</v>
          </cell>
        </row>
        <row r="8326">
          <cell r="C8326" t="str">
            <v>PGIM Tech Uplift Q2 Extension</v>
          </cell>
          <cell r="H8326">
            <v>5047182</v>
          </cell>
          <cell r="AK8326" t="str">
            <v>Lauren Somma</v>
          </cell>
        </row>
        <row r="8327">
          <cell r="C8327" t="str">
            <v>Citi_GFT FRMT 2023</v>
          </cell>
          <cell r="H8327">
            <v>5049030</v>
          </cell>
          <cell r="AK8327" t="str">
            <v>Ervinas Janavicius</v>
          </cell>
        </row>
        <row r="8328">
          <cell r="C8328" t="str">
            <v>Jeff_Swap Dealer Compliance PM</v>
          </cell>
          <cell r="H8328">
            <v>5049243</v>
          </cell>
          <cell r="AK8328" t="str">
            <v>Parul Chowdhry</v>
          </cell>
        </row>
        <row r="8329">
          <cell r="C8329" t="str">
            <v>E*TRADE Integration_MIO Support</v>
          </cell>
          <cell r="H8329">
            <v>5049212</v>
          </cell>
          <cell r="AK8329" t="str">
            <v>Dan Schutzman</v>
          </cell>
        </row>
        <row r="8330">
          <cell r="C8330" t="str">
            <v>SVB_Payment Software Engineer</v>
          </cell>
          <cell r="H8330">
            <v>5049361</v>
          </cell>
          <cell r="AK8330" t="str">
            <v>Ameya Deolalkar</v>
          </cell>
        </row>
        <row r="8331">
          <cell r="C8331" t="str">
            <v>MS WM Business Ext. - Marisa Mantovani</v>
          </cell>
          <cell r="H8331">
            <v>5049212</v>
          </cell>
          <cell r="AK8331" t="str">
            <v>Dan Schutzman</v>
          </cell>
        </row>
        <row r="8332">
          <cell r="C8332" t="str">
            <v>HNB_Welcome to All Program Support</v>
          </cell>
          <cell r="H8332">
            <v>5048184</v>
          </cell>
          <cell r="AK8332" t="str">
            <v>Luke Penca</v>
          </cell>
        </row>
        <row r="8333">
          <cell r="C8333" t="str">
            <v>Battle Bank Extension Phase 4</v>
          </cell>
          <cell r="H8333">
            <v>5047466</v>
          </cell>
          <cell r="AK8333" t="str">
            <v>James Kane</v>
          </cell>
        </row>
        <row r="8334">
          <cell r="C8334" t="str">
            <v>SMBC FIST Project Manager</v>
          </cell>
          <cell r="H8334">
            <v>5049025</v>
          </cell>
          <cell r="AK8334" t="str">
            <v>Christina Artieda</v>
          </cell>
        </row>
        <row r="8335">
          <cell r="C8335" t="str">
            <v>FrMc_ICM LIBOR SOW 3733-02</v>
          </cell>
          <cell r="H8335">
            <v>5047415</v>
          </cell>
          <cell r="AK8335" t="str">
            <v>Michael Mathew</v>
          </cell>
        </row>
        <row r="8336">
          <cell r="C8336" t="str">
            <v>Key Process AMD 8</v>
          </cell>
          <cell r="H8336">
            <v>5042840</v>
          </cell>
          <cell r="AK8336" t="str">
            <v>Samuel Awsumb</v>
          </cell>
        </row>
        <row r="8337">
          <cell r="C8337" t="str">
            <v>JMB UDAAP Risk Assessment</v>
          </cell>
          <cell r="H8337">
            <v>5048492</v>
          </cell>
          <cell r="AK8337" t="str">
            <v>Kristina Slattery</v>
          </cell>
        </row>
        <row r="8338">
          <cell r="C8338" t="str">
            <v>MSWM_Digital Marketing_Brand &amp; Editorial Support [Kyle Hotham]</v>
          </cell>
          <cell r="H8338">
            <v>5049190</v>
          </cell>
          <cell r="AK8338" t="str">
            <v>Dan Schutzman</v>
          </cell>
        </row>
        <row r="8339">
          <cell r="C8339" t="str">
            <v>DB-PB-WLT-IT-Novo Q223 Extension</v>
          </cell>
          <cell r="H8339">
            <v>5048864</v>
          </cell>
          <cell r="AK8339" t="str">
            <v>Ruby Cherian</v>
          </cell>
        </row>
        <row r="8340">
          <cell r="C8340" t="str">
            <v>FrMc_Resolution Planning Role Ext (SA)</v>
          </cell>
          <cell r="H8340">
            <v>5045494</v>
          </cell>
          <cell r="AK8340" t="str">
            <v>Michael Mathew</v>
          </cell>
        </row>
        <row r="8341">
          <cell r="C8341" t="str">
            <v>CACIB - Payment Tech</v>
          </cell>
          <cell r="H8341">
            <v>5049146</v>
          </cell>
          <cell r="AK8341" t="str">
            <v>Garry Harvey</v>
          </cell>
        </row>
        <row r="8342">
          <cell r="C8342" t="str">
            <v>Customers Bank PPP Loan Fraud (Community Banking Rev)</v>
          </cell>
          <cell r="H8342">
            <v>5049273</v>
          </cell>
          <cell r="AK8342" t="str">
            <v>Charles Lynn Piper</v>
          </cell>
        </row>
        <row r="8343">
          <cell r="C8343" t="str">
            <v>CRA File Review</v>
          </cell>
          <cell r="H8343">
            <v>5049241</v>
          </cell>
          <cell r="AK8343" t="str">
            <v>Jeanette Wampler</v>
          </cell>
        </row>
        <row r="8344">
          <cell r="C8344" t="str">
            <v>MSWM Ops - Ricardo Flores</v>
          </cell>
          <cell r="H8344">
            <v>5049095</v>
          </cell>
          <cell r="AK8344" t="str">
            <v>Ruben Sooriya</v>
          </cell>
        </row>
        <row r="8345">
          <cell r="C8345" t="str">
            <v>UI/UX Design Style Guide</v>
          </cell>
          <cell r="H8345">
            <v>5049215</v>
          </cell>
          <cell r="AK8345" t="str">
            <v>Meghan Byrnes-Borderan</v>
          </cell>
        </row>
        <row r="8346">
          <cell r="C8346" t="str">
            <v>American Bank NA - MSC CRA Data Validation</v>
          </cell>
          <cell r="H8346">
            <v>5048759</v>
          </cell>
          <cell r="AK8346" t="str">
            <v>Juan Pimentel</v>
          </cell>
        </row>
        <row r="8347">
          <cell r="C8347" t="str">
            <v>MCB - Power Automate Implementation</v>
          </cell>
          <cell r="H8347">
            <v>5049242</v>
          </cell>
          <cell r="AK8347" t="str">
            <v>Jason Noran</v>
          </cell>
        </row>
        <row r="8348">
          <cell r="C8348" t="str">
            <v>Abacus BSA/AML Alert Support</v>
          </cell>
          <cell r="H8348">
            <v>5049254</v>
          </cell>
          <cell r="AK8348" t="str">
            <v>Anthony Abruzzo</v>
          </cell>
        </row>
        <row r="8349">
          <cell r="C8349" t="str">
            <v>Virginia Partners Bank</v>
          </cell>
          <cell r="H8349">
            <v>5049256</v>
          </cell>
          <cell r="AK8349" t="str">
            <v>Robin McConaughey</v>
          </cell>
        </row>
        <row r="8350">
          <cell r="C8350" t="str">
            <v>Recurring ShokoChukinBnk_BSA Independnt</v>
          </cell>
          <cell r="H8350">
            <v>5049204</v>
          </cell>
          <cell r="AK8350" t="str">
            <v>William Sachs</v>
          </cell>
        </row>
        <row r="8351">
          <cell r="C8351" t="str">
            <v>Nomura CFTC Rewrite Help</v>
          </cell>
          <cell r="H8351">
            <v>5047559</v>
          </cell>
          <cell r="AK8351" t="str">
            <v>Salim Modi</v>
          </cell>
        </row>
        <row r="8352">
          <cell r="C8352" t="str">
            <v>GRC Support Services</v>
          </cell>
          <cell r="H8352">
            <v>5049309</v>
          </cell>
          <cell r="AK8352" t="str">
            <v>Tania Makuh</v>
          </cell>
        </row>
        <row r="8353">
          <cell r="C8353" t="str">
            <v>Jeff_ION CTB Developer</v>
          </cell>
          <cell r="H8353">
            <v>5049363</v>
          </cell>
          <cell r="AK8353" t="str">
            <v>Manal Ray</v>
          </cell>
        </row>
        <row r="8354">
          <cell r="C8354" t="str">
            <v>MS_Sourcing_Vendor Onboarding Redesign [J. Hanley]</v>
          </cell>
          <cell r="H8354">
            <v>5049206</v>
          </cell>
          <cell r="AK8354" t="str">
            <v>Dan Schutzman</v>
          </cell>
        </row>
        <row r="8355">
          <cell r="C8355" t="str">
            <v>HNB Dig Lobby Credit Mod</v>
          </cell>
          <cell r="H8355">
            <v>5049480</v>
          </cell>
          <cell r="AK8355" t="str">
            <v>Imran Aquil</v>
          </cell>
        </row>
        <row r="8356">
          <cell r="C8356" t="str">
            <v>CB_Marketing COE/Op. Model Implementation</v>
          </cell>
          <cell r="H8356">
            <v>5049267</v>
          </cell>
          <cell r="AK8356" t="str">
            <v>Nick Kerzman</v>
          </cell>
        </row>
        <row r="8357">
          <cell r="C8357" t="str">
            <v>Zinnia Assessment - Triage - Annuities</v>
          </cell>
          <cell r="H8357">
            <v>5049221</v>
          </cell>
          <cell r="AK8357" t="str">
            <v>Randy Love</v>
          </cell>
        </row>
        <row r="8358">
          <cell r="C8358" t="str">
            <v>Premier Bank - Fair Lending and CRA Staff Augmentation</v>
          </cell>
          <cell r="H8358">
            <v>5049334</v>
          </cell>
          <cell r="AK8358" t="str">
            <v>Leigh Tribou</v>
          </cell>
        </row>
        <row r="8359">
          <cell r="C8359" t="str">
            <v>NTAM - Multi-Asset Research Management Vision and Roadmap</v>
          </cell>
          <cell r="H8359">
            <v>5049276</v>
          </cell>
          <cell r="AK8359" t="str">
            <v>John Hamrick</v>
          </cell>
        </row>
        <row r="8360">
          <cell r="C8360" t="str">
            <v>MSWM_Financial Planning Platforms_Business Analyst Support</v>
          </cell>
          <cell r="H8360">
            <v>5049212</v>
          </cell>
          <cell r="AK8360" t="str">
            <v>Dan Schutzman</v>
          </cell>
        </row>
        <row r="8361">
          <cell r="C8361" t="str">
            <v>Jefferies - Junior PMO - Tech Change Enablement Team Extension</v>
          </cell>
          <cell r="H8361">
            <v>5047478</v>
          </cell>
          <cell r="AK8361" t="str">
            <v>Imran Parekh</v>
          </cell>
        </row>
        <row r="8362">
          <cell r="C8362" t="str">
            <v>Extension Vuln Mgt</v>
          </cell>
          <cell r="H8362">
            <v>5049370</v>
          </cell>
          <cell r="AK8362" t="str">
            <v>Boris Mallet</v>
          </cell>
        </row>
        <row r="8363">
          <cell r="C8363" t="str">
            <v>The American National Bank of Texas</v>
          </cell>
          <cell r="H8363">
            <v>5044056</v>
          </cell>
          <cell r="AK8363" t="str">
            <v>Pamela Acciardo</v>
          </cell>
        </row>
        <row r="8364">
          <cell r="C8364" t="str">
            <v>Target Card Conversion</v>
          </cell>
          <cell r="H8364">
            <v>5049312</v>
          </cell>
          <cell r="AK8364" t="str">
            <v>Ryan Keller</v>
          </cell>
        </row>
        <row r="8365">
          <cell r="C8365" t="str">
            <v>MS_ISG_CORS</v>
          </cell>
          <cell r="H8365">
            <v>5049094</v>
          </cell>
          <cell r="AK8365" t="str">
            <v>Ruben Sooriya</v>
          </cell>
        </row>
        <row r="8366">
          <cell r="C8366" t="str">
            <v>TP ICAP BD CON Extension for program manager</v>
          </cell>
          <cell r="H8366">
            <v>5044825</v>
          </cell>
          <cell r="AK8366" t="str">
            <v>Kirby Pulver</v>
          </cell>
        </row>
        <row r="8367">
          <cell r="C8367" t="str">
            <v>RECURRING Empire State Bank CMS</v>
          </cell>
          <cell r="H8367">
            <v>5049379</v>
          </cell>
          <cell r="AK8367" t="str">
            <v>Eugene Collett</v>
          </cell>
        </row>
        <row r="8368">
          <cell r="C8368" t="str">
            <v>Watertown Savings Bank Compliance Consulting Services</v>
          </cell>
          <cell r="H8368">
            <v>5049381</v>
          </cell>
          <cell r="AK8368" t="str">
            <v>Lawana Clark</v>
          </cell>
        </row>
        <row r="8369">
          <cell r="C8369" t="str">
            <v>MECU TRID Refresher Training</v>
          </cell>
          <cell r="H8369">
            <v>5049384</v>
          </cell>
          <cell r="AK8369" t="str">
            <v>W. Annette Dredden</v>
          </cell>
        </row>
        <row r="8370">
          <cell r="C8370" t="str">
            <v>FINRA_Program Mobilization and Current State Assessment</v>
          </cell>
          <cell r="H8370">
            <v>5049313</v>
          </cell>
          <cell r="AK8370" t="str">
            <v>Ruby Cherian</v>
          </cell>
        </row>
        <row r="8371">
          <cell r="C8371" t="str">
            <v>Amerant Mortgage EWCRA</v>
          </cell>
          <cell r="H8371">
            <v>5049358</v>
          </cell>
          <cell r="AK8371" t="str">
            <v>Brian Phillips</v>
          </cell>
        </row>
        <row r="8372">
          <cell r="C8372" t="str">
            <v>Harbor Bank - BSA Audit 2023</v>
          </cell>
          <cell r="H8372">
            <v>5048566</v>
          </cell>
          <cell r="AK8372" t="str">
            <v>W. Annette Dredden</v>
          </cell>
        </row>
        <row r="8373">
          <cell r="C8373" t="str">
            <v>Blue Foundry Addendum</v>
          </cell>
          <cell r="H8373">
            <v>5048391</v>
          </cell>
          <cell r="AK8373" t="str">
            <v>Anna Proleika</v>
          </cell>
        </row>
        <row r="8374">
          <cell r="C8374" t="str">
            <v>Lazard - TPRM Redesign</v>
          </cell>
          <cell r="H8374">
            <v>5049385</v>
          </cell>
          <cell r="AK8374" t="str">
            <v>Andy Soodek</v>
          </cell>
        </row>
        <row r="8375">
          <cell r="C8375" t="str">
            <v>CrossRiver AMD 1</v>
          </cell>
          <cell r="H8375">
            <v>5048375</v>
          </cell>
          <cell r="AK8375" t="str">
            <v>Eric Van Epps</v>
          </cell>
        </row>
        <row r="8376">
          <cell r="C8376" t="str">
            <v>Global Wealth - T+1 Adoption Support - TECHNOLOGY</v>
          </cell>
          <cell r="H8376">
            <v>5049576</v>
          </cell>
          <cell r="AK8376" t="str">
            <v>Nikhil Sharma</v>
          </cell>
        </row>
        <row r="8377">
          <cell r="C8377" t="str">
            <v>City First Bank Digital Banking</v>
          </cell>
          <cell r="H8377">
            <v>5049633</v>
          </cell>
          <cell r="AK8377" t="str">
            <v>Robert Farmer</v>
          </cell>
        </row>
        <row r="8378">
          <cell r="C8378" t="str">
            <v>SD Compliance - Governance &amp; Testing</v>
          </cell>
          <cell r="H8378">
            <v>5049243</v>
          </cell>
          <cell r="AK8378" t="str">
            <v>Parul Chowdhry</v>
          </cell>
        </row>
        <row r="8379">
          <cell r="C8379" t="str">
            <v>SEIU_HBT PM 2022 Expansion</v>
          </cell>
          <cell r="H8379">
            <v>5045206</v>
          </cell>
          <cell r="AK8379" t="str">
            <v>Eric Fairchild</v>
          </cell>
        </row>
        <row r="8380">
          <cell r="C8380" t="str">
            <v>Jefferies Equities BA / PM</v>
          </cell>
          <cell r="H8380">
            <v>5047678</v>
          </cell>
          <cell r="AK8380" t="str">
            <v>Sri Nonabur Srinivasamurthy</v>
          </cell>
        </row>
        <row r="8381">
          <cell r="C8381" t="str">
            <v>RBC Qlikview Extension 2023</v>
          </cell>
          <cell r="H8381">
            <v>5044766</v>
          </cell>
          <cell r="AK8381" t="str">
            <v>Kirby Pulver</v>
          </cell>
        </row>
        <row r="8382">
          <cell r="C8382" t="str">
            <v>SMBC_FIST Program Manager</v>
          </cell>
          <cell r="H8382">
            <v>5049025</v>
          </cell>
          <cell r="AK8382" t="str">
            <v>Christina Artieda</v>
          </cell>
        </row>
        <row r="8383">
          <cell r="C8383" t="str">
            <v>FAST Implementation Partnership TCV Correction</v>
          </cell>
          <cell r="H8383">
            <v>5049636</v>
          </cell>
          <cell r="AK8383" t="str">
            <v>Randy Love</v>
          </cell>
        </row>
        <row r="8384">
          <cell r="C8384" t="str">
            <v>SEIU_CLC EA Project Support Ph9</v>
          </cell>
          <cell r="H8384">
            <v>5041705</v>
          </cell>
          <cell r="AK8384" t="str">
            <v>Eric Fairchild</v>
          </cell>
        </row>
        <row r="8385">
          <cell r="C8385" t="str">
            <v>Recurring Peapack Gladstone Bank CMSO</v>
          </cell>
          <cell r="H8385">
            <v>5049380</v>
          </cell>
          <cell r="AK8385" t="str">
            <v>Gail Rassler</v>
          </cell>
        </row>
        <row r="8386">
          <cell r="C8386" t="str">
            <v>Unified Bank Website Review</v>
          </cell>
          <cell r="H8386">
            <v>5049259</v>
          </cell>
          <cell r="AK8386" t="str">
            <v>Kristina Slattery</v>
          </cell>
        </row>
        <row r="8387">
          <cell r="C8387" t="str">
            <v>SVB_LFI-CECL Reporting May23-Oct23</v>
          </cell>
          <cell r="H8387">
            <v>5049409</v>
          </cell>
          <cell r="AK8387" t="str">
            <v>Kyle Marynowski</v>
          </cell>
        </row>
        <row r="8388">
          <cell r="C8388" t="str">
            <v>Verafin Customer Risk Review</v>
          </cell>
          <cell r="H8388">
            <v>5049355</v>
          </cell>
          <cell r="AK8388" t="str">
            <v>William Sachs</v>
          </cell>
        </row>
        <row r="8389">
          <cell r="C8389" t="str">
            <v>Jefferies Disaster Recovery (Wipro)</v>
          </cell>
          <cell r="H8389">
            <v>5049564</v>
          </cell>
          <cell r="AK8389" t="str">
            <v>John McCaffrey</v>
          </cell>
        </row>
        <row r="8390">
          <cell r="C8390" t="str">
            <v>FAST: Implementation partnership 3-5 clients, ph 1</v>
          </cell>
          <cell r="H8390">
            <v>5049636</v>
          </cell>
          <cell r="AK8390" t="str">
            <v>Randy Love</v>
          </cell>
        </row>
        <row r="8391">
          <cell r="C8391" t="str">
            <v>Global Wealth - T+1 Adoption Support - PRODUCT &amp; OPS</v>
          </cell>
          <cell r="H8391">
            <v>5049581</v>
          </cell>
          <cell r="AK8391" t="str">
            <v>Nikhil Sharma</v>
          </cell>
        </row>
        <row r="8392">
          <cell r="C8392" t="str">
            <v>Pru_Acusite Platform Development Part 4</v>
          </cell>
          <cell r="H8392">
            <v>5046910</v>
          </cell>
          <cell r="AK8392" t="str">
            <v>Laura D'Alessandro</v>
          </cell>
        </row>
        <row r="8393">
          <cell r="C8393" t="str">
            <v>HNB_Secure Card Extension 2.0</v>
          </cell>
          <cell r="H8393">
            <v>5047599</v>
          </cell>
          <cell r="AK8393" t="str">
            <v>Daniela Hawkins</v>
          </cell>
        </row>
        <row r="8394">
          <cell r="C8394" t="str">
            <v>BMO Commercial Bank Onboarding - Ph 1</v>
          </cell>
          <cell r="H8394">
            <v>5049365</v>
          </cell>
          <cell r="AK8394" t="str">
            <v>Burt Yeo</v>
          </cell>
        </row>
        <row r="8395">
          <cell r="C8395" t="str">
            <v>FrMc_MF Staff Aug Role Extensions</v>
          </cell>
          <cell r="H8395">
            <v>5044802</v>
          </cell>
          <cell r="AK8395" t="str">
            <v>Kalkidan Tedla</v>
          </cell>
        </row>
        <row r="8396">
          <cell r="C8396" t="str">
            <v>GFT FRMT 2023 Task Orders 001-005</v>
          </cell>
          <cell r="H8396">
            <v>5049030</v>
          </cell>
          <cell r="AK8396" t="str">
            <v>Ervinas Janavicius</v>
          </cell>
        </row>
        <row r="8397">
          <cell r="C8397" t="str">
            <v>M+A Extension</v>
          </cell>
          <cell r="H8397">
            <v>5045576</v>
          </cell>
          <cell r="AK8397" t="str">
            <v>Nitin Raju</v>
          </cell>
        </row>
        <row r="8398">
          <cell r="C8398" t="str">
            <v>Citi_Global Wealth - T+1 Adoption Support - PRODUCT &amp; OPS - Addendum</v>
          </cell>
          <cell r="H8398">
            <v>5049581</v>
          </cell>
          <cell r="AK8398" t="str">
            <v>Nikhil Sharma</v>
          </cell>
        </row>
        <row r="8399">
          <cell r="C8399" t="str">
            <v>FrMc_EOT DATA Privacy Mgmt Role</v>
          </cell>
          <cell r="H8399">
            <v>5046317</v>
          </cell>
          <cell r="AK8399" t="str">
            <v>Kalkidan Tedla</v>
          </cell>
        </row>
        <row r="8400">
          <cell r="C8400" t="str">
            <v>Equity Swaps Global Test Manager</v>
          </cell>
          <cell r="H8400">
            <v>5048615</v>
          </cell>
          <cell r="AK8400" t="str">
            <v>Sri Nonabur Srinivasamurthy</v>
          </cell>
        </row>
        <row r="8401">
          <cell r="C8401" t="str">
            <v>Battle Bank_Extension 5_Michael and Frank</v>
          </cell>
          <cell r="H8401">
            <v>5047466</v>
          </cell>
          <cell r="AK8401" t="str">
            <v>James Kane</v>
          </cell>
        </row>
        <row r="8402">
          <cell r="C8402" t="str">
            <v>Jefferies Cloud Innovation Manager Extension</v>
          </cell>
          <cell r="H8402">
            <v>5048568</v>
          </cell>
          <cell r="AK8402" t="str">
            <v>Aoife Hogan</v>
          </cell>
        </row>
        <row r="8403">
          <cell r="C8403" t="str">
            <v>Key Process AMD 9</v>
          </cell>
          <cell r="H8403">
            <v>5042840</v>
          </cell>
          <cell r="AK8403" t="str">
            <v>Samuel Awsumb</v>
          </cell>
        </row>
        <row r="8404">
          <cell r="C8404" t="str">
            <v>Unified Bank Tech Risk Assessment</v>
          </cell>
          <cell r="H8404">
            <v>5049260</v>
          </cell>
          <cell r="AK8404" t="str">
            <v>Kristina Slattery</v>
          </cell>
        </row>
        <row r="8405">
          <cell r="C8405" t="str">
            <v>Jeff_Equity Flow Monitor Junior Dev</v>
          </cell>
          <cell r="H8405">
            <v>5047380</v>
          </cell>
          <cell r="AK8405" t="str">
            <v>Irina Szilagyi</v>
          </cell>
        </row>
        <row r="8406">
          <cell r="C8406" t="str">
            <v>HNB BOL Extn H2 2023</v>
          </cell>
          <cell r="H8406">
            <v>5045303</v>
          </cell>
          <cell r="AK8406" t="str">
            <v>Bemo Itoe</v>
          </cell>
        </row>
        <row r="8407">
          <cell r="C8407" t="str">
            <v>Mass Mutual Haven Life Original TCV True Up</v>
          </cell>
          <cell r="H8407">
            <v>5047044</v>
          </cell>
          <cell r="AK8407" t="str">
            <v>Gordon Lunsford</v>
          </cell>
        </row>
        <row r="8408">
          <cell r="C8408" t="str">
            <v>FrMc_Issue Mgmt #618 MRA Strategy</v>
          </cell>
          <cell r="H8408">
            <v>5049326</v>
          </cell>
          <cell r="AK8408" t="str">
            <v>Thomas Scott</v>
          </cell>
        </row>
        <row r="8409">
          <cell r="C8409" t="str">
            <v>Mass Mutual - Haven Life Onboarding</v>
          </cell>
          <cell r="H8409">
            <v>5047044</v>
          </cell>
          <cell r="AK8409" t="str">
            <v>Gordon Lunsford</v>
          </cell>
        </row>
        <row r="8410">
          <cell r="C8410" t="str">
            <v>WSFS CRA CD Review</v>
          </cell>
          <cell r="H8410">
            <v>5049406</v>
          </cell>
          <cell r="AK8410" t="str">
            <v>Robin McConaughey</v>
          </cell>
        </row>
        <row r="8411">
          <cell r="C8411" t="str">
            <v>Premier Bank - Compliance Reviews</v>
          </cell>
          <cell r="H8411">
            <v>5049382</v>
          </cell>
          <cell r="AK8411" t="str">
            <v>Anna Proleika</v>
          </cell>
        </row>
        <row r="8412">
          <cell r="C8412" t="str">
            <v>BNYM TR Architecture Review Resource</v>
          </cell>
          <cell r="H8412">
            <v>5049450</v>
          </cell>
          <cell r="AK8412" t="str">
            <v>Grzegorz Walukanis</v>
          </cell>
        </row>
        <row r="8413">
          <cell r="C8413" t="str">
            <v>Jeff_Risk Mgmt Business Analyst</v>
          </cell>
          <cell r="H8413">
            <v>5049572</v>
          </cell>
          <cell r="AK8413" t="str">
            <v>Matthew Rodgers</v>
          </cell>
        </row>
        <row r="8414">
          <cell r="C8414" t="str">
            <v>First Heritage Financial, LLC</v>
          </cell>
          <cell r="H8414">
            <v>5049672</v>
          </cell>
          <cell r="AK8414" t="str">
            <v>Christian Maier</v>
          </cell>
        </row>
        <row r="8415">
          <cell r="C8415" t="str">
            <v>SEIU IT - Addl Scrum Master</v>
          </cell>
          <cell r="H8415">
            <v>5049414</v>
          </cell>
          <cell r="AK8415" t="str">
            <v>Eric Fairchild</v>
          </cell>
        </row>
        <row r="8416">
          <cell r="C8416" t="str">
            <v>Jeff_Compliance BA India</v>
          </cell>
          <cell r="H8416">
            <v>5049490</v>
          </cell>
          <cell r="AK8416" t="str">
            <v>Nikin Karunakaran Nambiar</v>
          </cell>
        </row>
        <row r="8417">
          <cell r="C8417" t="str">
            <v>MSWM_Digital Marketing_Brand &amp; Editorial Support [MS@Work Redesign] - Grant Clampitt / Scout Inghilterra</v>
          </cell>
          <cell r="H8417">
            <v>5049190</v>
          </cell>
          <cell r="AK8417" t="str">
            <v>Dan Schutzman</v>
          </cell>
        </row>
        <row r="8418">
          <cell r="C8418" t="str">
            <v>SMBC - FXL Implementation Analysis</v>
          </cell>
          <cell r="H8418">
            <v>5049513</v>
          </cell>
          <cell r="AK8418" t="str">
            <v>Anthony Madej</v>
          </cell>
        </row>
        <row r="8419">
          <cell r="C8419" t="str">
            <v>FrMc_Resolution Planning Role Ext</v>
          </cell>
          <cell r="H8419">
            <v>5045494</v>
          </cell>
          <cell r="AK8419" t="str">
            <v>Michael Mathew</v>
          </cell>
        </row>
        <row r="8420">
          <cell r="C8420" t="str">
            <v>FDIC RAS Extension 2024</v>
          </cell>
          <cell r="H8420">
            <v>5039630</v>
          </cell>
          <cell r="AK8420" t="str">
            <v>Diane Banks</v>
          </cell>
        </row>
        <row r="8421">
          <cell r="C8421" t="str">
            <v>Data CoE - Alan Chiang Extension</v>
          </cell>
          <cell r="H8421">
            <v>5049063</v>
          </cell>
          <cell r="AK8421" t="str">
            <v>Grzegorz Walukanis</v>
          </cell>
        </row>
        <row r="8422">
          <cell r="C8422" t="str">
            <v>Jefferies IBIT Analyst Bridge Extension</v>
          </cell>
          <cell r="H8422">
            <v>5047805</v>
          </cell>
          <cell r="AK8422" t="str">
            <v>Aoife Hogan</v>
          </cell>
        </row>
        <row r="8423">
          <cell r="C8423" t="str">
            <v>MS_Sourcing Integration_Vendor Onboarding Design_Data Analyst/PM</v>
          </cell>
          <cell r="H8423">
            <v>5049206</v>
          </cell>
          <cell r="AK8423" t="str">
            <v>Dan Schutzman</v>
          </cell>
        </row>
        <row r="8424">
          <cell r="C8424" t="str">
            <v>BSA Alert Clearing, SAR, and EDD Case Investigations</v>
          </cell>
          <cell r="H8424">
            <v>5048431</v>
          </cell>
          <cell r="AK8424" t="str">
            <v>Helen Person</v>
          </cell>
        </row>
        <row r="8425">
          <cell r="C8425" t="str">
            <v>NBH_2UniFi - Testing Opportunity - CO#2</v>
          </cell>
          <cell r="H8425">
            <v>5049563</v>
          </cell>
          <cell r="AK8425" t="str">
            <v>Kelsey Popplewell</v>
          </cell>
        </row>
        <row r="8426">
          <cell r="C8426" t="str">
            <v>Broadridge Cloud Data Transformation</v>
          </cell>
          <cell r="H8426">
            <v>5048470</v>
          </cell>
          <cell r="AK8426" t="str">
            <v>Gwen Long</v>
          </cell>
        </row>
        <row r="8427">
          <cell r="C8427" t="str">
            <v>BMO Commercial Onboarding Ph 2</v>
          </cell>
          <cell r="H8427">
            <v>5049365</v>
          </cell>
          <cell r="AK8427" t="str">
            <v>Burt Yeo</v>
          </cell>
        </row>
        <row r="8428">
          <cell r="C8428" t="str">
            <v>GEP Program Extension</v>
          </cell>
          <cell r="H8428">
            <v>5046868</v>
          </cell>
          <cell r="AK8428" t="str">
            <v>Conor Dowling</v>
          </cell>
        </row>
        <row r="8429">
          <cell r="C8429" t="str">
            <v>MSIM_Business</v>
          </cell>
          <cell r="H8429">
            <v>5049580</v>
          </cell>
          <cell r="AK8429" t="str">
            <v>Dan Schutzman</v>
          </cell>
        </row>
        <row r="8430">
          <cell r="C8430" t="str">
            <v>FrMc_Staff Aug Pilot Program Demand</v>
          </cell>
          <cell r="H8430">
            <v>5049562</v>
          </cell>
          <cell r="AK8430" t="str">
            <v>Johnny Gabert</v>
          </cell>
        </row>
        <row r="8431">
          <cell r="C8431" t="str">
            <v>Federated Lending_MQC 22-23 addendum</v>
          </cell>
          <cell r="H8431">
            <v>5046154</v>
          </cell>
          <cell r="AK8431" t="str">
            <v>Christian Maier</v>
          </cell>
        </row>
        <row r="8432">
          <cell r="C8432" t="str">
            <v>Jeff IT_PMO Extension</v>
          </cell>
          <cell r="H8432">
            <v>5049652</v>
          </cell>
          <cell r="AK8432" t="str">
            <v>Imran Parekh</v>
          </cell>
        </row>
        <row r="8433">
          <cell r="C8433" t="str">
            <v>Zeta_RAS</v>
          </cell>
          <cell r="H8433">
            <v>5049649</v>
          </cell>
          <cell r="AK8433" t="str">
            <v>Diane Banks</v>
          </cell>
        </row>
        <row r="8434">
          <cell r="C8434" t="str">
            <v>BSA/AML/OFAC Review</v>
          </cell>
          <cell r="H8434">
            <v>5049405</v>
          </cell>
          <cell r="AK8434" t="str">
            <v>William Sachs</v>
          </cell>
        </row>
        <row r="8435">
          <cell r="C8435" t="str">
            <v>Jefferies Technology Innovation Lead</v>
          </cell>
          <cell r="H8435">
            <v>5049642</v>
          </cell>
          <cell r="AK8435" t="str">
            <v>Imran Parekh</v>
          </cell>
        </row>
        <row r="8436">
          <cell r="C8436" t="str">
            <v>HSBC-GFP-FIN-Magnus</v>
          </cell>
          <cell r="H8436">
            <v>5049579</v>
          </cell>
          <cell r="AK8436" t="str">
            <v>Rahul Govada</v>
          </cell>
        </row>
        <row r="8437">
          <cell r="C8437" t="str">
            <v>Boomerang 2023 June-November Extension</v>
          </cell>
          <cell r="H8437">
            <v>5045763</v>
          </cell>
          <cell r="AK8437" t="str">
            <v>John McCaffrey</v>
          </cell>
        </row>
        <row r="8438">
          <cell r="C8438" t="str">
            <v>Nomura CFTC Resource</v>
          </cell>
          <cell r="H8438">
            <v>5047559</v>
          </cell>
          <cell r="AK8438" t="str">
            <v>Salim Modi</v>
          </cell>
        </row>
        <row r="8439">
          <cell r="C8439" t="str">
            <v>HSBC-WPB-GPB-Agile BA- Ext 1</v>
          </cell>
          <cell r="H8439">
            <v>5048363</v>
          </cell>
          <cell r="AK8439" t="str">
            <v>Steven D'Angelo</v>
          </cell>
        </row>
        <row r="8440">
          <cell r="C8440" t="str">
            <v>Finxact Battle Implementation Sprints Extension 4</v>
          </cell>
          <cell r="H8440">
            <v>5047749</v>
          </cell>
          <cell r="AK8440" t="str">
            <v>James Kane</v>
          </cell>
        </row>
        <row r="8441">
          <cell r="C8441" t="str">
            <v>Jeff Transcend Ext_2023_June-Aug</v>
          </cell>
          <cell r="H8441">
            <v>5048865</v>
          </cell>
          <cell r="AK8441" t="str">
            <v>Matthew Rodgers</v>
          </cell>
        </row>
        <row r="8442">
          <cell r="C8442" t="str">
            <v>IAIC_GRC_Oct2024</v>
          </cell>
          <cell r="H8442">
            <v>5050001</v>
          </cell>
          <cell r="AK8442" t="str">
            <v>Tania Makuh</v>
          </cell>
        </row>
        <row r="8443">
          <cell r="C8443" t="str">
            <v>SEIU IT - Addl PO/BA, QA Ph6</v>
          </cell>
          <cell r="H8443">
            <v>5046704</v>
          </cell>
          <cell r="AK8443" t="str">
            <v>Eric Fairchild</v>
          </cell>
        </row>
        <row r="8444">
          <cell r="C8444" t="str">
            <v>CRA/Flood Training</v>
          </cell>
          <cell r="H8444">
            <v>5049588</v>
          </cell>
          <cell r="AK8444" t="str">
            <v>Diane Banks</v>
          </cell>
        </row>
        <row r="8445">
          <cell r="C8445" t="str">
            <v>Jefferies IBIT Analyst Extension June 1 - June 30</v>
          </cell>
          <cell r="H8445">
            <v>5047805</v>
          </cell>
          <cell r="AK8445" t="str">
            <v>Aoife Hogan</v>
          </cell>
        </row>
        <row r="8446">
          <cell r="C8446" t="str">
            <v>Jefferies - SPM Extension</v>
          </cell>
          <cell r="H8446">
            <v>5048963</v>
          </cell>
          <cell r="AK8446" t="str">
            <v>Imran Parekh</v>
          </cell>
        </row>
        <row r="8447">
          <cell r="C8447" t="str">
            <v>WF CRCM</v>
          </cell>
          <cell r="H8447">
            <v>5049686</v>
          </cell>
          <cell r="AK8447" t="str">
            <v>Marisa DeVincentis</v>
          </cell>
        </row>
        <row r="8448">
          <cell r="C8448" t="str">
            <v>WF FCRM</v>
          </cell>
          <cell r="H8448">
            <v>5049685</v>
          </cell>
          <cell r="AK8448" t="str">
            <v>Trisha Stone</v>
          </cell>
        </row>
        <row r="8449">
          <cell r="C8449" t="str">
            <v>Recurring GRC Support Services</v>
          </cell>
          <cell r="H8449">
            <v>5045248</v>
          </cell>
          <cell r="AK8449" t="str">
            <v>Tania Makuh</v>
          </cell>
        </row>
        <row r="8450">
          <cell r="C8450" t="str">
            <v>Country Bank - AFC Verafin Risk Agent Review</v>
          </cell>
          <cell r="H8450">
            <v>5049553</v>
          </cell>
          <cell r="AK8450" t="str">
            <v>William Sachs</v>
          </cell>
        </row>
        <row r="8451">
          <cell r="C8451" t="str">
            <v>Marsh European Digital Strategist &amp; Facilitator</v>
          </cell>
          <cell r="H8451">
            <v>5049191</v>
          </cell>
          <cell r="AK8451" t="str">
            <v>Casey Schaffer</v>
          </cell>
        </row>
        <row r="8452">
          <cell r="C8452" t="str">
            <v>Jefferies - Elizabeth Extn June 2023</v>
          </cell>
          <cell r="H8452">
            <v>5043230</v>
          </cell>
          <cell r="AK8452" t="str">
            <v>John Clifford</v>
          </cell>
        </row>
        <row r="8453">
          <cell r="C8453" t="str">
            <v>CACIB_CIO Office Management_Ext</v>
          </cell>
          <cell r="H8453">
            <v>5048095</v>
          </cell>
          <cell r="AK8453" t="str">
            <v>Garry Harvey</v>
          </cell>
        </row>
        <row r="8454">
          <cell r="C8454" t="str">
            <v>Recurring LennarMor_BSA Independent Test</v>
          </cell>
          <cell r="H8454">
            <v>5049586</v>
          </cell>
          <cell r="AK8454" t="str">
            <v>Charles Lynn Piper</v>
          </cell>
        </row>
        <row r="8455">
          <cell r="C8455" t="str">
            <v>Jefferies_Outsourcing UKRun</v>
          </cell>
          <cell r="H8455">
            <v>5045769</v>
          </cell>
          <cell r="AK8455" t="str">
            <v>Mark Breslin</v>
          </cell>
        </row>
        <row r="8456">
          <cell r="C8456" t="str">
            <v>Jefferies - Elizabeth Extn June 2023</v>
          </cell>
          <cell r="H8456">
            <v>5048814</v>
          </cell>
          <cell r="AK8456" t="str">
            <v>John Clifford</v>
          </cell>
        </row>
        <row r="8457">
          <cell r="C8457" t="str">
            <v>Recurring IWB_Technology Risk Assessments</v>
          </cell>
          <cell r="H8457">
            <v>5048573</v>
          </cell>
          <cell r="AK8457" t="str">
            <v>Robert Farmer</v>
          </cell>
        </row>
        <row r="8458">
          <cell r="C8458" t="str">
            <v>City First Bank ACH Risk Assessment</v>
          </cell>
          <cell r="H8458">
            <v>5049635</v>
          </cell>
          <cell r="AK8458" t="str">
            <v>Robert Farmer</v>
          </cell>
        </row>
        <row r="8459">
          <cell r="C8459" t="str">
            <v>Jefferies Madison PMO Analyst Extension Jun 1 - Nov 30 2023</v>
          </cell>
          <cell r="H8459">
            <v>5049656</v>
          </cell>
          <cell r="AK8459" t="str">
            <v>Imran Parekh</v>
          </cell>
        </row>
        <row r="8460">
          <cell r="C8460" t="str">
            <v>MSC _ CRA Loan Register Data Validation</v>
          </cell>
          <cell r="H8460">
            <v>5049561</v>
          </cell>
          <cell r="AK8460" t="str">
            <v>Juan Pimentel</v>
          </cell>
        </row>
        <row r="8461">
          <cell r="C8461" t="str">
            <v>North Easton Savings Bank - CMS</v>
          </cell>
          <cell r="H8461">
            <v>5047842</v>
          </cell>
          <cell r="AK8461" t="str">
            <v>Lawana Clark</v>
          </cell>
        </row>
        <row r="8462">
          <cell r="C8462" t="str">
            <v>ABB PM Launch Support</v>
          </cell>
          <cell r="H8462">
            <v>5049539</v>
          </cell>
          <cell r="AK8462" t="str">
            <v>Betsy Cherian</v>
          </cell>
        </row>
        <row r="8463">
          <cell r="C8463" t="str">
            <v>RECURRING - Metropolitan Commercial Bank - FLRA</v>
          </cell>
          <cell r="H8463">
            <v>5049345</v>
          </cell>
          <cell r="AK8463" t="str">
            <v>Leigh Tribou</v>
          </cell>
        </row>
        <row r="8464">
          <cell r="C8464" t="str">
            <v>Jeff_Equities Compliance Surveillance BA</v>
          </cell>
          <cell r="H8464">
            <v>5049659</v>
          </cell>
          <cell r="AK8464" t="str">
            <v>Sri Nonabur Srinivasamurthy</v>
          </cell>
        </row>
        <row r="8465">
          <cell r="C8465" t="str">
            <v>CC5 HMDA Reviews 2023</v>
          </cell>
          <cell r="H8465">
            <v>5050032</v>
          </cell>
          <cell r="AK8465" t="str">
            <v>Juan Pimentel</v>
          </cell>
        </row>
        <row r="8466">
          <cell r="C8466" t="str">
            <v>Recurring NCB CMS Support</v>
          </cell>
          <cell r="H8466">
            <v>5049879</v>
          </cell>
          <cell r="AK8466" t="str">
            <v>Kristina Slattery</v>
          </cell>
        </row>
        <row r="8467">
          <cell r="C8467" t="str">
            <v>Horizon Cloud RCSA and MIS</v>
          </cell>
          <cell r="H8467">
            <v>5049756</v>
          </cell>
          <cell r="AK8467" t="str">
            <v>Caroline Teunissen</v>
          </cell>
        </row>
        <row r="8468">
          <cell r="C8468" t="str">
            <v>Jeff_SD Compliance Program</v>
          </cell>
          <cell r="H8468">
            <v>5049658</v>
          </cell>
          <cell r="AK8468" t="str">
            <v>Julia Simmons</v>
          </cell>
        </row>
        <row r="8469">
          <cell r="C8469" t="str">
            <v>Citi-ICG 2023 H2 - Data Lineage extn (US Only)</v>
          </cell>
          <cell r="H8469">
            <v>5048168</v>
          </cell>
          <cell r="AK8469" t="str">
            <v>Helen Needham</v>
          </cell>
        </row>
        <row r="8470">
          <cell r="C8470" t="str">
            <v>Key Process AMD 10</v>
          </cell>
          <cell r="H8470">
            <v>5042840</v>
          </cell>
          <cell r="AK8470" t="str">
            <v>Samuel Awsumb</v>
          </cell>
        </row>
        <row r="8471">
          <cell r="C8471" t="str">
            <v>MMSD Resource(s) Extention</v>
          </cell>
          <cell r="H8471">
            <v>5046804</v>
          </cell>
          <cell r="AK8471" t="str">
            <v>Gordon Lunsford</v>
          </cell>
        </row>
        <row r="8472">
          <cell r="C8472" t="str">
            <v>Jeff_Lead PM - UPI Implementation</v>
          </cell>
          <cell r="H8472">
            <v>5049696</v>
          </cell>
          <cell r="AK8472" t="str">
            <v>Matthew Rodgers</v>
          </cell>
        </row>
        <row r="8473">
          <cell r="C8473" t="str">
            <v>Jefferies Reporting &amp; Analytics Self-Service Portal Designer</v>
          </cell>
          <cell r="H8473">
            <v>5049684</v>
          </cell>
          <cell r="AK8473" t="str">
            <v>Aoife Hogan</v>
          </cell>
        </row>
        <row r="8474">
          <cell r="C8474" t="str">
            <v>Fair Banking - UDAAP Review</v>
          </cell>
          <cell r="H8474">
            <v>5049604</v>
          </cell>
          <cell r="AK8474" t="str">
            <v>Eric Van Epps</v>
          </cell>
        </row>
        <row r="8475">
          <cell r="C8475" t="str">
            <v>Honeywell_Wipro Project Sunrise</v>
          </cell>
          <cell r="H8475">
            <v>5049067</v>
          </cell>
          <cell r="AK8475" t="str">
            <v>John Gubala</v>
          </cell>
        </row>
        <row r="8476">
          <cell r="C8476" t="str">
            <v>FIST Project Manager</v>
          </cell>
          <cell r="H8476">
            <v>5049025</v>
          </cell>
          <cell r="AK8476" t="str">
            <v>Christina Artieda</v>
          </cell>
        </row>
        <row r="8477">
          <cell r="C8477" t="str">
            <v>Group Insurance Delivery Team: 06/23 - 8/23</v>
          </cell>
          <cell r="H8477">
            <v>5049657</v>
          </cell>
          <cell r="AK8477" t="str">
            <v>John Rowell</v>
          </cell>
        </row>
        <row r="8478">
          <cell r="C8478" t="str">
            <v>GRC Enterprise and Operational Risk Library</v>
          </cell>
          <cell r="H8478">
            <v>5049660</v>
          </cell>
          <cell r="AK8478" t="str">
            <v>Tania Makuh</v>
          </cell>
        </row>
        <row r="8479">
          <cell r="C8479" t="str">
            <v>Stages Delivery Team: 6/23 - 12/23</v>
          </cell>
          <cell r="H8479">
            <v>5049655</v>
          </cell>
          <cell r="AK8479" t="str">
            <v>Gerhardt Scriven</v>
          </cell>
        </row>
        <row r="8480">
          <cell r="C8480" t="str">
            <v>PGIM - Full Team Extension (Brazil Pod, Orlando Pod, Uplift) 6/23-12/23</v>
          </cell>
          <cell r="H8480">
            <v>5049647</v>
          </cell>
          <cell r="AK8480" t="str">
            <v>Diego Sarai</v>
          </cell>
        </row>
        <row r="8481">
          <cell r="C8481" t="str">
            <v>BCP Tabletop Exercise</v>
          </cell>
          <cell r="H8481">
            <v>5049666</v>
          </cell>
          <cell r="AK8481" t="str">
            <v>Robert Farmer</v>
          </cell>
        </row>
        <row r="8482">
          <cell r="C8482" t="str">
            <v>FrMc_Staff Aug Pilot Program Roles</v>
          </cell>
          <cell r="H8482">
            <v>5049562</v>
          </cell>
          <cell r="AK8482" t="str">
            <v>Johnny Gabert</v>
          </cell>
        </row>
        <row r="8483">
          <cell r="C8483" t="str">
            <v>First Citizens_FDIC 370 SVB Portfolio Expansion</v>
          </cell>
          <cell r="H8483">
            <v>5048628</v>
          </cell>
          <cell r="AK8483" t="str">
            <v>Sebastian Ekberg</v>
          </cell>
        </row>
        <row r="8484">
          <cell r="C8484" t="str">
            <v>MVO Decomposition</v>
          </cell>
          <cell r="H8484">
            <v>5049753</v>
          </cell>
          <cell r="AK8484" t="str">
            <v>Conor Dowling</v>
          </cell>
        </row>
        <row r="8485">
          <cell r="C8485" t="str">
            <v>Abacus AML Support Extension</v>
          </cell>
          <cell r="H8485">
            <v>5049254</v>
          </cell>
          <cell r="AK8485" t="str">
            <v>Anthony Abruzzo</v>
          </cell>
        </row>
        <row r="8486">
          <cell r="C8486" t="str">
            <v>Project Snowflake</v>
          </cell>
          <cell r="H8486">
            <v>5050037</v>
          </cell>
          <cell r="AK8486" t="str">
            <v>Nitin Raju</v>
          </cell>
        </row>
        <row r="8487">
          <cell r="C8487" t="str">
            <v>ESB Residential Lending Implementation Addendum</v>
          </cell>
          <cell r="H8487">
            <v>5046120</v>
          </cell>
          <cell r="AK8487" t="str">
            <v>Mariana Dumanovsky</v>
          </cell>
        </row>
        <row r="8488">
          <cell r="C8488" t="str">
            <v>Cross River Bank _RAS</v>
          </cell>
          <cell r="H8488">
            <v>5050020</v>
          </cell>
          <cell r="AK8488" t="str">
            <v>Travis Peraza</v>
          </cell>
        </row>
        <row r="8489">
          <cell r="C8489" t="str">
            <v>WSFS-Fair Lending Redlining Analysis</v>
          </cell>
          <cell r="H8489">
            <v>5049202</v>
          </cell>
          <cell r="AK8489" t="str">
            <v>Gail Rassler</v>
          </cell>
        </row>
        <row r="8490">
          <cell r="C8490" t="str">
            <v>WSFS-HO Counseling 2023</v>
          </cell>
          <cell r="H8490">
            <v>5049203</v>
          </cell>
          <cell r="AK8490" t="str">
            <v>Gail Rassler</v>
          </cell>
        </row>
        <row r="8491">
          <cell r="C8491" t="str">
            <v>Reading Coop-Spanish Translation</v>
          </cell>
          <cell r="H8491">
            <v>5049820</v>
          </cell>
          <cell r="AK8491" t="str">
            <v>Delsys Salas</v>
          </cell>
        </row>
        <row r="8492">
          <cell r="C8492" t="str">
            <v>Citi_Global Wealth Client Reporting</v>
          </cell>
          <cell r="H8492">
            <v>5049993</v>
          </cell>
          <cell r="AK8492" t="str">
            <v>Danielle Theroux</v>
          </cell>
        </row>
        <row r="8493">
          <cell r="C8493" t="str">
            <v>Commerce Change request user admin/dev work</v>
          </cell>
          <cell r="H8493">
            <v>5049002</v>
          </cell>
          <cell r="AK8493" t="str">
            <v>Kari Raimondi</v>
          </cell>
        </row>
        <row r="8494">
          <cell r="C8494" t="str">
            <v>MS WM Ops -- Taranvir Backfill</v>
          </cell>
          <cell r="H8494">
            <v>5049095</v>
          </cell>
          <cell r="AK8494" t="str">
            <v>Ruben Sooriya</v>
          </cell>
        </row>
        <row r="8495">
          <cell r="C8495" t="str">
            <v>Jefferies Infrastructure CTO Chief Of Staff</v>
          </cell>
          <cell r="H8495">
            <v>5049786</v>
          </cell>
          <cell r="AK8495" t="str">
            <v>John McCaffrey</v>
          </cell>
        </row>
        <row r="8496">
          <cell r="C8496" t="str">
            <v>Jefferies NBC Support extension</v>
          </cell>
          <cell r="H8496">
            <v>5049776</v>
          </cell>
          <cell r="AK8496" t="str">
            <v>Julia Simmons</v>
          </cell>
        </row>
        <row r="8497">
          <cell r="C8497" t="str">
            <v>BOK Financial_Sales &amp; Service - Application Strategy Discovery</v>
          </cell>
          <cell r="H8497">
            <v>5049759</v>
          </cell>
          <cell r="AK8497" t="str">
            <v>Kevin Miologos</v>
          </cell>
        </row>
        <row r="8498">
          <cell r="C8498" t="str">
            <v>FrMc_MF Role Extension and Additional role (SA)</v>
          </cell>
          <cell r="H8498">
            <v>5044802</v>
          </cell>
          <cell r="AK8498" t="str">
            <v>Kalkidan Tedla</v>
          </cell>
        </row>
        <row r="8499">
          <cell r="C8499" t="str">
            <v>HNB_Secured Card Extension - 2 Engineers; 1 QA</v>
          </cell>
          <cell r="H8499">
            <v>5047599</v>
          </cell>
          <cell r="AK8499" t="str">
            <v>Daniela Hawkins</v>
          </cell>
        </row>
        <row r="8500">
          <cell r="C8500" t="str">
            <v>Citi_ECDO - Program Management</v>
          </cell>
          <cell r="H8500">
            <v>5049819</v>
          </cell>
          <cell r="AK8500" t="str">
            <v>Ambika Kutty</v>
          </cell>
        </row>
        <row r="8501">
          <cell r="C8501" t="str">
            <v>IAIC_GRC</v>
          </cell>
          <cell r="H8501">
            <v>5050001</v>
          </cell>
          <cell r="AK8501" t="str">
            <v>Tania Makuh</v>
          </cell>
        </row>
        <row r="8502">
          <cell r="C8502" t="str">
            <v>Bank of Hancock County RAS Ext</v>
          </cell>
          <cell r="H8502">
            <v>5040101</v>
          </cell>
          <cell r="AK8502" t="str">
            <v>Diane Banks</v>
          </cell>
        </row>
        <row r="8503">
          <cell r="C8503" t="str">
            <v>Comm Bank NA-NY_RAS ext</v>
          </cell>
          <cell r="H8503">
            <v>5040158</v>
          </cell>
          <cell r="AK8503" t="str">
            <v>Diane Banks</v>
          </cell>
        </row>
        <row r="8504">
          <cell r="C8504" t="str">
            <v>F&amp;M Bank RAS Ext</v>
          </cell>
          <cell r="H8504">
            <v>5040120</v>
          </cell>
          <cell r="AK8504" t="str">
            <v>Diane Banks</v>
          </cell>
        </row>
        <row r="8505">
          <cell r="C8505" t="str">
            <v>2023H2 Legal and Compliance Ext</v>
          </cell>
          <cell r="H8505">
            <v>5048320</v>
          </cell>
          <cell r="AK8505" t="str">
            <v>Matthew Rodgers</v>
          </cell>
        </row>
        <row r="8506">
          <cell r="C8506" t="str">
            <v>Jefferies CRB/AT/AH QA Lead</v>
          </cell>
          <cell r="H8506">
            <v>5048332</v>
          </cell>
          <cell r="AK8506" t="str">
            <v>John McCaffrey</v>
          </cell>
        </row>
        <row r="8507">
          <cell r="C8507" t="str">
            <v>Imprint Annual CMS Audit</v>
          </cell>
          <cell r="H8507">
            <v>5049554</v>
          </cell>
          <cell r="AK8507" t="str">
            <v>Mary Louise Radley</v>
          </cell>
        </row>
        <row r="8508">
          <cell r="C8508" t="str">
            <v>Ridgewood Savings Bank RAS Ext</v>
          </cell>
          <cell r="H8508">
            <v>5040095</v>
          </cell>
          <cell r="AK8508" t="str">
            <v>Diane Banks</v>
          </cell>
        </row>
        <row r="8509">
          <cell r="C8509" t="str">
            <v>Brotherhood CU_RAS Ext 2024</v>
          </cell>
          <cell r="H8509">
            <v>5040204</v>
          </cell>
          <cell r="AK8509" t="str">
            <v>Diane Banks</v>
          </cell>
        </row>
        <row r="8510">
          <cell r="C8510" t="str">
            <v>Minster Bank RAS Ext</v>
          </cell>
          <cell r="H8510">
            <v>5040161</v>
          </cell>
          <cell r="AK8510" t="str">
            <v>Rebecca Breland</v>
          </cell>
        </row>
        <row r="8511">
          <cell r="C8511" t="str">
            <v>First Com Bank of Cullman_RAS Ext</v>
          </cell>
          <cell r="H8511">
            <v>5039638</v>
          </cell>
          <cell r="AK8511" t="str">
            <v>Rebecca Breland</v>
          </cell>
        </row>
        <row r="8512">
          <cell r="C8512" t="str">
            <v>Nomura cftc rewrite help extention</v>
          </cell>
          <cell r="H8512">
            <v>5047559</v>
          </cell>
          <cell r="AK8512" t="str">
            <v>Salim Modi</v>
          </cell>
        </row>
        <row r="8513">
          <cell r="C8513" t="str">
            <v>SEIU IT - Addl Scrum Master Ph2</v>
          </cell>
          <cell r="H8513">
            <v>5049414</v>
          </cell>
          <cell r="AK8513" t="str">
            <v>Eric Fairchild</v>
          </cell>
        </row>
        <row r="8514">
          <cell r="C8514" t="str">
            <v>Movement Bank RAS Ext</v>
          </cell>
          <cell r="H8514">
            <v>5040134</v>
          </cell>
          <cell r="AK8514" t="str">
            <v>Diane Banks</v>
          </cell>
        </row>
        <row r="8515">
          <cell r="C8515" t="str">
            <v>Priority Bank RAS Ext</v>
          </cell>
          <cell r="H8515">
            <v>5039707</v>
          </cell>
          <cell r="AK8515" t="str">
            <v>Travis Peraza</v>
          </cell>
        </row>
        <row r="8516">
          <cell r="C8516" t="str">
            <v>DB-CRB-AS-IT-Extension of AaaS Contracts for Q3 '23 (July - Sept)</v>
          </cell>
          <cell r="H8516">
            <v>5050025</v>
          </cell>
          <cell r="AK8516" t="str">
            <v>Conor Hodnett</v>
          </cell>
        </row>
        <row r="8517">
          <cell r="C8517" t="str">
            <v>Cross Keys RAS Ext</v>
          </cell>
          <cell r="H8517">
            <v>5039475</v>
          </cell>
          <cell r="AK8517" t="str">
            <v>Rebecca Breland</v>
          </cell>
        </row>
        <row r="8518">
          <cell r="C8518" t="str">
            <v>BSA AML Audit - Toast Processing LLC</v>
          </cell>
          <cell r="H8518">
            <v>5049665</v>
          </cell>
          <cell r="AK8518" t="str">
            <v>Mary Louise Radley</v>
          </cell>
        </row>
        <row r="8519">
          <cell r="C8519" t="str">
            <v>SEIU_CLC EA Project Support Ph10</v>
          </cell>
          <cell r="H8519">
            <v>5041705</v>
          </cell>
          <cell r="AK8519" t="str">
            <v>Eric Fairchild</v>
          </cell>
        </row>
        <row r="8520">
          <cell r="C8520" t="str">
            <v>PSECU Compliance RA</v>
          </cell>
          <cell r="H8520">
            <v>5048637</v>
          </cell>
          <cell r="AK8520" t="str">
            <v>Gail Rassler</v>
          </cell>
        </row>
        <row r="8521">
          <cell r="C8521" t="str">
            <v>HYPB_Risk Assessments</v>
          </cell>
          <cell r="H8521">
            <v>5049521</v>
          </cell>
          <cell r="AK8521" t="str">
            <v>Steve Manitzas</v>
          </cell>
        </row>
        <row r="8522">
          <cell r="C8522" t="str">
            <v>Recurring FAB_BSA Independent Testing</v>
          </cell>
          <cell r="H8522">
            <v>5049287</v>
          </cell>
          <cell r="AK8522" t="str">
            <v>William Sachs</v>
          </cell>
        </row>
        <row r="8523">
          <cell r="C8523" t="str">
            <v>Summit FG Compliance 23</v>
          </cell>
          <cell r="H8523">
            <v>5049229</v>
          </cell>
          <cell r="AK8523" t="str">
            <v>Kristina Slattery</v>
          </cell>
        </row>
        <row r="8524">
          <cell r="C8524" t="str">
            <v>Information Technology Security Risk Assessment</v>
          </cell>
          <cell r="H8524">
            <v>5048946</v>
          </cell>
          <cell r="AK8524" t="str">
            <v>Robert Farmer</v>
          </cell>
        </row>
        <row r="8525">
          <cell r="C8525" t="str">
            <v>Haven SB-FLSA</v>
          </cell>
          <cell r="H8525">
            <v>5049378</v>
          </cell>
          <cell r="AK8525" t="str">
            <v>Gail Rassler</v>
          </cell>
        </row>
        <row r="8526">
          <cell r="C8526" t="str">
            <v>HYPB - Compliance Monitoring</v>
          </cell>
          <cell r="H8526">
            <v>5049510</v>
          </cell>
          <cell r="AK8526" t="str">
            <v>Steve Manitzas</v>
          </cell>
        </row>
        <row r="8527">
          <cell r="C8527" t="str">
            <v>SVB_Payment Software Engineer - VK Jul - Dec</v>
          </cell>
          <cell r="H8527">
            <v>5049921</v>
          </cell>
          <cell r="AK8527" t="str">
            <v>Souma Basu</v>
          </cell>
        </row>
        <row r="8528">
          <cell r="C8528" t="str">
            <v>Nomura India CFTC rewrite resource</v>
          </cell>
          <cell r="H8528">
            <v>5049964</v>
          </cell>
          <cell r="AK8528" t="str">
            <v>Salim Modi</v>
          </cell>
        </row>
        <row r="8529">
          <cell r="C8529" t="str">
            <v>Pru GT DPS Contract API Team</v>
          </cell>
          <cell r="H8529">
            <v>5049833</v>
          </cell>
          <cell r="AK8529" t="str">
            <v>Harrison Corupe</v>
          </cell>
        </row>
        <row r="8530">
          <cell r="C8530" t="str">
            <v>Woodforest Bank Reg Data Feed 2023 - 2024</v>
          </cell>
          <cell r="H8530">
            <v>5050172</v>
          </cell>
          <cell r="AK8530" t="str">
            <v>Leah Robinson</v>
          </cell>
        </row>
        <row r="8531">
          <cell r="C8531" t="str">
            <v>Citi Margin Lending Zero Dollar Cost Extension</v>
          </cell>
          <cell r="H8531">
            <v>5047492</v>
          </cell>
          <cell r="AK8531" t="str">
            <v>Ervinas Janavicius</v>
          </cell>
        </row>
        <row r="8532">
          <cell r="C8532" t="str">
            <v>Comm Bank TN RAS Ext</v>
          </cell>
          <cell r="H8532">
            <v>5040189</v>
          </cell>
          <cell r="AK8532" t="str">
            <v>Rebecca Breland</v>
          </cell>
        </row>
        <row r="8533">
          <cell r="C8533" t="str">
            <v>Lifestore Bank RAS Ext</v>
          </cell>
          <cell r="H8533">
            <v>5040181</v>
          </cell>
          <cell r="AK8533" t="str">
            <v>Diane Banks</v>
          </cell>
        </row>
        <row r="8534">
          <cell r="C8534" t="str">
            <v>BrattleboroS&amp;L-RAS</v>
          </cell>
          <cell r="H8534">
            <v>5049821</v>
          </cell>
          <cell r="AK8534" t="str">
            <v>Diane Banks</v>
          </cell>
        </row>
        <row r="8535">
          <cell r="C8535" t="str">
            <v>TPRM Platform Reengineering Support</v>
          </cell>
          <cell r="H8535">
            <v>5049385</v>
          </cell>
          <cell r="AK8535" t="str">
            <v>Andy Soodek</v>
          </cell>
        </row>
        <row r="8536">
          <cell r="C8536" t="str">
            <v>Nat Capital Bank RAS 2023</v>
          </cell>
          <cell r="H8536">
            <v>5049855</v>
          </cell>
          <cell r="AK8536" t="str">
            <v>Diane Banks</v>
          </cell>
        </row>
        <row r="8537">
          <cell r="C8537" t="str">
            <v>Woodforest RAS Ext</v>
          </cell>
          <cell r="H8537">
            <v>5039573</v>
          </cell>
          <cell r="AK8537" t="str">
            <v>Rebecca Breland</v>
          </cell>
        </row>
        <row r="8538">
          <cell r="C8538" t="str">
            <v>First United Bank RAS Ext</v>
          </cell>
          <cell r="H8538">
            <v>5040128</v>
          </cell>
          <cell r="AK8538" t="str">
            <v>Diane Banks</v>
          </cell>
        </row>
        <row r="8539">
          <cell r="C8539" t="str">
            <v>EOT ILM H2 2023</v>
          </cell>
          <cell r="H8539">
            <v>5046317</v>
          </cell>
          <cell r="AK8539" t="str">
            <v>Kalkidan Tedla</v>
          </cell>
        </row>
        <row r="8540">
          <cell r="C8540" t="str">
            <v>DB-CBIB-RCP-IT-CM UKUS Q3 2023</v>
          </cell>
          <cell r="H8540">
            <v>5050024</v>
          </cell>
          <cell r="AK8540" t="str">
            <v>Ruby Cherian</v>
          </cell>
        </row>
        <row r="8541">
          <cell r="C8541" t="str">
            <v>Negative_Recurring FAB_BSA Independent Testing</v>
          </cell>
          <cell r="H8541">
            <v>5049287</v>
          </cell>
          <cell r="AK8541" t="str">
            <v>William Sachs</v>
          </cell>
        </row>
        <row r="8542">
          <cell r="C8542" t="str">
            <v>FrMc_Payment Modernization (SOW 6477-06)</v>
          </cell>
          <cell r="H8542">
            <v>5043741</v>
          </cell>
          <cell r="AK8542" t="str">
            <v>Kalkidan Tedla</v>
          </cell>
        </row>
        <row r="8543">
          <cell r="C8543" t="str">
            <v>Trustco Comparative File Reviews</v>
          </cell>
          <cell r="H8543">
            <v>5049932</v>
          </cell>
          <cell r="AK8543" t="str">
            <v>Leigh Tribou</v>
          </cell>
        </row>
        <row r="8544">
          <cell r="C8544" t="str">
            <v>SVB_BP Reg Reporting Q32023</v>
          </cell>
          <cell r="H8544">
            <v>5049801</v>
          </cell>
          <cell r="AK8544" t="str">
            <v>Nitin Raju</v>
          </cell>
        </row>
        <row r="8545">
          <cell r="C8545" t="str">
            <v>Jeff_Global Operations Technology Support Renewal</v>
          </cell>
          <cell r="H8545">
            <v>5046927</v>
          </cell>
          <cell r="AK8545" t="str">
            <v>John McCaffrey</v>
          </cell>
        </row>
        <row r="8546">
          <cell r="C8546" t="str">
            <v>MS ISG Operations - Salim Ext</v>
          </cell>
          <cell r="H8546">
            <v>5049094</v>
          </cell>
          <cell r="AK8546" t="str">
            <v>Ruben Sooriya</v>
          </cell>
        </row>
        <row r="8547">
          <cell r="C8547" t="str">
            <v>Jeff_Compliance Portal UI/UX Revenue Adjustments</v>
          </cell>
          <cell r="H8547">
            <v>5050006</v>
          </cell>
          <cell r="AK8547" t="str">
            <v>John McCaffrey</v>
          </cell>
        </row>
        <row r="8548">
          <cell r="C8548" t="str">
            <v>HYPB - BSA Services</v>
          </cell>
          <cell r="H8548">
            <v>5049508</v>
          </cell>
          <cell r="AK8548" t="str">
            <v>Steve Manitzas</v>
          </cell>
        </row>
        <row r="8549">
          <cell r="C8549" t="str">
            <v>DB-PB-WLT-IT-Novo July 2023 Extension</v>
          </cell>
          <cell r="H8549">
            <v>5048864</v>
          </cell>
          <cell r="AK8549" t="str">
            <v>Ruby Cherian</v>
          </cell>
        </row>
        <row r="8550">
          <cell r="C8550" t="str">
            <v>FCB Banks RAS Ext</v>
          </cell>
          <cell r="H8550">
            <v>5039486</v>
          </cell>
          <cell r="AK8550" t="str">
            <v>Diane Banks</v>
          </cell>
        </row>
        <row r="8551">
          <cell r="C8551" t="str">
            <v>Napoleon State Bank RAS Ext</v>
          </cell>
          <cell r="H8551">
            <v>5040135</v>
          </cell>
          <cell r="AK8551" t="str">
            <v>Travis Peraza</v>
          </cell>
        </row>
        <row r="8552">
          <cell r="C8552" t="str">
            <v>Summit Fin Group RAS ext</v>
          </cell>
          <cell r="H8552">
            <v>5039554</v>
          </cell>
          <cell r="AK8552" t="str">
            <v>Rebecca Breland</v>
          </cell>
        </row>
        <row r="8553">
          <cell r="C8553" t="str">
            <v>Citizens Bank &amp; Trust RAS Ext</v>
          </cell>
          <cell r="H8553">
            <v>5040114</v>
          </cell>
          <cell r="AK8553" t="str">
            <v>Rebecca Breland</v>
          </cell>
        </row>
        <row r="8554">
          <cell r="C8554" t="str">
            <v>FrMc_IT Issue Mgmt QA Q3 Ext</v>
          </cell>
          <cell r="H8554">
            <v>5048704</v>
          </cell>
          <cell r="AK8554" t="str">
            <v>Aaron Morgia</v>
          </cell>
        </row>
        <row r="8555">
          <cell r="C8555" t="str">
            <v>FI COO Project Support</v>
          </cell>
          <cell r="H8555">
            <v>5049025</v>
          </cell>
          <cell r="AK8555" t="str">
            <v>Christina Artieda</v>
          </cell>
        </row>
        <row r="8556">
          <cell r="C8556" t="str">
            <v>FrMc_ICM Dev Support Role Ext (SA)</v>
          </cell>
          <cell r="H8556">
            <v>5046062</v>
          </cell>
          <cell r="AK8556" t="str">
            <v>Kalkidan Tedla</v>
          </cell>
        </row>
        <row r="8557">
          <cell r="C8557" t="str">
            <v>Goldman Sachs - India CTB PM</v>
          </cell>
          <cell r="H8557">
            <v>5050097</v>
          </cell>
          <cell r="AK8557" t="str">
            <v>Kashmira Sudhir Ajgaonkar</v>
          </cell>
        </row>
        <row r="8558">
          <cell r="C8558" t="str">
            <v>Battle Bank System Integrator Extension - Phase 6</v>
          </cell>
          <cell r="H8558">
            <v>5045876</v>
          </cell>
          <cell r="AK8558" t="str">
            <v>James Kane</v>
          </cell>
        </row>
        <row r="8559">
          <cell r="C8559" t="str">
            <v>HNB Q2 Q3 FY2024 CRB Digital Engineering Extension</v>
          </cell>
          <cell r="H8559">
            <v>5049823</v>
          </cell>
          <cell r="AK8559" t="str">
            <v>Stephanie Doyle</v>
          </cell>
        </row>
        <row r="8560">
          <cell r="C8560" t="str">
            <v>IBOR Close Out</v>
          </cell>
          <cell r="H8560">
            <v>5048339</v>
          </cell>
          <cell r="AK8560" t="str">
            <v>Conor Dowling</v>
          </cell>
        </row>
        <row r="8561">
          <cell r="C8561" t="str">
            <v>SMBC Credit Self Clearing</v>
          </cell>
          <cell r="H8561">
            <v>5049905</v>
          </cell>
          <cell r="AK8561" t="str">
            <v>Thanh Le Xuan</v>
          </cell>
        </row>
        <row r="8562">
          <cell r="C8562" t="str">
            <v>Mastercard M+A Staffing Extension 2</v>
          </cell>
          <cell r="H8562">
            <v>5045576</v>
          </cell>
          <cell r="AK8562" t="str">
            <v>Nitin Raju</v>
          </cell>
        </row>
        <row r="8563">
          <cell r="C8563" t="str">
            <v>Jefferies BSA/AML: Lukas Holland</v>
          </cell>
          <cell r="H8563">
            <v>5048814</v>
          </cell>
          <cell r="AK8563" t="str">
            <v>John Clifford</v>
          </cell>
        </row>
        <row r="8564">
          <cell r="C8564" t="str">
            <v>Cacib_Cyber PM 2 Extension</v>
          </cell>
          <cell r="H8564">
            <v>5045744</v>
          </cell>
          <cell r="AK8564" t="str">
            <v>Garry Harvey</v>
          </cell>
        </row>
        <row r="8565">
          <cell r="C8565" t="str">
            <v>PPP Loan Review Resource Extension</v>
          </cell>
          <cell r="H8565">
            <v>5049273</v>
          </cell>
          <cell r="AK8565" t="str">
            <v>Charles Lynn Piper</v>
          </cell>
        </row>
        <row r="8566">
          <cell r="C8566" t="str">
            <v>Key Process AMD 11</v>
          </cell>
          <cell r="H8566">
            <v>5042840</v>
          </cell>
          <cell r="AK8566" t="str">
            <v>Samuel Awsumb</v>
          </cell>
        </row>
        <row r="8567">
          <cell r="C8567" t="str">
            <v>MF Modern Delivery (SA) Role Additions</v>
          </cell>
          <cell r="H8567">
            <v>5044802</v>
          </cell>
          <cell r="AK8567" t="str">
            <v>Kalkidan Tedla</v>
          </cell>
        </row>
        <row r="8568">
          <cell r="C8568" t="str">
            <v>PPP Loan Review Resource Extension</v>
          </cell>
          <cell r="H8568">
            <v>5049273</v>
          </cell>
          <cell r="AK8568" t="str">
            <v>Charles Lynn Piper</v>
          </cell>
        </row>
        <row r="8569">
          <cell r="C8569" t="str">
            <v>PGIM Tech Uplift Q3 Extension</v>
          </cell>
          <cell r="H8569">
            <v>5047182</v>
          </cell>
          <cell r="AK8569" t="str">
            <v>Lauren Somma</v>
          </cell>
        </row>
        <row r="8570">
          <cell r="C8570" t="str">
            <v>EGM_SCREEN 2.0 Development Resources Q3 &amp; Q4 2023</v>
          </cell>
          <cell r="H8570">
            <v>5048079</v>
          </cell>
          <cell r="AK8570" t="str">
            <v>Brett Knickle</v>
          </cell>
        </row>
        <row r="8571">
          <cell r="C8571" t="str">
            <v>Jeff_Compliance Portal UI/UX Designer</v>
          </cell>
          <cell r="H8571">
            <v>5050006</v>
          </cell>
          <cell r="AK8571" t="str">
            <v>John McCaffrey</v>
          </cell>
        </row>
        <row r="8572">
          <cell r="C8572" t="str">
            <v>Jefferies Tier 1 Architecht Support</v>
          </cell>
          <cell r="H8572">
            <v>5050065</v>
          </cell>
          <cell r="AK8572" t="str">
            <v>John McCaffrey</v>
          </cell>
        </row>
        <row r="8573">
          <cell r="C8573" t="str">
            <v>BKU Managed Services Extension</v>
          </cell>
          <cell r="H8573">
            <v>5048806</v>
          </cell>
          <cell r="AK8573" t="str">
            <v>Kevin Miologos</v>
          </cell>
        </row>
        <row r="8574">
          <cell r="C8574" t="str">
            <v>HNB Q2 Q3 FY2024 Core Mod Support Extension</v>
          </cell>
          <cell r="H8574">
            <v>5049831</v>
          </cell>
          <cell r="AK8574" t="str">
            <v>Matt Mason</v>
          </cell>
        </row>
        <row r="8575">
          <cell r="C8575" t="str">
            <v>HNB Q2 - Q3 FY2024 PCG and Wealth IT Extension</v>
          </cell>
          <cell r="H8575">
            <v>5049822</v>
          </cell>
          <cell r="AK8575" t="str">
            <v>Francine Chye</v>
          </cell>
        </row>
        <row r="8576">
          <cell r="C8576" t="str">
            <v>HighPeak Acusite Q3 2023</v>
          </cell>
          <cell r="H8576">
            <v>5046910</v>
          </cell>
          <cell r="AK8576" t="str">
            <v>Laura D'Alessandro</v>
          </cell>
        </row>
        <row r="8577">
          <cell r="C8577" t="str">
            <v>MS Data KG Global - Lead - US</v>
          </cell>
          <cell r="H8577">
            <v>5049900</v>
          </cell>
          <cell r="AK8577" t="str">
            <v>Erik Johnson</v>
          </cell>
        </row>
        <row r="8578">
          <cell r="C8578" t="str">
            <v>Rosedale Federal MQC</v>
          </cell>
          <cell r="H8578">
            <v>5050176</v>
          </cell>
          <cell r="AK8578" t="str">
            <v>Christian Maier</v>
          </cell>
        </row>
        <row r="8579">
          <cell r="C8579" t="str">
            <v>MARSH - Change &amp; Comms</v>
          </cell>
          <cell r="H8579">
            <v>5049191</v>
          </cell>
          <cell r="AK8579" t="str">
            <v>Casey Schaffer</v>
          </cell>
        </row>
        <row r="8580">
          <cell r="C8580" t="str">
            <v>SVB_UK Divesture Data Workstream Management</v>
          </cell>
          <cell r="H8580">
            <v>5049777</v>
          </cell>
          <cell r="AK8580" t="str">
            <v>Christopher Tecchio</v>
          </cell>
        </row>
        <row r="8581">
          <cell r="C8581" t="str">
            <v>Nestle Dodd Frank Reporting</v>
          </cell>
          <cell r="H8581">
            <v>5050135</v>
          </cell>
          <cell r="AK8581" t="str">
            <v>Salim Modi</v>
          </cell>
        </row>
        <row r="8582">
          <cell r="C8582" t="str">
            <v>MS_TPPM_Onboarding Redesign &amp; EV Vendor Integration</v>
          </cell>
          <cell r="H8582">
            <v>5049206</v>
          </cell>
          <cell r="AK8582" t="str">
            <v>Dan Schutzman</v>
          </cell>
        </row>
        <row r="8583">
          <cell r="C8583" t="str">
            <v>Distribution Service - Pru Annuities Pilot</v>
          </cell>
          <cell r="H8583">
            <v>5049758</v>
          </cell>
          <cell r="AK8583" t="str">
            <v>Eric Fairchild</v>
          </cell>
        </row>
        <row r="8584">
          <cell r="C8584" t="str">
            <v>Distribution Service - Pru Annuities Pilot</v>
          </cell>
          <cell r="H8584">
            <v>5049758</v>
          </cell>
          <cell r="AK8584" t="str">
            <v>Eric Fairchild</v>
          </cell>
        </row>
        <row r="8585">
          <cell r="C8585" t="str">
            <v>First Citizens_FDIC 370 Phase 2 Execution</v>
          </cell>
          <cell r="H8585">
            <v>5049950</v>
          </cell>
          <cell r="AK8585" t="str">
            <v>Lee Leonard</v>
          </cell>
        </row>
        <row r="8586">
          <cell r="C8586" t="str">
            <v>Cross River_FDIC Remediation</v>
          </cell>
          <cell r="H8586">
            <v>5048375</v>
          </cell>
          <cell r="AK8586" t="str">
            <v>Eric Van Epps</v>
          </cell>
        </row>
        <row r="8587">
          <cell r="C8587" t="str">
            <v>Cross River_FDIC Remediation</v>
          </cell>
          <cell r="H8587">
            <v>5048375</v>
          </cell>
          <cell r="AK8587" t="str">
            <v>Eric Van Epps</v>
          </cell>
        </row>
        <row r="8588">
          <cell r="C8588" t="str">
            <v>Imprint Change Management Gap Analysis</v>
          </cell>
          <cell r="H8588">
            <v>5049554</v>
          </cell>
          <cell r="AK8588" t="str">
            <v>Mary Louise Radley</v>
          </cell>
        </row>
        <row r="8589">
          <cell r="C8589" t="str">
            <v>FrMc_EOT PM Demand (SA)</v>
          </cell>
          <cell r="H8589">
            <v>5049841</v>
          </cell>
          <cell r="AK8589" t="str">
            <v>Jason Willenberg</v>
          </cell>
        </row>
        <row r="8590">
          <cell r="C8590" t="str">
            <v>Negative_GRC Implementation Consulting, Support and Compliance Content</v>
          </cell>
          <cell r="H8590">
            <v>5050028</v>
          </cell>
          <cell r="AK8590" t="str">
            <v>Tania Makuh</v>
          </cell>
        </row>
        <row r="8591">
          <cell r="C8591" t="str">
            <v>GRC Implementation Consulting, Support and Compliance Content</v>
          </cell>
          <cell r="H8591">
            <v>5050028</v>
          </cell>
          <cell r="AK8591" t="str">
            <v>Tania Makuh</v>
          </cell>
        </row>
        <row r="8592">
          <cell r="C8592" t="str">
            <v>United Trust Bank - CRA PE</v>
          </cell>
          <cell r="H8592">
            <v>5049605</v>
          </cell>
          <cell r="AK8592" t="str">
            <v>Elanna Kooistra</v>
          </cell>
        </row>
        <row r="8593">
          <cell r="C8593" t="str">
            <v>Digital Products &amp; Services -  IDeX Team Quality Boost</v>
          </cell>
          <cell r="H8593">
            <v>5050021</v>
          </cell>
          <cell r="AK8593" t="str">
            <v>Bharath Chikkamaranahalli Bhaskar</v>
          </cell>
        </row>
        <row r="8594">
          <cell r="C8594" t="str">
            <v>BMO CX Current State Assessment</v>
          </cell>
          <cell r="H8594">
            <v>5049839</v>
          </cell>
          <cell r="AK8594" t="str">
            <v>Louisa Butler</v>
          </cell>
        </row>
        <row r="8595">
          <cell r="C8595" t="str">
            <v>Citizens trust bank RAS Ext</v>
          </cell>
          <cell r="H8595">
            <v>5046649</v>
          </cell>
          <cell r="AK8595" t="str">
            <v>Diane Banks</v>
          </cell>
        </row>
        <row r="8596">
          <cell r="C8596" t="str">
            <v>CNB TLM 2023</v>
          </cell>
          <cell r="H8596">
            <v>5048047</v>
          </cell>
          <cell r="AK8596" t="str">
            <v>Betsy Cherian</v>
          </cell>
        </row>
        <row r="8597">
          <cell r="C8597" t="str">
            <v>KB Data Roadmap &amp; QBR Support</v>
          </cell>
          <cell r="H8597">
            <v>5050014</v>
          </cell>
          <cell r="AK8597" t="str">
            <v>Conor Hodnett</v>
          </cell>
        </row>
        <row r="8598">
          <cell r="C8598" t="str">
            <v>DB-CAO-AFC-BC-AFC Modeling Extn H22023</v>
          </cell>
          <cell r="H8598">
            <v>5044647</v>
          </cell>
          <cell r="AK8598" t="str">
            <v>Ruby Cherian</v>
          </cell>
        </row>
        <row r="8599">
          <cell r="C8599" t="str">
            <v>Jeff_Wealth Future State Design</v>
          </cell>
          <cell r="H8599">
            <v>5050072</v>
          </cell>
          <cell r="AK8599" t="str">
            <v>Raymond Ortiz II</v>
          </cell>
        </row>
        <row r="8600">
          <cell r="C8600" t="str">
            <v>WF CIB Inline QA/QC</v>
          </cell>
          <cell r="H8600">
            <v>5048651</v>
          </cell>
          <cell r="AK8600" t="str">
            <v>Pranay Kalra</v>
          </cell>
        </row>
        <row r="8601">
          <cell r="C8601" t="str">
            <v>HNB_Backend Developers - UBRD</v>
          </cell>
          <cell r="H8601">
            <v>5049831</v>
          </cell>
          <cell r="AK8601" t="str">
            <v>Matt Mason</v>
          </cell>
        </row>
        <row r="8602">
          <cell r="C8602" t="str">
            <v>Assurance - Marketing Oversight</v>
          </cell>
          <cell r="H8602">
            <v>5050030</v>
          </cell>
          <cell r="AK8602" t="str">
            <v>Eric Fairchild</v>
          </cell>
        </row>
        <row r="8603">
          <cell r="C8603" t="str">
            <v>Sabadell - Compliance Risk Assessments</v>
          </cell>
          <cell r="H8603">
            <v>5049551</v>
          </cell>
          <cell r="AK8603" t="str">
            <v>Robert Farmer</v>
          </cell>
        </row>
        <row r="8604">
          <cell r="C8604" t="str">
            <v>HSBC OCC - Negative sale</v>
          </cell>
          <cell r="H8604">
            <v>5044484</v>
          </cell>
          <cell r="AK8604" t="str">
            <v>Rahul Govada</v>
          </cell>
        </row>
        <row r="8605">
          <cell r="C8605" t="str">
            <v>Extension Vuln Mgt - Ciara</v>
          </cell>
          <cell r="H8605">
            <v>5049370</v>
          </cell>
          <cell r="AK8605" t="str">
            <v>Boris Mallet</v>
          </cell>
        </row>
        <row r="8606">
          <cell r="C8606" t="str">
            <v>SVB_DevOps SRE Engineer - LS H2 2023</v>
          </cell>
          <cell r="H8606">
            <v>5050045</v>
          </cell>
          <cell r="AK8606" t="str">
            <v>Souma Basu</v>
          </cell>
        </row>
        <row r="8607">
          <cell r="C8607" t="str">
            <v>SVB_DevOps SRE Engineer - JR H2 2023</v>
          </cell>
          <cell r="H8607">
            <v>5050044</v>
          </cell>
          <cell r="AK8607" t="str">
            <v>Souma Basu</v>
          </cell>
        </row>
        <row r="8608">
          <cell r="C8608" t="str">
            <v>Premier Bank - FARB &amp; CRA Staff Aug</v>
          </cell>
          <cell r="H8608">
            <v>5049334</v>
          </cell>
          <cell r="AK8608" t="str">
            <v>Leigh Tribou</v>
          </cell>
        </row>
        <row r="8609">
          <cell r="C8609" t="str">
            <v>SVB_Backend Engineer H2 2023</v>
          </cell>
          <cell r="H8609">
            <v>5050043</v>
          </cell>
          <cell r="AK8609" t="str">
            <v>Souma Basu</v>
          </cell>
        </row>
        <row r="8610">
          <cell r="C8610" t="str">
            <v>HNB Q2 Q3 FY2024 VMO Support Extension</v>
          </cell>
          <cell r="H8610">
            <v>5050078</v>
          </cell>
          <cell r="AK8610" t="str">
            <v>Michael Guerrero</v>
          </cell>
        </row>
        <row r="8611">
          <cell r="C8611" t="str">
            <v>Jeff_Equities global test manager ext</v>
          </cell>
          <cell r="H8611">
            <v>5050079</v>
          </cell>
          <cell r="AK8611" t="str">
            <v>Sri Nonabur Srinivasamurthy</v>
          </cell>
        </row>
        <row r="8612">
          <cell r="C8612" t="str">
            <v>Ridgewood SB CMS Support</v>
          </cell>
          <cell r="H8612">
            <v>5050015</v>
          </cell>
          <cell r="AK8612" t="str">
            <v>Mary Louise Radley</v>
          </cell>
        </row>
        <row r="8613">
          <cell r="C8613" t="str">
            <v>Compliance Monitoring Reviews</v>
          </cell>
          <cell r="H8613">
            <v>5050051</v>
          </cell>
          <cell r="AK8613" t="str">
            <v>Steve Manitzas</v>
          </cell>
        </row>
        <row r="8614">
          <cell r="C8614" t="str">
            <v>RECURRING BOSF_BSA RA Update</v>
          </cell>
          <cell r="H8614">
            <v>5049573</v>
          </cell>
          <cell r="AK8614" t="str">
            <v>Charles Lynn Piper</v>
          </cell>
        </row>
        <row r="8615">
          <cell r="C8615" t="str">
            <v>Texas National Bank - Verafin Optimization</v>
          </cell>
          <cell r="H8615">
            <v>5047994</v>
          </cell>
          <cell r="AK8615" t="str">
            <v>William Sachs</v>
          </cell>
        </row>
        <row r="8616">
          <cell r="C8616" t="str">
            <v>BSA AML Audit - Toast Inc.</v>
          </cell>
          <cell r="H8616">
            <v>5049697</v>
          </cell>
          <cell r="AK8616" t="str">
            <v>Mary Louise Radley</v>
          </cell>
        </row>
        <row r="8617">
          <cell r="C8617" t="str">
            <v>SSFCU RAS Ext</v>
          </cell>
          <cell r="H8617">
            <v>5040197</v>
          </cell>
          <cell r="AK8617" t="str">
            <v>Diane Banks</v>
          </cell>
        </row>
        <row r="8618">
          <cell r="C8618" t="str">
            <v>Citi_Global Wealth Margin Lending Data Tech Q2 Extension</v>
          </cell>
          <cell r="H8618">
            <v>5050062</v>
          </cell>
          <cell r="AK8618" t="str">
            <v>Raymond Ortiz II</v>
          </cell>
        </row>
        <row r="8619">
          <cell r="C8619" t="str">
            <v>Consulting - Compliance Reviews</v>
          </cell>
          <cell r="H8619">
            <v>5050087</v>
          </cell>
          <cell r="AK8619" t="str">
            <v>Louvera Walden</v>
          </cell>
        </row>
        <row r="8620">
          <cell r="C8620" t="str">
            <v>MSWM_Digital Marketing_Sunrise Extensions</v>
          </cell>
          <cell r="H8620">
            <v>5049190</v>
          </cell>
          <cell r="AK8620" t="str">
            <v>Dan Schutzman</v>
          </cell>
        </row>
        <row r="8621">
          <cell r="C8621" t="str">
            <v>Vermilion Bank&amp;trust RAS Ext</v>
          </cell>
          <cell r="H8621">
            <v>5040201</v>
          </cell>
          <cell r="AK8621" t="str">
            <v>Diane Banks</v>
          </cell>
        </row>
        <row r="8622">
          <cell r="C8622" t="str">
            <v>TrustCo Bank RAS Ext</v>
          </cell>
          <cell r="H8622">
            <v>5040198</v>
          </cell>
          <cell r="AK8622" t="str">
            <v>Diane Banks</v>
          </cell>
        </row>
        <row r="8623">
          <cell r="C8623" t="str">
            <v>Greenfield Savings Bank RAS '24-25</v>
          </cell>
          <cell r="H8623">
            <v>5040103</v>
          </cell>
          <cell r="AK8623" t="str">
            <v>Diane Banks</v>
          </cell>
        </row>
        <row r="8624">
          <cell r="C8624" t="str">
            <v>Digital Banking Risk Assessment</v>
          </cell>
          <cell r="H8624">
            <v>5049023</v>
          </cell>
          <cell r="AK8624" t="str">
            <v>Robert Farmer</v>
          </cell>
        </row>
        <row r="8625">
          <cell r="C8625" t="str">
            <v>Central Bank TN RAS Ext</v>
          </cell>
          <cell r="H8625">
            <v>5040113</v>
          </cell>
          <cell r="AK8625" t="str">
            <v>Diane Banks</v>
          </cell>
        </row>
        <row r="8626">
          <cell r="C8626" t="str">
            <v>Focus Bank RAS Ext</v>
          </cell>
          <cell r="H8626">
            <v>5040179</v>
          </cell>
          <cell r="AK8626" t="str">
            <v>Diane Banks</v>
          </cell>
        </row>
        <row r="8627">
          <cell r="C8627" t="str">
            <v>SMBC_FIST Project Manager</v>
          </cell>
          <cell r="H8627">
            <v>5049025</v>
          </cell>
          <cell r="AK8627" t="str">
            <v>Christina Artieda</v>
          </cell>
        </row>
        <row r="8628">
          <cell r="C8628" t="str">
            <v>Freddie Rebate - Banking</v>
          </cell>
          <cell r="H8628">
            <v>5050066</v>
          </cell>
          <cell r="AK8628" t="str">
            <v>Andrew Gantz</v>
          </cell>
        </row>
        <row r="8629">
          <cell r="C8629" t="str">
            <v>Southeastern Bank RAS Ext</v>
          </cell>
          <cell r="H8629">
            <v>5039551</v>
          </cell>
          <cell r="AK8629" t="str">
            <v>Rebecca Breland</v>
          </cell>
        </row>
        <row r="8630">
          <cell r="C8630" t="str">
            <v>Sawyer Savings Bank RAS 2024</v>
          </cell>
          <cell r="H8630">
            <v>5040196</v>
          </cell>
          <cell r="AK8630" t="str">
            <v>Diane Banks</v>
          </cell>
        </row>
        <row r="8631">
          <cell r="C8631" t="str">
            <v>FrMc_Trust Cash Admin</v>
          </cell>
          <cell r="H8631">
            <v>5050131</v>
          </cell>
          <cell r="AK8631" t="str">
            <v>Kalkidan Tedla</v>
          </cell>
        </row>
        <row r="8632">
          <cell r="C8632" t="str">
            <v>Ames Nat Corp RAS Ext</v>
          </cell>
          <cell r="H8632">
            <v>5040191</v>
          </cell>
          <cell r="AK8632" t="str">
            <v>Rebecca Breland</v>
          </cell>
        </row>
        <row r="8633">
          <cell r="C8633" t="str">
            <v>Ops Business Manager Ext</v>
          </cell>
          <cell r="H8633">
            <v>5049383</v>
          </cell>
          <cell r="AK8633" t="str">
            <v>Matthew Rodgers</v>
          </cell>
        </row>
        <row r="8634">
          <cell r="C8634" t="str">
            <v>TBB BSA Support</v>
          </cell>
          <cell r="H8634">
            <v>5049992</v>
          </cell>
          <cell r="AK8634" t="str">
            <v>William Sachs</v>
          </cell>
        </row>
        <row r="8635">
          <cell r="C8635" t="str">
            <v>Chain Bridge Bank BSA Monitoring</v>
          </cell>
          <cell r="H8635">
            <v>5050042</v>
          </cell>
          <cell r="AK8635" t="str">
            <v>W. Annette Dredden</v>
          </cell>
        </row>
        <row r="8636">
          <cell r="C8636" t="str">
            <v>Trustco Bank FL and CRA General Consulting Services</v>
          </cell>
          <cell r="H8636">
            <v>5050164</v>
          </cell>
          <cell r="AK8636" t="str">
            <v>Elanna Kooistra</v>
          </cell>
        </row>
        <row r="8637">
          <cell r="C8637" t="str">
            <v>Modern Bank RAS Ext</v>
          </cell>
          <cell r="H8637">
            <v>5040355</v>
          </cell>
          <cell r="AK8637" t="str">
            <v>Diane Banks</v>
          </cell>
        </row>
        <row r="8638">
          <cell r="C8638" t="str">
            <v>FrMc_Issue Mgmt 1586 Ext</v>
          </cell>
          <cell r="H8638">
            <v>5048726</v>
          </cell>
          <cell r="AK8638" t="str">
            <v>Jorge Padilla</v>
          </cell>
        </row>
        <row r="8639">
          <cell r="C8639" t="str">
            <v>BSA Independent Testing</v>
          </cell>
          <cell r="H8639">
            <v>5050007</v>
          </cell>
          <cell r="AK8639" t="str">
            <v>William Sachs</v>
          </cell>
        </row>
        <row r="8640">
          <cell r="C8640" t="str">
            <v>Northfield Bank RAS ext</v>
          </cell>
          <cell r="H8640">
            <v>5039695</v>
          </cell>
          <cell r="AK8640" t="str">
            <v>Diane Banks</v>
          </cell>
        </row>
        <row r="8641">
          <cell r="C8641" t="str">
            <v>City First Bank CMS</v>
          </cell>
          <cell r="H8641">
            <v>5050220</v>
          </cell>
          <cell r="AK8641" t="str">
            <v>W. Annette Dredden</v>
          </cell>
        </row>
        <row r="8642">
          <cell r="C8642" t="str">
            <v>SNB Bank NA RAS Ext</v>
          </cell>
          <cell r="H8642">
            <v>5042823</v>
          </cell>
          <cell r="AK8642" t="str">
            <v>Diane Banks</v>
          </cell>
        </row>
        <row r="8643">
          <cell r="C8643" t="str">
            <v>Global Wealth Margin Lending Implementation Q2 Extension</v>
          </cell>
          <cell r="H8643">
            <v>5050064</v>
          </cell>
          <cell r="AK8643" t="str">
            <v>Raymond Ortiz II</v>
          </cell>
        </row>
        <row r="8644">
          <cell r="C8644" t="str">
            <v>FrMc_MF (SA) role extension</v>
          </cell>
          <cell r="H8644">
            <v>5044802</v>
          </cell>
          <cell r="AK8644" t="str">
            <v>Kalkidan Tedla</v>
          </cell>
        </row>
        <row r="8645">
          <cell r="C8645" t="str">
            <v>Blue Ocean Solutions RAS Ext</v>
          </cell>
          <cell r="H8645">
            <v>5042741</v>
          </cell>
          <cell r="AK8645" t="str">
            <v>Rebecca Breland</v>
          </cell>
        </row>
        <row r="8646">
          <cell r="C8646" t="str">
            <v>FrMc_Trust Cash Admin</v>
          </cell>
          <cell r="H8646">
            <v>5050131</v>
          </cell>
          <cell r="AK8646" t="str">
            <v>Kalkidan Tedla</v>
          </cell>
        </row>
        <row r="8647">
          <cell r="C8647" t="str">
            <v>5Star Bank RAS Ext</v>
          </cell>
          <cell r="H8647">
            <v>5040102</v>
          </cell>
          <cell r="AK8647" t="str">
            <v>Rebecca Breland</v>
          </cell>
        </row>
        <row r="8648">
          <cell r="C8648" t="str">
            <v>FW Bank RAS Ext</v>
          </cell>
          <cell r="H8648">
            <v>5043191</v>
          </cell>
          <cell r="AK8648" t="str">
            <v>Rebecca Breland</v>
          </cell>
        </row>
        <row r="8649">
          <cell r="C8649" t="str">
            <v>Jeff_GEP Q3 Extension</v>
          </cell>
          <cell r="H8649">
            <v>5046868</v>
          </cell>
          <cell r="AK8649" t="str">
            <v>Conor Dowling</v>
          </cell>
        </row>
        <row r="8650">
          <cell r="C8650" t="str">
            <v>Key Process AMD 12</v>
          </cell>
          <cell r="H8650">
            <v>5042840</v>
          </cell>
          <cell r="AK8650" t="str">
            <v>Samuel Awsumb</v>
          </cell>
        </row>
        <row r="8651">
          <cell r="C8651" t="str">
            <v>MSIM_Calvert_Responsible Investment Solutions Integration_PMO</v>
          </cell>
          <cell r="H8651">
            <v>5049580</v>
          </cell>
          <cell r="AK8651" t="str">
            <v>Dan Schutzman</v>
          </cell>
        </row>
        <row r="8652">
          <cell r="C8652" t="str">
            <v>Reoccurring - Preferred Bank Compliance Audit</v>
          </cell>
          <cell r="H8652">
            <v>5048995</v>
          </cell>
          <cell r="AK8652" t="str">
            <v>Mary Louise Radley</v>
          </cell>
        </row>
        <row r="8653">
          <cell r="C8653" t="str">
            <v>Reoccurring - Preferred Bank Mortgage Ops &amp; Compliance Audit</v>
          </cell>
          <cell r="H8653">
            <v>5048996</v>
          </cell>
          <cell r="AK8653" t="str">
            <v>Mary Louise Radley</v>
          </cell>
        </row>
        <row r="8654">
          <cell r="C8654" t="str">
            <v>Abacus AML Support Extension Aug 18</v>
          </cell>
          <cell r="H8654">
            <v>5049254</v>
          </cell>
          <cell r="AK8654" t="str">
            <v>Anthony Abruzzo</v>
          </cell>
        </row>
        <row r="8655">
          <cell r="C8655" t="str">
            <v>Towne Bank RAS Ext</v>
          </cell>
          <cell r="H8655">
            <v>5040199</v>
          </cell>
          <cell r="AK8655" t="str">
            <v>Diane Banks</v>
          </cell>
        </row>
        <row r="8656">
          <cell r="C8656" t="str">
            <v>HELOC Compliance Support</v>
          </cell>
          <cell r="H8656">
            <v>5050255</v>
          </cell>
          <cell r="AK8656" t="str">
            <v>Thuy Whitaker</v>
          </cell>
        </row>
        <row r="8657">
          <cell r="C8657" t="str">
            <v>USB_RMS Phase 1</v>
          </cell>
          <cell r="H8657">
            <v>5050112</v>
          </cell>
          <cell r="AK8657" t="str">
            <v>Gwen Long</v>
          </cell>
        </row>
        <row r="8658">
          <cell r="C8658" t="str">
            <v>FrMc_EOT Minor Issues PM (SA)</v>
          </cell>
          <cell r="H8658">
            <v>5049841</v>
          </cell>
          <cell r="AK8658" t="str">
            <v>Jason Willenberg</v>
          </cell>
        </row>
        <row r="8659">
          <cell r="C8659" t="str">
            <v>Surveillance AVP Resource</v>
          </cell>
          <cell r="H8659">
            <v>5050155</v>
          </cell>
          <cell r="AK8659" t="str">
            <v>Samuel Desta</v>
          </cell>
        </row>
        <row r="8660">
          <cell r="C8660" t="str">
            <v>FrMc_ICM Modernization</v>
          </cell>
          <cell r="H8660">
            <v>5050178</v>
          </cell>
          <cell r="AK8660" t="str">
            <v>Kalkidan Tedla</v>
          </cell>
        </row>
        <row r="8661">
          <cell r="C8661" t="str">
            <v>FrMc_Staff Aug Pilot Add Role (SA)</v>
          </cell>
          <cell r="H8661">
            <v>5049562</v>
          </cell>
          <cell r="AK8661" t="str">
            <v>Johnny Gabert</v>
          </cell>
        </row>
        <row r="8662">
          <cell r="C8662" t="str">
            <v>SVB_Data Policy Risk and Control H2 CY23</v>
          </cell>
          <cell r="H8662">
            <v>5050058</v>
          </cell>
          <cell r="AK8662" t="str">
            <v>Nate Walton</v>
          </cell>
        </row>
        <row r="8663">
          <cell r="C8663" t="str">
            <v>MS - SSBO - Data Ops / Payments</v>
          </cell>
          <cell r="H8663">
            <v>5049094</v>
          </cell>
          <cell r="AK8663" t="str">
            <v>Ruben Sooriya</v>
          </cell>
        </row>
        <row r="8664">
          <cell r="C8664" t="str">
            <v>MS T+1 Implementation Support - First Role</v>
          </cell>
          <cell r="H8664">
            <v>5049094</v>
          </cell>
          <cell r="AK8664" t="str">
            <v>Ruben Sooriya</v>
          </cell>
        </row>
        <row r="8665">
          <cell r="C8665" t="str">
            <v>MS_TPPM Offshore Python &amp; ETL Developer [Gowtham K]</v>
          </cell>
          <cell r="H8665">
            <v>5050193</v>
          </cell>
          <cell r="AK8665" t="str">
            <v>Dan Schutzman</v>
          </cell>
        </row>
        <row r="8666">
          <cell r="C8666" t="str">
            <v>FAST: Implementation partnership -  ph 1 extension</v>
          </cell>
          <cell r="H8666">
            <v>5049636</v>
          </cell>
          <cell r="AK8666" t="str">
            <v>Randy Love</v>
          </cell>
        </row>
        <row r="8667">
          <cell r="C8667" t="str">
            <v>PRU - Zinnia Extension</v>
          </cell>
          <cell r="H8667">
            <v>5049221</v>
          </cell>
          <cell r="AK8667" t="str">
            <v>Randy Love</v>
          </cell>
        </row>
        <row r="8668">
          <cell r="C8668" t="str">
            <v>Peapack Gladstone_MQC Addendum</v>
          </cell>
          <cell r="H8668">
            <v>5046224</v>
          </cell>
          <cell r="AK8668" t="str">
            <v>Christian Maier</v>
          </cell>
        </row>
        <row r="8669">
          <cell r="C8669" t="str">
            <v>Key Bank - Data &amp; Analytics - Data Literacy</v>
          </cell>
          <cell r="H8669">
            <v>5050169</v>
          </cell>
          <cell r="AK8669" t="str">
            <v>Keith Paradise</v>
          </cell>
        </row>
        <row r="8670">
          <cell r="C8670" t="str">
            <v>Marsh - PPM Abby Cohen Extension</v>
          </cell>
          <cell r="H8670">
            <v>5049191</v>
          </cell>
          <cell r="AK8670" t="str">
            <v>Casey Schaffer</v>
          </cell>
        </row>
        <row r="8671">
          <cell r="C8671" t="str">
            <v>Key Bank - Data &amp; Analytics - Critical Business Reporting</v>
          </cell>
          <cell r="H8671">
            <v>5050169</v>
          </cell>
          <cell r="AK8671" t="str">
            <v>Keith Paradise</v>
          </cell>
        </row>
        <row r="8672">
          <cell r="C8672" t="str">
            <v>Abacus BSA/AML Ext thru Aug 31</v>
          </cell>
          <cell r="H8672">
            <v>5049254</v>
          </cell>
          <cell r="AK8672" t="str">
            <v>Anthony Abruzzo</v>
          </cell>
        </row>
        <row r="8673">
          <cell r="C8673" t="str">
            <v>Jeff_Risk BA/PM EXT</v>
          </cell>
          <cell r="H8673">
            <v>5050185</v>
          </cell>
          <cell r="AK8673" t="str">
            <v>Matthew Rodgers</v>
          </cell>
        </row>
        <row r="8674">
          <cell r="C8674" t="str">
            <v>Manpower - Wipro - Supply Chain Phase 1</v>
          </cell>
          <cell r="H8674">
            <v>5050395</v>
          </cell>
          <cell r="AK8674" t="str">
            <v>Raviraj Bangalore Vasanthkumar</v>
          </cell>
        </row>
        <row r="8675">
          <cell r="C8675" t="str">
            <v>First Citizens_ SOW#3 ITAM Support H2 23</v>
          </cell>
          <cell r="H8675">
            <v>5050113</v>
          </cell>
          <cell r="AK8675" t="str">
            <v>Souma Basu</v>
          </cell>
        </row>
        <row r="8676">
          <cell r="C8676" t="str">
            <v>BNPP_Virtual Third Party Contingency Plan</v>
          </cell>
          <cell r="H8676">
            <v>5050226</v>
          </cell>
          <cell r="AK8676" t="str">
            <v>Thanh Le Xuan</v>
          </cell>
        </row>
        <row r="8677">
          <cell r="C8677" t="str">
            <v>Cathay Bank_TPEC Inventory</v>
          </cell>
          <cell r="H8677">
            <v>5050213</v>
          </cell>
          <cell r="AK8677" t="str">
            <v>Betsy Cherian</v>
          </cell>
        </row>
        <row r="8678">
          <cell r="C8678" t="str">
            <v>HNB_Standby Cash: 5% Offer - API Development</v>
          </cell>
          <cell r="H8678">
            <v>5047599</v>
          </cell>
          <cell r="AK8678" t="str">
            <v>Daniela Hawkins</v>
          </cell>
        </row>
        <row r="8679">
          <cell r="C8679" t="str">
            <v>Jeffries_SWIFT Cyber Assessment</v>
          </cell>
          <cell r="H8679">
            <v>5050149</v>
          </cell>
          <cell r="AK8679" t="str">
            <v>John McCaffrey</v>
          </cell>
        </row>
        <row r="8680">
          <cell r="C8680" t="str">
            <v>Negative_Popular Bank/BPPR-Marketing and Website Review</v>
          </cell>
          <cell r="H8680">
            <v>5050225</v>
          </cell>
          <cell r="AK8680" t="str">
            <v>Eugene Collett</v>
          </cell>
        </row>
        <row r="8681">
          <cell r="C8681" t="str">
            <v>Popular Bank/BPPR-Marketing and Website Review</v>
          </cell>
          <cell r="H8681">
            <v>5050225</v>
          </cell>
          <cell r="AK8681" t="str">
            <v>Eugene Collett</v>
          </cell>
        </row>
        <row r="8682">
          <cell r="C8682" t="str">
            <v>Popular Bank/BPPR-Marketing and Website Review</v>
          </cell>
          <cell r="H8682">
            <v>5050225</v>
          </cell>
          <cell r="AK8682" t="str">
            <v>Eugene Collett</v>
          </cell>
        </row>
        <row r="8683">
          <cell r="C8683" t="str">
            <v>Jefferies SF Tech Developer</v>
          </cell>
          <cell r="H8683">
            <v>5050381</v>
          </cell>
          <cell r="AK8683" t="str">
            <v>Matthew Rodgers</v>
          </cell>
        </row>
        <row r="8684">
          <cell r="C8684" t="str">
            <v>Summit FG ACH and RDC RA</v>
          </cell>
          <cell r="H8684">
            <v>5050139</v>
          </cell>
          <cell r="AK8684" t="str">
            <v>Kristina Slattery</v>
          </cell>
        </row>
        <row r="8685">
          <cell r="C8685" t="str">
            <v>Truist_Project Ignite_WalkMe Application</v>
          </cell>
          <cell r="H8685">
            <v>5050249</v>
          </cell>
          <cell r="AK8685" t="str">
            <v>Mike McCarty</v>
          </cell>
        </row>
        <row r="8686">
          <cell r="C8686" t="str">
            <v>DB-DWS-CPT-BC-Proteus CoC#10</v>
          </cell>
          <cell r="H8686">
            <v>5050283</v>
          </cell>
          <cell r="AK8686" t="str">
            <v>Alistair Shipp</v>
          </cell>
        </row>
        <row r="8687">
          <cell r="C8687" t="str">
            <v>Esquire Bank, N.A. - ACH Originator and TPS Review</v>
          </cell>
          <cell r="H8687">
            <v>5050248</v>
          </cell>
          <cell r="AK8687" t="str">
            <v>Robert Farmer</v>
          </cell>
        </row>
        <row r="8688">
          <cell r="C8688" t="str">
            <v>Great Oaks Bank RAS 2024</v>
          </cell>
          <cell r="H8688">
            <v>5040155</v>
          </cell>
          <cell r="AK8688" t="str">
            <v>Diane Banks</v>
          </cell>
        </row>
        <row r="8689">
          <cell r="C8689" t="str">
            <v>FIST Project Manager</v>
          </cell>
          <cell r="H8689">
            <v>5050287</v>
          </cell>
          <cell r="AK8689" t="str">
            <v>Christina Artieda</v>
          </cell>
        </row>
        <row r="8690">
          <cell r="C8690" t="str">
            <v>Recurring Founders_BSA 23-24</v>
          </cell>
          <cell r="H8690">
            <v>5050257</v>
          </cell>
          <cell r="AK8690" t="str">
            <v>Patrice Nye</v>
          </cell>
        </row>
        <row r="8691">
          <cell r="C8691" t="str">
            <v>FMB - CRA Self-Assessment</v>
          </cell>
          <cell r="H8691">
            <v>5050372</v>
          </cell>
          <cell r="AK8691" t="str">
            <v>Elanna Kooistra</v>
          </cell>
        </row>
        <row r="8692">
          <cell r="C8692" t="str">
            <v>SVB_Data Policy Support Extension</v>
          </cell>
          <cell r="H8692">
            <v>5050127</v>
          </cell>
          <cell r="AK8692" t="str">
            <v>Jessica Seifer</v>
          </cell>
        </row>
        <row r="8693">
          <cell r="C8693" t="str">
            <v>Finxact  Battle Bank Implementation Sprints Extension 5 CO#4</v>
          </cell>
          <cell r="H8693">
            <v>5047749</v>
          </cell>
          <cell r="AK8693" t="str">
            <v>James Kane</v>
          </cell>
        </row>
        <row r="8694">
          <cell r="C8694" t="str">
            <v>Jefferies Reporting &amp; Analytics Self-Service Portal Team</v>
          </cell>
          <cell r="H8694">
            <v>5050323</v>
          </cell>
          <cell r="AK8694" t="str">
            <v>John McCaffrey</v>
          </cell>
        </row>
        <row r="8695">
          <cell r="C8695" t="str">
            <v>Peoples Sec B&amp;T-BSA Consulting</v>
          </cell>
          <cell r="H8695">
            <v>5049954</v>
          </cell>
          <cell r="AK8695" t="str">
            <v>William Sachs</v>
          </cell>
        </row>
        <row r="8696">
          <cell r="C8696" t="str">
            <v>Plumas Targeted Risk Assessment Support</v>
          </cell>
          <cell r="H8696">
            <v>5048951</v>
          </cell>
          <cell r="AK8696" t="str">
            <v>Mary Louise Radley</v>
          </cell>
        </row>
        <row r="8697">
          <cell r="C8697" t="str">
            <v>Jeff Transcend Ext_Sep_Nov</v>
          </cell>
          <cell r="H8697">
            <v>5050321</v>
          </cell>
          <cell r="AK8697" t="str">
            <v>Matthew Rodgers</v>
          </cell>
        </row>
        <row r="8698">
          <cell r="C8698" t="str">
            <v>First Electronic Bank Annual CMS Audit</v>
          </cell>
          <cell r="H8698">
            <v>5050145</v>
          </cell>
          <cell r="AK8698" t="str">
            <v>Mary Louise Radley</v>
          </cell>
        </row>
        <row r="8699">
          <cell r="C8699" t="str">
            <v>FedLine Security &amp; Resilience Assurance Assessment</v>
          </cell>
          <cell r="H8699">
            <v>5048467</v>
          </cell>
          <cell r="AK8699" t="str">
            <v>Robert Farmer</v>
          </cell>
        </row>
        <row r="8700">
          <cell r="C8700" t="str">
            <v>Foresight Financial RAS 2024</v>
          </cell>
          <cell r="H8700">
            <v>5040242</v>
          </cell>
          <cell r="AK8700" t="str">
            <v>Diane Banks</v>
          </cell>
        </row>
        <row r="8701">
          <cell r="C8701" t="str">
            <v>FCRM Extension</v>
          </cell>
          <cell r="H8701">
            <v>5049685</v>
          </cell>
          <cell r="AK8701" t="str">
            <v>Trisha Stone</v>
          </cell>
        </row>
        <row r="8702">
          <cell r="C8702" t="str">
            <v>CRCM Extension</v>
          </cell>
          <cell r="H8702">
            <v>5049686</v>
          </cell>
          <cell r="AK8702" t="str">
            <v>Marisa DeVincentis</v>
          </cell>
        </row>
        <row r="8703">
          <cell r="C8703" t="str">
            <v>DB-CAO-AFC-BC-AFC Modelling - resource extn Sep 2023</v>
          </cell>
          <cell r="H8703">
            <v>5044647</v>
          </cell>
          <cell r="AK8703" t="str">
            <v>Ruby Cherian</v>
          </cell>
        </row>
        <row r="8704">
          <cell r="C8704" t="str">
            <v>ERM Program Support - FirstBank TN</v>
          </cell>
          <cell r="H8704">
            <v>5050332</v>
          </cell>
          <cell r="AK8704" t="str">
            <v>Tania Makuh</v>
          </cell>
        </row>
        <row r="8705">
          <cell r="C8705" t="str">
            <v>Mer Rouge RAS 2024</v>
          </cell>
          <cell r="H8705">
            <v>5040157</v>
          </cell>
          <cell r="AK8705" t="str">
            <v>Rebecca Breland</v>
          </cell>
        </row>
        <row r="8706">
          <cell r="C8706" t="str">
            <v>Information Security RA</v>
          </cell>
          <cell r="H8706">
            <v>5047892</v>
          </cell>
          <cell r="AK8706" t="str">
            <v>Robert Farmer</v>
          </cell>
        </row>
        <row r="8707">
          <cell r="C8707" t="str">
            <v>Horizon Cloud RCSA and MIS Extension</v>
          </cell>
          <cell r="H8707">
            <v>5049756</v>
          </cell>
          <cell r="AK8707" t="str">
            <v>Caroline Teunissen</v>
          </cell>
        </row>
        <row r="8708">
          <cell r="C8708" t="str">
            <v>FrMc_Resolution Planning Extension</v>
          </cell>
          <cell r="H8708">
            <v>5045494</v>
          </cell>
          <cell r="AK8708" t="str">
            <v>Michael Mathew</v>
          </cell>
        </row>
        <row r="8709">
          <cell r="C8709" t="str">
            <v>FCB Cullman RAS Addendum</v>
          </cell>
          <cell r="H8709">
            <v>5039638</v>
          </cell>
          <cell r="AK8709" t="str">
            <v>Rebecca Breland</v>
          </cell>
        </row>
        <row r="8710">
          <cell r="C8710" t="str">
            <v>Legacy Bank Iowa RAS 2024</v>
          </cell>
          <cell r="H8710">
            <v>5040164</v>
          </cell>
          <cell r="AK8710" t="str">
            <v>Rebecca Breland</v>
          </cell>
        </row>
        <row r="8711">
          <cell r="C8711" t="str">
            <v>Citi Strategic Ledger 1</v>
          </cell>
          <cell r="H8711">
            <v>5048774</v>
          </cell>
          <cell r="AK8711" t="str">
            <v>Jordell Clarke-McIntosh</v>
          </cell>
        </row>
        <row r="8712">
          <cell r="C8712" t="str">
            <v>National Exchange Bank and Trust RAS 2024</v>
          </cell>
          <cell r="H8712">
            <v>5040165</v>
          </cell>
          <cell r="AK8712" t="str">
            <v>Diane Banks</v>
          </cell>
        </row>
        <row r="8713">
          <cell r="C8713" t="str">
            <v>ANZ Guam Quarterly RAS Ext</v>
          </cell>
          <cell r="H8713">
            <v>5039584</v>
          </cell>
          <cell r="AK8713" t="str">
            <v>Travis Peraza</v>
          </cell>
        </row>
        <row r="8714">
          <cell r="C8714" t="str">
            <v>Longview Cap RAS 2024</v>
          </cell>
          <cell r="H8714">
            <v>5039679</v>
          </cell>
          <cell r="AK8714" t="str">
            <v>Diane Banks</v>
          </cell>
        </row>
        <row r="8715">
          <cell r="C8715" t="str">
            <v>PCT FCU RAS 2024</v>
          </cell>
          <cell r="H8715">
            <v>5047109</v>
          </cell>
          <cell r="AK8715" t="str">
            <v>Travis Peraza</v>
          </cell>
        </row>
        <row r="8716">
          <cell r="C8716" t="str">
            <v>Comm Bank Company of FItzgerald</v>
          </cell>
          <cell r="H8716">
            <v>5039472</v>
          </cell>
          <cell r="AK8716" t="str">
            <v>Rebecca Breland</v>
          </cell>
        </row>
        <row r="8717">
          <cell r="C8717" t="str">
            <v>Vuln Mgt - Natixis - Q3 2023</v>
          </cell>
          <cell r="H8717">
            <v>5049370</v>
          </cell>
          <cell r="AK8717" t="str">
            <v>Boris Mallet</v>
          </cell>
        </row>
        <row r="8718">
          <cell r="C8718" t="str">
            <v>Vendor Risk Assessment</v>
          </cell>
          <cell r="H8718">
            <v>5050310</v>
          </cell>
          <cell r="AK8718" t="str">
            <v>Eric Van Epps</v>
          </cell>
        </row>
        <row r="8719">
          <cell r="C8719" t="str">
            <v>Isabella QRG</v>
          </cell>
          <cell r="H8719">
            <v>5040180</v>
          </cell>
          <cell r="AK8719" t="str">
            <v>Diane Banks</v>
          </cell>
        </row>
        <row r="8720">
          <cell r="C8720" t="str">
            <v>FNB Wakefield RAS 2024</v>
          </cell>
          <cell r="H8720">
            <v>5040243</v>
          </cell>
          <cell r="AK8720" t="str">
            <v>Diane Banks</v>
          </cell>
        </row>
        <row r="8721">
          <cell r="C8721" t="str">
            <v>BCBank, Inc. - CMS 09/01/23 - 08/31/24</v>
          </cell>
          <cell r="H8721">
            <v>5050388</v>
          </cell>
          <cell r="AK8721" t="str">
            <v>Steve Manitzas</v>
          </cell>
        </row>
        <row r="8722">
          <cell r="C8722" t="str">
            <v>First Central Savings Bank RAS_2024</v>
          </cell>
          <cell r="H8722">
            <v>5039634</v>
          </cell>
          <cell r="AK8722" t="str">
            <v>Rebecca Breland</v>
          </cell>
        </row>
        <row r="8723">
          <cell r="C8723" t="str">
            <v>Jefferies - Compliance PM</v>
          </cell>
          <cell r="H8723">
            <v>5050383</v>
          </cell>
          <cell r="AK8723" t="str">
            <v>Imran Parekh</v>
          </cell>
        </row>
        <row r="8724">
          <cell r="C8724" t="str">
            <v>Abacus BSA/AML Ext thru Sep 30</v>
          </cell>
          <cell r="H8724">
            <v>5049254</v>
          </cell>
          <cell r="AK8724" t="str">
            <v>Anthony Abruzzo</v>
          </cell>
        </row>
        <row r="8725">
          <cell r="C8725" t="str">
            <v>Cross River Remediation September Extension</v>
          </cell>
          <cell r="H8725">
            <v>5048375</v>
          </cell>
          <cell r="AK8725" t="str">
            <v>Eric Van Epps</v>
          </cell>
        </row>
        <row r="8726">
          <cell r="C8726" t="str">
            <v>Cross River Remediation September Extension</v>
          </cell>
          <cell r="H8726">
            <v>5048375</v>
          </cell>
          <cell r="AK8726" t="str">
            <v>Eric Van Epps</v>
          </cell>
        </row>
        <row r="8727">
          <cell r="C8727" t="str">
            <v>Key Process AMD 13</v>
          </cell>
          <cell r="H8727">
            <v>5042840</v>
          </cell>
          <cell r="AK8727" t="str">
            <v>Samuel Awsumb</v>
          </cell>
        </row>
        <row r="8728">
          <cell r="C8728" t="str">
            <v>Jefferies - IN - APAC CRB QA Extension 23-24</v>
          </cell>
          <cell r="H8728">
            <v>5050256</v>
          </cell>
          <cell r="AK8728" t="str">
            <v>John McCaffrey</v>
          </cell>
        </row>
        <row r="8729">
          <cell r="C8729" t="str">
            <v>Blue Foundry Bank-FLSA</v>
          </cell>
          <cell r="H8729">
            <v>5048638</v>
          </cell>
          <cell r="AK8729" t="str">
            <v>Gail Rassler</v>
          </cell>
        </row>
        <row r="8730">
          <cell r="C8730" t="str">
            <v>Tustin CB RAS 2024</v>
          </cell>
          <cell r="H8730">
            <v>5039737</v>
          </cell>
          <cell r="AK8730" t="str">
            <v>Rebecca Breland</v>
          </cell>
        </row>
        <row r="8731">
          <cell r="C8731" t="str">
            <v>PlainsCapitalBnk_Compliance Reviews addendum</v>
          </cell>
          <cell r="H8731">
            <v>5049062</v>
          </cell>
          <cell r="AK8731" t="str">
            <v>Anna Proleika</v>
          </cell>
        </row>
        <row r="8732">
          <cell r="C8732" t="str">
            <v>MSWM AD&amp;I COO PM Support</v>
          </cell>
          <cell r="H8732">
            <v>5050314</v>
          </cell>
          <cell r="AK8732" t="str">
            <v>Dan Schutzman</v>
          </cell>
        </row>
        <row r="8733">
          <cell r="C8733" t="str">
            <v>HNB PCI Compliance</v>
          </cell>
          <cell r="H8733">
            <v>5050285</v>
          </cell>
          <cell r="AK8733" t="str">
            <v>Daniela Hawkins</v>
          </cell>
        </row>
        <row r="8734">
          <cell r="C8734" t="str">
            <v>Callahan &amp; Associates Green Lending Summit</v>
          </cell>
          <cell r="H8734">
            <v>5050286</v>
          </cell>
          <cell r="AK8734" t="str">
            <v>Emily Glaessner</v>
          </cell>
        </row>
        <row r="8735">
          <cell r="C8735" t="str">
            <v>MVO Phase 2</v>
          </cell>
          <cell r="H8735">
            <v>5049753</v>
          </cell>
          <cell r="AK8735" t="str">
            <v>Conor Dowling</v>
          </cell>
        </row>
        <row r="8736">
          <cell r="C8736" t="str">
            <v>Fannie Mae Short-Term Staff Aug for Usha</v>
          </cell>
          <cell r="H8736">
            <v>5050295</v>
          </cell>
          <cell r="AK8736" t="str">
            <v>Nitin Raju</v>
          </cell>
        </row>
        <row r="8737">
          <cell r="C8737" t="str">
            <v>HSBC-WSB-CMB-Client Services Ext 2</v>
          </cell>
          <cell r="H8737">
            <v>5050303</v>
          </cell>
          <cell r="AK8737" t="str">
            <v>Rahul Govada</v>
          </cell>
        </row>
        <row r="8738">
          <cell r="C8738" t="str">
            <v>Vermont SB-BSA Program Support</v>
          </cell>
          <cell r="H8738">
            <v>5050354</v>
          </cell>
          <cell r="AK8738" t="str">
            <v>David Stalnaker</v>
          </cell>
        </row>
        <row r="8739">
          <cell r="C8739" t="str">
            <v>BMO CX Support Extension</v>
          </cell>
          <cell r="H8739">
            <v>5049839</v>
          </cell>
          <cell r="AK8739" t="str">
            <v>Louisa Butler</v>
          </cell>
        </row>
        <row r="8740">
          <cell r="C8740" t="str">
            <v>T+1 Client Comms PM (L Grundy)</v>
          </cell>
          <cell r="H8740">
            <v>5049094</v>
          </cell>
          <cell r="AK8740" t="str">
            <v>Ruben Sooriya</v>
          </cell>
        </row>
        <row r="8741">
          <cell r="C8741" t="str">
            <v>Computershare - GCO Change  &amp; Transformation Team Capacity</v>
          </cell>
          <cell r="H8741">
            <v>5050304</v>
          </cell>
          <cell r="AK8741" t="str">
            <v>Douglas Sieg</v>
          </cell>
        </row>
        <row r="8742">
          <cell r="C8742" t="str">
            <v>TRANSFORMATION MI-BANCO MODERNIZATION – PROTOTYPE – 38602</v>
          </cell>
          <cell r="H8742">
            <v>5050333</v>
          </cell>
          <cell r="AK8742" t="str">
            <v>Owen Priestley</v>
          </cell>
        </row>
        <row r="8743">
          <cell r="C8743" t="str">
            <v>HNB Account Analysis Migration Test Lead</v>
          </cell>
          <cell r="H8743">
            <v>5050296</v>
          </cell>
          <cell r="AK8743" t="str">
            <v>Daniela Hawkins</v>
          </cell>
        </row>
        <row r="8744">
          <cell r="C8744" t="str">
            <v>Pru - CTO - WAV Remediation Web App</v>
          </cell>
          <cell r="H8744">
            <v>5050313</v>
          </cell>
          <cell r="AK8744" t="str">
            <v>Bharath Chikkamaranahalli Bhaskar</v>
          </cell>
        </row>
        <row r="8745">
          <cell r="C8745" t="str">
            <v>BKU App Mgd Svcs Sept - Oct</v>
          </cell>
          <cell r="H8745">
            <v>5048806</v>
          </cell>
          <cell r="AK8745" t="str">
            <v>Kevin Miologos</v>
          </cell>
        </row>
        <row r="8746">
          <cell r="C8746" t="str">
            <v>MMSD Envision Launch</v>
          </cell>
          <cell r="H8746">
            <v>5050325</v>
          </cell>
          <cell r="AK8746" t="str">
            <v>Tedd Patel</v>
          </cell>
        </row>
        <row r="8747">
          <cell r="C8747" t="str">
            <v>Seacoast NB_Reg Data Feed</v>
          </cell>
          <cell r="H8747">
            <v>5050366</v>
          </cell>
          <cell r="AK8747" t="str">
            <v>Leah Robinson</v>
          </cell>
        </row>
        <row r="8748">
          <cell r="C8748" t="str">
            <v>Patriot Bank CMS - additional hours</v>
          </cell>
          <cell r="H8748">
            <v>5040952</v>
          </cell>
          <cell r="AK8748" t="str">
            <v>Mariana Dumanovsky</v>
          </cell>
        </row>
        <row r="8749">
          <cell r="C8749" t="str">
            <v>Empire State Bank - Encompass Implementation</v>
          </cell>
          <cell r="H8749">
            <v>5046120</v>
          </cell>
          <cell r="AK8749" t="str">
            <v>Mariana Dumanovsky</v>
          </cell>
        </row>
        <row r="8750">
          <cell r="C8750" t="str">
            <v>FUBT - Verafin Behavioral Rationalization and Optimization</v>
          </cell>
          <cell r="H8750">
            <v>5050328</v>
          </cell>
          <cell r="AK8750" t="str">
            <v>William Sachs</v>
          </cell>
        </row>
        <row r="8751">
          <cell r="C8751" t="str">
            <v>RegIM Day 2 PM Support extension - H2-23</v>
          </cell>
          <cell r="H8751">
            <v>5048964</v>
          </cell>
          <cell r="AK8751" t="str">
            <v>Julia Simmons</v>
          </cell>
        </row>
        <row r="8752">
          <cell r="C8752" t="str">
            <v>Jefferies DevOps Transformation 2024 Ext.</v>
          </cell>
          <cell r="H8752">
            <v>5047334</v>
          </cell>
          <cell r="AK8752" t="str">
            <v>Nicholas Perkins</v>
          </cell>
        </row>
        <row r="8753">
          <cell r="C8753" t="str">
            <v>WFHL Procedure Support Phase 2</v>
          </cell>
          <cell r="H8753">
            <v>5048743</v>
          </cell>
          <cell r="AK8753" t="str">
            <v>Alberto Michelazzi</v>
          </cell>
        </row>
        <row r="8754">
          <cell r="C8754" t="str">
            <v>Aetos Post-Merger Integration Strategy (Phase 1)</v>
          </cell>
          <cell r="H8754">
            <v>5049131</v>
          </cell>
          <cell r="AK8754" t="str">
            <v>Christopher De Sousa</v>
          </cell>
        </row>
        <row r="8755">
          <cell r="C8755" t="str">
            <v>PSBT Guardian Officer</v>
          </cell>
          <cell r="H8755">
            <v>5050300</v>
          </cell>
          <cell r="AK8755" t="str">
            <v>William Sachs</v>
          </cell>
        </row>
        <row r="8756">
          <cell r="C8756" t="str">
            <v>NLG Data Loss Prevention (DLP) Project</v>
          </cell>
          <cell r="H8756">
            <v>5050349</v>
          </cell>
          <cell r="AK8756" t="str">
            <v>Paul Laurent</v>
          </cell>
        </row>
        <row r="8757">
          <cell r="C8757" t="str">
            <v>GRC Advisory /MS Implementation - Russell Investments</v>
          </cell>
          <cell r="H8757">
            <v>5050758</v>
          </cell>
          <cell r="AK8757" t="str">
            <v>Tania Makuh</v>
          </cell>
        </row>
        <row r="8758">
          <cell r="C8758" t="str">
            <v>MSIM_Derivatives Transformation_Reg Collateral Team</v>
          </cell>
          <cell r="H8758">
            <v>5049580</v>
          </cell>
          <cell r="AK8758" t="str">
            <v>Dan Schutzman</v>
          </cell>
        </row>
        <row r="8759">
          <cell r="C8759" t="str">
            <v>Lazard - Third Party Risk Management Strategic Roadmap</v>
          </cell>
          <cell r="H8759">
            <v>5050397</v>
          </cell>
          <cell r="AK8759" t="str">
            <v>Andy Soodek</v>
          </cell>
        </row>
        <row r="8760">
          <cell r="C8760" t="str">
            <v>Gemini_Risk Appetite Framework</v>
          </cell>
          <cell r="H8760">
            <v>5050398</v>
          </cell>
          <cell r="AK8760" t="str">
            <v>Dan Schutzman</v>
          </cell>
        </row>
        <row r="8761">
          <cell r="C8761" t="str">
            <v>GA_Product Owner Coaching</v>
          </cell>
          <cell r="H8761">
            <v>5050352</v>
          </cell>
          <cell r="AK8761" t="str">
            <v>Erik Johnson</v>
          </cell>
        </row>
        <row r="8762">
          <cell r="C8762" t="str">
            <v>Project Granite - Front End &amp; Back End Pod</v>
          </cell>
          <cell r="H8762">
            <v>5050520</v>
          </cell>
          <cell r="AK8762" t="str">
            <v>Gerhardt Scriven</v>
          </cell>
        </row>
        <row r="8763">
          <cell r="C8763" t="str">
            <v>HSBC-MSS-GM-Product Development BA ATH</v>
          </cell>
          <cell r="H8763">
            <v>5050389</v>
          </cell>
          <cell r="AK8763" t="str">
            <v>Rahul Govada</v>
          </cell>
        </row>
        <row r="8764">
          <cell r="C8764" t="str">
            <v>DB-PB-WLT-IT-Novo Oct 2023 Extension TCV CORRECTION</v>
          </cell>
          <cell r="H8764">
            <v>5050531</v>
          </cell>
          <cell r="AK8764" t="str">
            <v>Ruby Cherian</v>
          </cell>
        </row>
        <row r="8765">
          <cell r="C8765" t="str">
            <v>Ephrata National Bank RAS Ext</v>
          </cell>
          <cell r="H8765">
            <v>5039627</v>
          </cell>
          <cell r="AK8765" t="str">
            <v>Diane Banks</v>
          </cell>
        </row>
        <row r="8766">
          <cell r="C8766" t="str">
            <v>First Security Bank RAS 2024</v>
          </cell>
          <cell r="H8766">
            <v>5039498</v>
          </cell>
          <cell r="AK8766" t="str">
            <v>Diane Banks</v>
          </cell>
        </row>
        <row r="8767">
          <cell r="C8767" t="str">
            <v>Citi_GFT FRMT 2023 Work Order Residual - Oct</v>
          </cell>
          <cell r="H8767">
            <v>5049030</v>
          </cell>
          <cell r="AK8767" t="str">
            <v>Ervinas Janavicius</v>
          </cell>
        </row>
        <row r="8768">
          <cell r="C8768" t="str">
            <v>Jersey State Bank_RAS 2024</v>
          </cell>
          <cell r="H8768">
            <v>5039673</v>
          </cell>
          <cell r="AK8768" t="str">
            <v>Diane Banks</v>
          </cell>
        </row>
        <row r="8769">
          <cell r="C8769" t="str">
            <v>CB BSA/AML/Risk Assessment</v>
          </cell>
          <cell r="H8769">
            <v>5050438</v>
          </cell>
          <cell r="AK8769" t="str">
            <v>William Sachs</v>
          </cell>
        </row>
        <row r="8770">
          <cell r="C8770" t="str">
            <v>ESSA Bank BOD Training</v>
          </cell>
          <cell r="H8770">
            <v>5050393</v>
          </cell>
          <cell r="AK8770" t="str">
            <v>Diane Banks</v>
          </cell>
        </row>
        <row r="8771">
          <cell r="C8771" t="str">
            <v>DB-PB-WLT-IT-Novo Oct 2023 Extension</v>
          </cell>
          <cell r="H8771">
            <v>5050531</v>
          </cell>
          <cell r="AK8771" t="str">
            <v>Ruby Cherian</v>
          </cell>
        </row>
        <row r="8772">
          <cell r="C8772" t="str">
            <v>City First Bank RAS 2024</v>
          </cell>
          <cell r="H8772">
            <v>5046748</v>
          </cell>
          <cell r="AK8772" t="str">
            <v>Diane Banks</v>
          </cell>
        </row>
        <row r="8773">
          <cell r="C8773" t="str">
            <v>Modern Bank CMS 2023-2026</v>
          </cell>
          <cell r="H8773">
            <v>5050525</v>
          </cell>
          <cell r="AK8773" t="str">
            <v>David Belfer</v>
          </cell>
        </row>
        <row r="8774">
          <cell r="C8774" t="str">
            <v>HSBC-GFP-DBS-OCC Remediation Ext 3</v>
          </cell>
          <cell r="H8774">
            <v>5044484</v>
          </cell>
          <cell r="AK8774" t="str">
            <v>Rahul Govada</v>
          </cell>
        </row>
        <row r="8775">
          <cell r="C8775" t="str">
            <v>Abacus BSA/AML Ext thru Dec 31</v>
          </cell>
          <cell r="H8775">
            <v>5049254</v>
          </cell>
          <cell r="AK8775" t="str">
            <v>Anthony Abruzzo</v>
          </cell>
        </row>
        <row r="8776">
          <cell r="C8776" t="str">
            <v>Popular Bank RAS 2024</v>
          </cell>
          <cell r="H8776">
            <v>5039544</v>
          </cell>
          <cell r="AK8776" t="str">
            <v>Diane Banks</v>
          </cell>
        </row>
        <row r="8777">
          <cell r="C8777" t="str">
            <v>CFG - CMS Support</v>
          </cell>
          <cell r="H8777">
            <v>5050517</v>
          </cell>
          <cell r="AK8777" t="str">
            <v>Kristina Slattery</v>
          </cell>
        </row>
        <row r="8778">
          <cell r="C8778" t="str">
            <v>HSBC-GFP-DBS-OCC Remediation Ext 3</v>
          </cell>
          <cell r="H8778">
            <v>5044484</v>
          </cell>
          <cell r="AK8778" t="str">
            <v>Rahul Govada</v>
          </cell>
        </row>
        <row r="8779">
          <cell r="C8779" t="str">
            <v>PSECU-ID Theft Red Flag Compl Rev</v>
          </cell>
          <cell r="H8779">
            <v>5050446</v>
          </cell>
          <cell r="AK8779" t="str">
            <v>Gail Rassler</v>
          </cell>
        </row>
        <row r="8780">
          <cell r="C8780" t="str">
            <v>Summit Financial Group Inc - FLRA</v>
          </cell>
          <cell r="H8780">
            <v>5050232</v>
          </cell>
          <cell r="AK8780" t="str">
            <v>Gail Rassler</v>
          </cell>
        </row>
        <row r="8781">
          <cell r="C8781" t="str">
            <v>St Landry Bank &amp; Trust_RAS 2024</v>
          </cell>
          <cell r="H8781">
            <v>5039726</v>
          </cell>
          <cell r="AK8781" t="str">
            <v>Diane Banks</v>
          </cell>
        </row>
        <row r="8782">
          <cell r="C8782" t="str">
            <v>Commerce Bank RAS 2024</v>
          </cell>
          <cell r="H8782">
            <v>5039470</v>
          </cell>
          <cell r="AK8782" t="str">
            <v>Rebecca Breland</v>
          </cell>
        </row>
        <row r="8783">
          <cell r="C8783" t="str">
            <v>Citi_Global Wealth Data Product BA</v>
          </cell>
          <cell r="H8783">
            <v>5049993</v>
          </cell>
          <cell r="AK8783" t="str">
            <v>Danielle Theroux</v>
          </cell>
        </row>
        <row r="8784">
          <cell r="C8784" t="str">
            <v>Farmers&amp;Merchants AL_RAS 2024</v>
          </cell>
          <cell r="H8784">
            <v>5039628</v>
          </cell>
          <cell r="AK8784" t="str">
            <v>Diane Banks</v>
          </cell>
        </row>
        <row r="8785">
          <cell r="C8785" t="str">
            <v>STC - Annual Director's Audit</v>
          </cell>
          <cell r="H8785">
            <v>5050140</v>
          </cell>
          <cell r="AK8785" t="str">
            <v>Mary Louise Radley</v>
          </cell>
        </row>
        <row r="8786">
          <cell r="C8786" t="str">
            <v>BayVanguard Bank_RAS 2024</v>
          </cell>
          <cell r="H8786">
            <v>5047110</v>
          </cell>
          <cell r="AK8786" t="str">
            <v>Diane Banks</v>
          </cell>
        </row>
        <row r="8787">
          <cell r="C8787" t="str">
            <v>First Piedmont Fed Savings_RAS 2024</v>
          </cell>
          <cell r="H8787">
            <v>5039652</v>
          </cell>
          <cell r="AK8787" t="str">
            <v>Diane Banks</v>
          </cell>
        </row>
        <row r="8788">
          <cell r="C8788" t="str">
            <v>SEIU_CLC EA Project Support Ph11</v>
          </cell>
          <cell r="H8788">
            <v>5041705</v>
          </cell>
          <cell r="AK8788" t="str">
            <v>Eric Fairchild</v>
          </cell>
        </row>
        <row r="8789">
          <cell r="C8789" t="str">
            <v>FrMc_ICM Dev Support (SA) Ext</v>
          </cell>
          <cell r="H8789">
            <v>5046062</v>
          </cell>
          <cell r="AK8789" t="str">
            <v>Kalkidan Tedla</v>
          </cell>
        </row>
        <row r="8790">
          <cell r="C8790" t="str">
            <v>Tomahawk Community Bank_RAS 2024</v>
          </cell>
          <cell r="H8790">
            <v>5039734</v>
          </cell>
          <cell r="AK8790" t="str">
            <v>Rebecca Breland</v>
          </cell>
        </row>
        <row r="8791">
          <cell r="C8791" t="str">
            <v>ESSA Bank &amp; Trust FLRA</v>
          </cell>
          <cell r="H8791">
            <v>5050201</v>
          </cell>
          <cell r="AK8791" t="str">
            <v>Gail Rassler</v>
          </cell>
        </row>
        <row r="8792">
          <cell r="C8792" t="str">
            <v>Chain Bridge Bank Credit Card Audit</v>
          </cell>
          <cell r="H8792">
            <v>5050476</v>
          </cell>
          <cell r="AK8792" t="str">
            <v>W. Annette Dredden</v>
          </cell>
        </row>
        <row r="8793">
          <cell r="C8793" t="str">
            <v>Unified Bank</v>
          </cell>
          <cell r="H8793">
            <v>5049258</v>
          </cell>
          <cell r="AK8793" t="str">
            <v>Kristina Slattery</v>
          </cell>
        </row>
        <row r="8794">
          <cell r="C8794" t="str">
            <v>Cross River October Extension</v>
          </cell>
          <cell r="H8794">
            <v>5048375</v>
          </cell>
          <cell r="AK8794" t="str">
            <v>Eric Van Epps</v>
          </cell>
        </row>
        <row r="8795">
          <cell r="C8795" t="str">
            <v>2U/NBH 2023 Extension - CO#4</v>
          </cell>
          <cell r="H8795">
            <v>5050472</v>
          </cell>
          <cell r="AK8795" t="str">
            <v>Adam Polson</v>
          </cell>
        </row>
        <row r="8796">
          <cell r="C8796" t="str">
            <v>Recurring  Citizens B&amp;T_BSA Ind Test 2023</v>
          </cell>
          <cell r="H8796">
            <v>5050281</v>
          </cell>
          <cell r="AK8796" t="str">
            <v>Charles Lynn Piper</v>
          </cell>
        </row>
        <row r="8797">
          <cell r="C8797" t="str">
            <v>Lukas Holland Extension</v>
          </cell>
          <cell r="H8797">
            <v>5050431</v>
          </cell>
          <cell r="AK8797" t="str">
            <v>John Clifford</v>
          </cell>
        </row>
        <row r="8798">
          <cell r="C8798" t="str">
            <v>Vermont State Bank Earnings Assessment</v>
          </cell>
          <cell r="H8798">
            <v>5050477</v>
          </cell>
          <cell r="AK8798" t="str">
            <v>David Stalnaker</v>
          </cell>
        </row>
        <row r="8799">
          <cell r="C8799" t="str">
            <v>SVB_UK Divesture Data Workstream Ext</v>
          </cell>
          <cell r="H8799">
            <v>5049777</v>
          </cell>
          <cell r="AK8799" t="str">
            <v>Christopher Tecchio</v>
          </cell>
        </row>
        <row r="8800">
          <cell r="C8800" t="str">
            <v>FIST COO Support</v>
          </cell>
          <cell r="H8800">
            <v>5050287</v>
          </cell>
          <cell r="AK8800" t="str">
            <v>Christina Artieda</v>
          </cell>
        </row>
        <row r="8801">
          <cell r="C8801" t="str">
            <v>Mastercard_Technical Project Manager</v>
          </cell>
          <cell r="H8801">
            <v>5050457</v>
          </cell>
          <cell r="AK8801" t="str">
            <v>Mike Peretz</v>
          </cell>
        </row>
        <row r="8802">
          <cell r="C8802" t="str">
            <v>Compliance Control Framework Development (FDPA)</v>
          </cell>
          <cell r="H8802">
            <v>5050536</v>
          </cell>
          <cell r="AK8802" t="str">
            <v>Tania Makuh</v>
          </cell>
        </row>
        <row r="8803">
          <cell r="C8803" t="str">
            <v>Mastercard_M&amp;A/Merger Assistance</v>
          </cell>
          <cell r="H8803">
            <v>5045576</v>
          </cell>
          <cell r="AK8803" t="str">
            <v>Nitin Raju</v>
          </cell>
        </row>
        <row r="8804">
          <cell r="C8804" t="str">
            <v>FrMc_Resolution Planning Extension of Role</v>
          </cell>
          <cell r="H8804">
            <v>5045494</v>
          </cell>
          <cell r="AK8804" t="str">
            <v>Michael Mathew</v>
          </cell>
        </row>
        <row r="8805">
          <cell r="C8805" t="str">
            <v>Contract Command API Team - Henry Extension EOY</v>
          </cell>
          <cell r="H8805">
            <v>5049833</v>
          </cell>
          <cell r="AK8805" t="str">
            <v>Harrison Corupe</v>
          </cell>
        </row>
        <row r="8806">
          <cell r="C8806" t="str">
            <v>World Acceptance Credit Card Launch - Planning Phase</v>
          </cell>
          <cell r="H8806">
            <v>5050486</v>
          </cell>
          <cell r="AK8806" t="str">
            <v>Jeffery Pollard</v>
          </cell>
        </row>
        <row r="8807">
          <cell r="C8807" t="str">
            <v>FrMc_EOT PM Demand (SA)</v>
          </cell>
          <cell r="H8807">
            <v>5049841</v>
          </cell>
          <cell r="AK8807" t="str">
            <v>Jason Willenberg</v>
          </cell>
        </row>
        <row r="8808">
          <cell r="C8808" t="str">
            <v>Jeff_Equities FO Tech PM Support Ext</v>
          </cell>
          <cell r="H8808">
            <v>5049364</v>
          </cell>
          <cell r="AK8808" t="str">
            <v>Sri Nonabur Srinivasamurthy</v>
          </cell>
        </row>
        <row r="8809">
          <cell r="C8809" t="str">
            <v>SVB_BP Reg Reporting Oct23 - Jun24</v>
          </cell>
          <cell r="H8809">
            <v>5050453</v>
          </cell>
          <cell r="AK8809" t="str">
            <v>Lance Rhodes</v>
          </cell>
        </row>
        <row r="8810">
          <cell r="C8810" t="str">
            <v>GRC Complaint Solution Design and Implementation (SalesForce)</v>
          </cell>
          <cell r="H8810">
            <v>5050534</v>
          </cell>
          <cell r="AK8810" t="str">
            <v>Tania Makuh</v>
          </cell>
        </row>
        <row r="8811">
          <cell r="C8811" t="str">
            <v>HighPeak Acusite - Oct Nov 2023</v>
          </cell>
          <cell r="H8811">
            <v>5046910</v>
          </cell>
          <cell r="AK8811" t="str">
            <v>Laura D'Alessandro</v>
          </cell>
        </row>
        <row r="8812">
          <cell r="C8812" t="str">
            <v>Citi_Global Wealth Analytics Product Manager</v>
          </cell>
          <cell r="H8812">
            <v>5049993</v>
          </cell>
          <cell r="AK8812" t="str">
            <v>Danielle Theroux</v>
          </cell>
        </row>
        <row r="8813">
          <cell r="C8813" t="str">
            <v>DB-CAO-AFC-BC-AFC Modelling - Resource extn Q4 2023</v>
          </cell>
          <cell r="H8813">
            <v>5044647</v>
          </cell>
          <cell r="AK8813" t="str">
            <v>Ruby Cherian</v>
          </cell>
        </row>
        <row r="8814">
          <cell r="C8814" t="str">
            <v>Battle Bank System Integrator Extension - Phase 7</v>
          </cell>
          <cell r="H8814">
            <v>5050428</v>
          </cell>
          <cell r="AK8814" t="str">
            <v>James Kane</v>
          </cell>
        </row>
        <row r="8815">
          <cell r="C8815" t="str">
            <v>MS_HR Data Strategy - KJ Extension</v>
          </cell>
          <cell r="H8815">
            <v>5047431</v>
          </cell>
          <cell r="AK8815" t="str">
            <v>Kshitij Zaveri</v>
          </cell>
        </row>
        <row r="8816">
          <cell r="C8816" t="str">
            <v>BMO US - BDB Innovation Pod</v>
          </cell>
          <cell r="H8816">
            <v>5050523</v>
          </cell>
          <cell r="AK8816" t="str">
            <v>Louisa Butler</v>
          </cell>
        </row>
        <row r="8817">
          <cell r="C8817" t="str">
            <v>KB Data &amp; Decisions Governance Project Manager</v>
          </cell>
          <cell r="H8817">
            <v>5050504</v>
          </cell>
          <cell r="AK8817" t="str">
            <v>Conor Hodnett</v>
          </cell>
        </row>
        <row r="8818">
          <cell r="C8818" t="str">
            <v>Recurring GRC Solution and Support Services</v>
          </cell>
          <cell r="H8818">
            <v>5033860</v>
          </cell>
          <cell r="AK8818" t="str">
            <v>Tania Makuh</v>
          </cell>
        </row>
        <row r="8819">
          <cell r="C8819" t="str">
            <v>Citi_Global Wealth E-delivery current state (US Only)</v>
          </cell>
          <cell r="H8819">
            <v>5050503</v>
          </cell>
          <cell r="AK8819" t="str">
            <v>Nikhil Sharma</v>
          </cell>
        </row>
        <row r="8820">
          <cell r="C8820" t="str">
            <v>Horizon - Data Lake 2023</v>
          </cell>
          <cell r="H8820">
            <v>5050579</v>
          </cell>
          <cell r="AK8820" t="str">
            <v>Anna Stawowy</v>
          </cell>
        </row>
        <row r="8821">
          <cell r="C8821" t="str">
            <v>Horizon - Testing 2023</v>
          </cell>
          <cell r="H8821">
            <v>5050581</v>
          </cell>
          <cell r="AK8821" t="str">
            <v>Anna Stawowy</v>
          </cell>
        </row>
        <row r="8822">
          <cell r="C8822" t="str">
            <v>SVB_ISO 20022 Acceleration</v>
          </cell>
          <cell r="H8822">
            <v>5050615</v>
          </cell>
          <cell r="AK8822" t="str">
            <v>Samuel Awsumb</v>
          </cell>
        </row>
        <row r="8823">
          <cell r="C8823" t="str">
            <v>Jeff_Flow Monitor Design &amp; PM</v>
          </cell>
          <cell r="H8823">
            <v>5048646</v>
          </cell>
          <cell r="AK8823" t="str">
            <v>Irina Szilagyi</v>
          </cell>
        </row>
        <row r="8824">
          <cell r="C8824" t="str">
            <v>Corebridge Operations - Ind Retire TOM &amp; Ops Support</v>
          </cell>
          <cell r="H8824">
            <v>5050494</v>
          </cell>
          <cell r="AK8824" t="str">
            <v>Matthew Berkowitz</v>
          </cell>
        </row>
        <row r="8825">
          <cell r="C8825" t="str">
            <v>Horizon - Marketing 2023</v>
          </cell>
          <cell r="H8825">
            <v>5050582</v>
          </cell>
          <cell r="AK8825" t="str">
            <v>Anna Stawowy</v>
          </cell>
        </row>
        <row r="8826">
          <cell r="C8826" t="str">
            <v>Horizon - Modern Delivery Channels 2023</v>
          </cell>
          <cell r="H8826">
            <v>5045590</v>
          </cell>
          <cell r="AK8826" t="str">
            <v>Dana Schwaeber</v>
          </cell>
        </row>
        <row r="8827">
          <cell r="C8827" t="str">
            <v>New Millennium Bank Exam Support</v>
          </cell>
          <cell r="H8827">
            <v>5050608</v>
          </cell>
          <cell r="AK8827" t="str">
            <v>Anna Proleika</v>
          </cell>
        </row>
        <row r="8828">
          <cell r="C8828" t="str">
            <v>Valley Bank Fiduciary Administrative Rev</v>
          </cell>
          <cell r="H8828">
            <v>5050576</v>
          </cell>
          <cell r="AK8828" t="str">
            <v>David Stalnaker</v>
          </cell>
        </row>
        <row r="8829">
          <cell r="C8829" t="str">
            <v>BSA Independent Testing Members 1st FCU</v>
          </cell>
          <cell r="H8829">
            <v>5050075</v>
          </cell>
          <cell r="AK8829" t="str">
            <v>William Sachs</v>
          </cell>
        </row>
        <row r="8830">
          <cell r="C8830" t="str">
            <v>SVB_Data Policy Writer (Procedure Writer)</v>
          </cell>
          <cell r="H8830">
            <v>5050538</v>
          </cell>
          <cell r="AK8830" t="str">
            <v>Jessica Seifer</v>
          </cell>
        </row>
        <row r="8831">
          <cell r="C8831" t="str">
            <v>Marthas Vineyard Bank BSA &amp; Fraud Alert - Managed Services (Ph I)</v>
          </cell>
          <cell r="H8831">
            <v>5050577</v>
          </cell>
          <cell r="AK8831" t="str">
            <v>Samuel Desta</v>
          </cell>
        </row>
        <row r="8832">
          <cell r="C8832" t="str">
            <v>Pru - GT - ILI BRAZIL PODS</v>
          </cell>
          <cell r="H8832">
            <v>5050616</v>
          </cell>
          <cell r="AK8832" t="str">
            <v>Lauren Somma</v>
          </cell>
        </row>
        <row r="8833">
          <cell r="C8833" t="str">
            <v>Horizon - Product 2023</v>
          </cell>
          <cell r="H8833">
            <v>5050578</v>
          </cell>
          <cell r="AK8833" t="str">
            <v>Anna Stawowy</v>
          </cell>
        </row>
        <row r="8834">
          <cell r="C8834" t="str">
            <v>Avenue Cash - BSA Independent Test</v>
          </cell>
          <cell r="H8834">
            <v>5050168</v>
          </cell>
          <cell r="AK8834" t="str">
            <v>William Sachs</v>
          </cell>
        </row>
        <row r="8835">
          <cell r="C8835" t="str">
            <v>MyCUMortgage-RAS</v>
          </cell>
          <cell r="H8835">
            <v>5050598</v>
          </cell>
          <cell r="AK8835" t="str">
            <v>Diane Banks</v>
          </cell>
        </row>
        <row r="8836">
          <cell r="C8836" t="str">
            <v>EDT - Dev Pod for Security Remediation Support</v>
          </cell>
          <cell r="H8836">
            <v>5050583</v>
          </cell>
          <cell r="AK8836" t="str">
            <v>Bharath Chikkamaranahalli Bhaskar</v>
          </cell>
        </row>
        <row r="8837">
          <cell r="C8837" t="str">
            <v>Recurring SvnHan_BSA/AML Testing</v>
          </cell>
          <cell r="H8837">
            <v>5050597</v>
          </cell>
          <cell r="AK8837" t="str">
            <v>William Sachs</v>
          </cell>
        </row>
        <row r="8838">
          <cell r="C8838" t="str">
            <v>FrMc_MF (SA) Role Extension</v>
          </cell>
          <cell r="H8838">
            <v>5044802</v>
          </cell>
          <cell r="AK8838" t="str">
            <v>Kalkidan Tedla</v>
          </cell>
        </row>
        <row r="8839">
          <cell r="C8839" t="str">
            <v>Citi_Global Wealth Tech PMO</v>
          </cell>
          <cell r="H8839">
            <v>5050593</v>
          </cell>
          <cell r="AK8839" t="str">
            <v>Raymond Ortiz II</v>
          </cell>
        </row>
        <row r="8840">
          <cell r="C8840" t="str">
            <v>MCB - Cloud and Infrastructure Ext</v>
          </cell>
          <cell r="H8840">
            <v>5047383</v>
          </cell>
          <cell r="AK8840" t="str">
            <v>Luke Penca</v>
          </cell>
        </row>
        <row r="8841">
          <cell r="C8841" t="str">
            <v>Amex Leader Workshop + Diagnostic</v>
          </cell>
          <cell r="H8841">
            <v>5050590</v>
          </cell>
          <cell r="AK8841" t="str">
            <v>Allison Duffee</v>
          </cell>
        </row>
        <row r="8842">
          <cell r="C8842" t="str">
            <v>Cloud Tech Lead - Mi Banco V4.0</v>
          </cell>
          <cell r="H8842">
            <v>5050614</v>
          </cell>
          <cell r="AK8842" t="str">
            <v>Owen Priestley</v>
          </cell>
        </row>
        <row r="8843">
          <cell r="C8843" t="str">
            <v>Truist_Cyber PMO (Short Term)</v>
          </cell>
          <cell r="H8843">
            <v>5050596</v>
          </cell>
          <cell r="AK8843" t="str">
            <v>Jason Noran</v>
          </cell>
        </row>
        <row r="8844">
          <cell r="C8844" t="str">
            <v>Jefferies Tech. Change Enablement Team Analyst</v>
          </cell>
          <cell r="H8844">
            <v>5047478</v>
          </cell>
          <cell r="AK8844" t="str">
            <v>Imran Parekh</v>
          </cell>
        </row>
        <row r="8845">
          <cell r="C8845" t="str">
            <v>FAST: Implementation partnership - ph 1 extension #2</v>
          </cell>
          <cell r="H8845">
            <v>5049636</v>
          </cell>
          <cell r="AK8845" t="str">
            <v>Randy Love</v>
          </cell>
        </row>
        <row r="8846">
          <cell r="C8846" t="str">
            <v>ICBC NY - Data Feed</v>
          </cell>
          <cell r="H8846">
            <v>5034379</v>
          </cell>
          <cell r="AK8846" t="str">
            <v>Leah Robinson</v>
          </cell>
        </row>
        <row r="8847">
          <cell r="C8847" t="str">
            <v>ICBC USA - Data Feed</v>
          </cell>
          <cell r="H8847">
            <v>5034487</v>
          </cell>
          <cell r="AK8847" t="str">
            <v>Leah Robinson</v>
          </cell>
        </row>
        <row r="8848">
          <cell r="C8848" t="str">
            <v>Pru - EDT - Security Remediation Backend Java Support</v>
          </cell>
          <cell r="H8848">
            <v>5050877</v>
          </cell>
          <cell r="AK8848" t="str">
            <v>Bharath Chikkamaranahalli Bhaskar</v>
          </cell>
        </row>
        <row r="8849">
          <cell r="C8849" t="str">
            <v>RBC Qlikview Extension 2023</v>
          </cell>
          <cell r="H8849">
            <v>5044766</v>
          </cell>
          <cell r="AK8849" t="str">
            <v>Kirby Pulver</v>
          </cell>
        </row>
        <row r="8850">
          <cell r="C8850" t="str">
            <v>NBM - GLBA Information Security Risk Assessment</v>
          </cell>
          <cell r="H8850">
            <v>5050607</v>
          </cell>
          <cell r="AK8850" t="str">
            <v>Robert Farmer</v>
          </cell>
        </row>
        <row r="8851">
          <cell r="C8851" t="str">
            <v>Citi - Global Wealth Margin Lending Implementation Q3 Extension - Negative Sales</v>
          </cell>
          <cell r="H8851">
            <v>5050653</v>
          </cell>
          <cell r="AK8851" t="str">
            <v>Raymond Ortiz II</v>
          </cell>
        </row>
        <row r="8852">
          <cell r="C8852" t="str">
            <v>Carver State Bank RAS 2024</v>
          </cell>
          <cell r="H8852">
            <v>5040193</v>
          </cell>
          <cell r="AK8852" t="str">
            <v>Diane Banks</v>
          </cell>
        </row>
        <row r="8853">
          <cell r="C8853" t="str">
            <v>Global Wealth Margin Lending Implementation Q3 Extension</v>
          </cell>
          <cell r="H8853">
            <v>5050653</v>
          </cell>
          <cell r="AK8853" t="str">
            <v>Raymond Ortiz II</v>
          </cell>
        </row>
        <row r="8854">
          <cell r="C8854" t="str">
            <v>Cross River FDIC Remediation Extension</v>
          </cell>
          <cell r="H8854">
            <v>5050660</v>
          </cell>
          <cell r="AK8854" t="str">
            <v>Eric Van Epps</v>
          </cell>
        </row>
        <row r="8855">
          <cell r="C8855" t="str">
            <v>Natixis - FRB EOL Program</v>
          </cell>
          <cell r="H8855">
            <v>5050648</v>
          </cell>
          <cell r="AK8855" t="str">
            <v>Ridha Mesli</v>
          </cell>
        </row>
        <row r="8856">
          <cell r="C8856" t="str">
            <v>SVB_LFI-CECL Reporting Nov23 - Apr24</v>
          </cell>
          <cell r="H8856">
            <v>5050555</v>
          </cell>
          <cell r="AK8856" t="str">
            <v>Lance Rhodes</v>
          </cell>
        </row>
        <row r="8857">
          <cell r="C8857" t="str">
            <v>MSWM_MS@Work Redesign [Lauren Arevalo-Downes Ext]</v>
          </cell>
          <cell r="H8857">
            <v>5049190</v>
          </cell>
          <cell r="AK8857" t="str">
            <v>Dan Schutzman</v>
          </cell>
        </row>
        <row r="8858">
          <cell r="C8858" t="str">
            <v>Production Integrity Program</v>
          </cell>
          <cell r="H8858">
            <v>5050642</v>
          </cell>
          <cell r="AK8858" t="str">
            <v>John McCaffrey</v>
          </cell>
        </row>
        <row r="8859">
          <cell r="C8859" t="str">
            <v>U.S. Century Bank_RAS</v>
          </cell>
          <cell r="H8859">
            <v>5039566</v>
          </cell>
          <cell r="AK8859" t="str">
            <v>Diane Banks</v>
          </cell>
        </row>
        <row r="8860">
          <cell r="C8860" t="str">
            <v>PGMFCU-Staff Augmentation</v>
          </cell>
          <cell r="H8860">
            <v>5050617</v>
          </cell>
          <cell r="AK8860" t="str">
            <v>Gail Rassler</v>
          </cell>
        </row>
        <row r="8861">
          <cell r="C8861" t="str">
            <v>SVB_Trade Finance Opp</v>
          </cell>
          <cell r="H8861">
            <v>5050627</v>
          </cell>
          <cell r="AK8861" t="str">
            <v>Burt Yeo</v>
          </cell>
        </row>
        <row r="8862">
          <cell r="C8862" t="str">
            <v>Essa Bank &amp; Trust_RAS 2024</v>
          </cell>
          <cell r="H8862">
            <v>5047584</v>
          </cell>
          <cell r="AK8862" t="str">
            <v>Diane Banks</v>
          </cell>
        </row>
        <row r="8863">
          <cell r="C8863" t="str">
            <v>Commerce Bank: Commercial Modules Build: User Admin &amp; Onboarding - Write off</v>
          </cell>
          <cell r="H8863">
            <v>5049002</v>
          </cell>
          <cell r="AK8863" t="str">
            <v>Kari Raimondi</v>
          </cell>
        </row>
        <row r="8864">
          <cell r="C8864" t="str">
            <v>CFG BSA RA and Program Consulting</v>
          </cell>
          <cell r="H8864">
            <v>5050651</v>
          </cell>
          <cell r="AK8864" t="str">
            <v>William Sachs</v>
          </cell>
        </row>
        <row r="8865">
          <cell r="C8865" t="str">
            <v>First Nat Comm Bank_RAS 24-25</v>
          </cell>
          <cell r="H8865">
            <v>5039650</v>
          </cell>
          <cell r="AK8865" t="str">
            <v>Diane Banks</v>
          </cell>
        </row>
        <row r="8866">
          <cell r="C8866" t="str">
            <v>Finxact Battle Bank Implementation Sprints Extension 6 CO#5</v>
          </cell>
          <cell r="H8866">
            <v>5050611</v>
          </cell>
          <cell r="AK8866" t="str">
            <v>James Kane</v>
          </cell>
        </row>
        <row r="8867">
          <cell r="C8867" t="str">
            <v>First Eagle NB_RAS 2024</v>
          </cell>
          <cell r="H8867">
            <v>5040171</v>
          </cell>
          <cell r="AK8867" t="str">
            <v>Diane Banks</v>
          </cell>
        </row>
        <row r="8868">
          <cell r="C8868" t="str">
            <v>Medallion Bank_RAS 2024</v>
          </cell>
          <cell r="H8868">
            <v>5040182</v>
          </cell>
          <cell r="AK8868" t="str">
            <v>Diane Banks</v>
          </cell>
        </row>
        <row r="8869">
          <cell r="C8869" t="str">
            <v>FIST Portfolio Manager</v>
          </cell>
          <cell r="H8869">
            <v>5050287</v>
          </cell>
          <cell r="AK8869" t="str">
            <v>Christina Artieda</v>
          </cell>
        </row>
        <row r="8870">
          <cell r="C8870" t="str">
            <v>Bank of Travelers Rest_RAS 2024</v>
          </cell>
          <cell r="H8870">
            <v>5040170</v>
          </cell>
          <cell r="AK8870" t="str">
            <v>Diane Banks</v>
          </cell>
        </row>
        <row r="8871">
          <cell r="C8871" t="str">
            <v>GFT FRMT 2023 Work Order Residual (Nov) - US</v>
          </cell>
          <cell r="H8871">
            <v>5049030</v>
          </cell>
          <cell r="AK8871" t="str">
            <v>Ervinas Janavicius</v>
          </cell>
        </row>
        <row r="8872">
          <cell r="C8872" t="str">
            <v>Recurring NET CU_Info Sec RA</v>
          </cell>
          <cell r="H8872">
            <v>5048650</v>
          </cell>
          <cell r="AK8872" t="str">
            <v>Robert Farmer</v>
          </cell>
        </row>
        <row r="8873">
          <cell r="C8873" t="str">
            <v>Great Plains NB RAS 2024</v>
          </cell>
          <cell r="H8873">
            <v>5039667</v>
          </cell>
          <cell r="AK8873" t="str">
            <v>Diane Banks</v>
          </cell>
        </row>
        <row r="8874">
          <cell r="C8874" t="str">
            <v>Encore Bank RAS 2024</v>
          </cell>
          <cell r="H8874">
            <v>5040638</v>
          </cell>
          <cell r="AK8874" t="str">
            <v>Diane Banks</v>
          </cell>
        </row>
        <row r="8875">
          <cell r="C8875" t="str">
            <v>HSBC - GFP-FIN-Magnus Extension</v>
          </cell>
          <cell r="H8875">
            <v>5049579</v>
          </cell>
          <cell r="AK8875" t="str">
            <v>Rahul Govada</v>
          </cell>
        </row>
        <row r="8876">
          <cell r="C8876" t="str">
            <v>Abacus Fed Savings Bank RAS 2024</v>
          </cell>
          <cell r="H8876">
            <v>5039575</v>
          </cell>
          <cell r="AK8876" t="str">
            <v>Diane Banks</v>
          </cell>
        </row>
        <row r="8877">
          <cell r="C8877" t="str">
            <v>FPS Gold RAS 2024</v>
          </cell>
          <cell r="H8877">
            <v>5039478</v>
          </cell>
          <cell r="AK8877" t="str">
            <v>Diane Banks</v>
          </cell>
        </row>
        <row r="8878">
          <cell r="C8878" t="str">
            <v>Citi - Global Wealth Margin Lending DATA &amp; TECH Q3 Extension - Negative Sale</v>
          </cell>
          <cell r="H8878">
            <v>5050654</v>
          </cell>
          <cell r="AK8878" t="str">
            <v>Raymond Ortiz II</v>
          </cell>
        </row>
        <row r="8879">
          <cell r="C8879" t="str">
            <v>McGehee Bank RAS 2024</v>
          </cell>
          <cell r="H8879">
            <v>5040172</v>
          </cell>
          <cell r="AK8879" t="str">
            <v>Rebecca Breland</v>
          </cell>
        </row>
        <row r="8880">
          <cell r="C8880" t="str">
            <v>Battle Bank System Integrator Extension - Phase 7 Change Order #1</v>
          </cell>
          <cell r="H8880">
            <v>5050618</v>
          </cell>
          <cell r="AK8880" t="str">
            <v>James Kane</v>
          </cell>
        </row>
        <row r="8881">
          <cell r="C8881" t="str">
            <v>CRB - Staff Augmentation</v>
          </cell>
          <cell r="H8881">
            <v>5050656</v>
          </cell>
          <cell r="AK8881" t="str">
            <v>Eric Van Epps</v>
          </cell>
        </row>
        <row r="8882">
          <cell r="C8882" t="str">
            <v>Salyersville NB_RAS 2024</v>
          </cell>
          <cell r="H8882">
            <v>5039718</v>
          </cell>
          <cell r="AK8882" t="str">
            <v>Diane Banks</v>
          </cell>
        </row>
        <row r="8883">
          <cell r="C8883" t="str">
            <v>Crown Bank</v>
          </cell>
          <cell r="H8883">
            <v>5050440</v>
          </cell>
          <cell r="AK8883" t="str">
            <v>Anna Proleika</v>
          </cell>
        </row>
        <row r="8884">
          <cell r="C8884" t="str">
            <v>Simmons Bank - GRC Compliance Library License, Development and Implementation Consulting</v>
          </cell>
          <cell r="H8884">
            <v>5050591</v>
          </cell>
          <cell r="AK8884" t="str">
            <v>Gregg Henzel</v>
          </cell>
        </row>
        <row r="8885">
          <cell r="C8885" t="str">
            <v>HSBC-GFP-PROC-Procurement Systems Integration - 2023</v>
          </cell>
          <cell r="H8885">
            <v>5050613</v>
          </cell>
          <cell r="AK8885" t="str">
            <v>Rahul Govada</v>
          </cell>
        </row>
        <row r="8886">
          <cell r="C8886" t="str">
            <v>FXL Implementation-PM Extension</v>
          </cell>
          <cell r="H8886">
            <v>5050681</v>
          </cell>
          <cell r="AK8886" t="str">
            <v>Anthony Madej</v>
          </cell>
        </row>
        <row r="8887">
          <cell r="C8887" t="str">
            <v>Global Wealth Margin Lending DATA &amp; TECH Q3 Extension</v>
          </cell>
          <cell r="H8887">
            <v>5050654</v>
          </cell>
          <cell r="AK8887" t="str">
            <v>Raymond Ortiz II</v>
          </cell>
        </row>
        <row r="8888">
          <cell r="C8888" t="str">
            <v>Arvest Consumer Lending TRID Support</v>
          </cell>
          <cell r="H8888">
            <v>5050645</v>
          </cell>
          <cell r="AK8888" t="str">
            <v>Susan Stevenson</v>
          </cell>
        </row>
        <row r="8889">
          <cell r="C8889" t="str">
            <v>RBC ERM Support _CUSO</v>
          </cell>
          <cell r="H8889">
            <v>5050750</v>
          </cell>
          <cell r="AK8889" t="str">
            <v>Rahul Govada</v>
          </cell>
        </row>
        <row r="8890">
          <cell r="C8890" t="str">
            <v>FrMc_EOT Program 2024</v>
          </cell>
          <cell r="H8890">
            <v>5050640</v>
          </cell>
          <cell r="AK8890" t="str">
            <v>Michael Mathew</v>
          </cell>
        </row>
        <row r="8891">
          <cell r="C8891" t="str">
            <v>Recurring URSBnk_Cybersecurity RA</v>
          </cell>
          <cell r="H8891">
            <v>5050154</v>
          </cell>
          <cell r="AK8891" t="str">
            <v>Robert Farmer</v>
          </cell>
        </row>
        <row r="8892">
          <cell r="C8892" t="str">
            <v>CNB FL - Mtg Servicing Compliance Review Program</v>
          </cell>
          <cell r="H8892">
            <v>5051243</v>
          </cell>
          <cell r="AK8892" t="str">
            <v>Brian Phillips</v>
          </cell>
        </row>
        <row r="8893">
          <cell r="C8893" t="str">
            <v>Woodsboro Bank MQC</v>
          </cell>
          <cell r="H8893">
            <v>5050938</v>
          </cell>
          <cell r="AK8893" t="str">
            <v>Christian Maier</v>
          </cell>
        </row>
        <row r="8894">
          <cell r="C8894" t="str">
            <v>Surveillance AVP Resource (Extension)</v>
          </cell>
          <cell r="H8894">
            <v>5050742</v>
          </cell>
          <cell r="AK8894" t="str">
            <v>Samuel Desta</v>
          </cell>
        </row>
        <row r="8895">
          <cell r="C8895" t="str">
            <v>HNB Enterprise Payments Portfolio Management</v>
          </cell>
          <cell r="H8895">
            <v>5047599</v>
          </cell>
          <cell r="AK8895" t="str">
            <v>Daniela Hawkins</v>
          </cell>
        </row>
        <row r="8896">
          <cell r="C8896" t="str">
            <v>VA Loan Origination Support</v>
          </cell>
          <cell r="H8896">
            <v>5050718</v>
          </cell>
          <cell r="AK8896" t="str">
            <v>Thuy Whitaker</v>
          </cell>
        </row>
        <row r="8897">
          <cell r="C8897" t="str">
            <v>59481 - Jefferies Equities PM/BA Ext</v>
          </cell>
          <cell r="H8897">
            <v>5047678</v>
          </cell>
          <cell r="AK8897" t="str">
            <v>Sri Nonabur Srinivasamurthy</v>
          </cell>
        </row>
        <row r="8898">
          <cell r="C8898" t="str">
            <v>Lazard - Security Awareness Content Strategy</v>
          </cell>
          <cell r="H8898">
            <v>5050694</v>
          </cell>
          <cell r="AK8898" t="str">
            <v>Laura D'Alessandro</v>
          </cell>
        </row>
        <row r="8899">
          <cell r="C8899" t="str">
            <v>Pru - GT - PGIM AEM Discovery &amp; Roadmap</v>
          </cell>
          <cell r="H8899">
            <v>5050641</v>
          </cell>
          <cell r="AK8899" t="str">
            <v>Nick Kerzman</v>
          </cell>
        </row>
        <row r="8900">
          <cell r="C8900" t="str">
            <v>MSIM_EV Integration Support [G. Gao]</v>
          </cell>
          <cell r="H8900">
            <v>5049580</v>
          </cell>
          <cell r="AK8900" t="str">
            <v>Dan Schutzman</v>
          </cell>
        </row>
        <row r="8901">
          <cell r="C8901" t="str">
            <v>KYC MRA Remediation</v>
          </cell>
          <cell r="H8901">
            <v>5050706</v>
          </cell>
          <cell r="AK8901" t="str">
            <v>Ruben Sooriya</v>
          </cell>
        </row>
        <row r="8902">
          <cell r="C8902" t="str">
            <v>First Financial Bank - Data Feed</v>
          </cell>
          <cell r="H8902">
            <v>5050879</v>
          </cell>
          <cell r="AK8902" t="str">
            <v>Leah Robinson</v>
          </cell>
        </row>
        <row r="8903">
          <cell r="C8903" t="str">
            <v>MS_TPPM_FY24 Project Diligent [Core Team]</v>
          </cell>
          <cell r="H8903">
            <v>5050996</v>
          </cell>
          <cell r="AK8903" t="str">
            <v>Cole Carmody</v>
          </cell>
        </row>
        <row r="8904">
          <cell r="C8904" t="str">
            <v>Rockland Trust 2024 RAS</v>
          </cell>
          <cell r="H8904">
            <v>5050760</v>
          </cell>
          <cell r="AK8904" t="str">
            <v>Diane Banks</v>
          </cell>
        </row>
        <row r="8905">
          <cell r="C8905" t="str">
            <v>WFHL- Major Compliance Requirements (MCR) Controls</v>
          </cell>
          <cell r="H8905">
            <v>5048743</v>
          </cell>
          <cell r="AK8905" t="str">
            <v>Alberto Michelazzi</v>
          </cell>
        </row>
        <row r="8906">
          <cell r="C8906" t="str">
            <v>NT Reporting conversion p2</v>
          </cell>
          <cell r="H8906">
            <v>5050848</v>
          </cell>
          <cell r="AK8906" t="str">
            <v>Grzegorz Walukanis</v>
          </cell>
        </row>
        <row r="8907">
          <cell r="C8907" t="str">
            <v>WFHL- Major Compliance Requirements (MCR) Controls</v>
          </cell>
          <cell r="H8907">
            <v>5048743</v>
          </cell>
          <cell r="AK8907" t="str">
            <v>Alberto Michelazzi</v>
          </cell>
        </row>
        <row r="8908">
          <cell r="C8908" t="str">
            <v>Risk Mgmt. BA Extension</v>
          </cell>
          <cell r="H8908">
            <v>5050861</v>
          </cell>
          <cell r="AK8908" t="str">
            <v>Matthew Rodgers</v>
          </cell>
        </row>
        <row r="8909">
          <cell r="C8909" t="str">
            <v>SVB_ISO Change Mgmt Support Ph1</v>
          </cell>
          <cell r="H8909">
            <v>5050751</v>
          </cell>
          <cell r="AK8909" t="str">
            <v>Samuel Awsumb</v>
          </cell>
        </row>
        <row r="8910">
          <cell r="C8910" t="str">
            <v>Berkshire Bank Verafin Support (TM)</v>
          </cell>
          <cell r="H8910">
            <v>5050744</v>
          </cell>
          <cell r="AK8910" t="str">
            <v>Mark Davis</v>
          </cell>
        </row>
        <row r="8911">
          <cell r="C8911" t="str">
            <v>CACIB - Fedline Cyber</v>
          </cell>
          <cell r="H8911">
            <v>5050764</v>
          </cell>
          <cell r="AK8911" t="str">
            <v>Hayden Phung</v>
          </cell>
        </row>
        <row r="8912">
          <cell r="C8912" t="str">
            <v>Jefferies Automation Program - Extension</v>
          </cell>
          <cell r="H8912">
            <v>5050868</v>
          </cell>
          <cell r="AK8912" t="str">
            <v>Imran Parekh</v>
          </cell>
        </row>
        <row r="8913">
          <cell r="C8913" t="str">
            <v>ESSA Bank 2023 HMDA Reviews</v>
          </cell>
          <cell r="H8913">
            <v>5050810</v>
          </cell>
          <cell r="AK8913" t="str">
            <v>Juan Pimentel</v>
          </cell>
        </row>
        <row r="8914">
          <cell r="C8914" t="str">
            <v>Natixis_Asset End of Life_FR</v>
          </cell>
          <cell r="H8914">
            <v>5050754</v>
          </cell>
          <cell r="AK8914" t="str">
            <v>Ridha Mesli</v>
          </cell>
        </row>
        <row r="8915">
          <cell r="C8915" t="str">
            <v>SC - Regulatory BA for MAS / ASIC</v>
          </cell>
          <cell r="H8915">
            <v>5049579</v>
          </cell>
          <cell r="AK8915" t="str">
            <v>Rahul Govada</v>
          </cell>
        </row>
        <row r="8916">
          <cell r="C8916" t="str">
            <v>WSFS Audit Support</v>
          </cell>
          <cell r="H8916">
            <v>5050898</v>
          </cell>
          <cell r="AK8916" t="str">
            <v>David Stalnaker</v>
          </cell>
        </row>
        <row r="8917">
          <cell r="C8917" t="str">
            <v>SVB_Data Governance Program Manager</v>
          </cell>
          <cell r="H8917">
            <v>5050737</v>
          </cell>
          <cell r="AK8917" t="str">
            <v>Jessica Seifer</v>
          </cell>
        </row>
        <row r="8918">
          <cell r="C8918" t="str">
            <v>Pru - Assurance - Marketing Oversight Ph2</v>
          </cell>
          <cell r="H8918">
            <v>5050030</v>
          </cell>
          <cell r="AK8918" t="str">
            <v>Eric Fairchild</v>
          </cell>
        </row>
        <row r="8919">
          <cell r="C8919" t="str">
            <v>Gemini_Risk Appetite Framework Extension</v>
          </cell>
          <cell r="H8919">
            <v>5050398</v>
          </cell>
          <cell r="AK8919" t="str">
            <v>Dan Schutzman</v>
          </cell>
        </row>
        <row r="8920">
          <cell r="C8920" t="str">
            <v>Marsh - PPM Global Learning &amp; Development Strategy NOV - DEC 2023 EXT</v>
          </cell>
          <cell r="H8920">
            <v>5049191</v>
          </cell>
          <cell r="AK8920" t="str">
            <v>Casey Schaffer</v>
          </cell>
        </row>
        <row r="8921">
          <cell r="C8921" t="str">
            <v>Farmers and Merchants Bank MQC</v>
          </cell>
          <cell r="H8921">
            <v>5051087</v>
          </cell>
          <cell r="AK8921" t="str">
            <v>Christian Maier</v>
          </cell>
        </row>
        <row r="8922">
          <cell r="C8922" t="str">
            <v>CSB BSA Independent Test</v>
          </cell>
          <cell r="H8922">
            <v>5050563</v>
          </cell>
          <cell r="AK8922" t="str">
            <v>William Sachs</v>
          </cell>
        </row>
        <row r="8923">
          <cell r="C8923" t="str">
            <v>GFT FRMT 2023 Work Order Residual (DEC) - US</v>
          </cell>
          <cell r="H8923">
            <v>5049030</v>
          </cell>
          <cell r="AK8923" t="str">
            <v>Ervinas Janavicius</v>
          </cell>
        </row>
        <row r="8924">
          <cell r="C8924" t="str">
            <v>Jefferies Infra/GIS Roles - Extension 23/24</v>
          </cell>
          <cell r="H8924">
            <v>5050925</v>
          </cell>
          <cell r="AK8924" t="str">
            <v>Imran Parekh</v>
          </cell>
        </row>
        <row r="8925">
          <cell r="C8925" t="str">
            <v>Jefferies Madison PMO Analyst Extension</v>
          </cell>
          <cell r="H8925">
            <v>5050960</v>
          </cell>
          <cell r="AK8925" t="str">
            <v>Imran Parekh</v>
          </cell>
        </row>
        <row r="8926">
          <cell r="C8926" t="str">
            <v>Jeff_Fixed Income Boomerang</v>
          </cell>
          <cell r="H8926">
            <v>5050906</v>
          </cell>
          <cell r="AK8926" t="str">
            <v>John McCaffrey</v>
          </cell>
        </row>
        <row r="8927">
          <cell r="C8927" t="str">
            <v>Dime KYC Screenings 2023</v>
          </cell>
          <cell r="H8927">
            <v>5050900</v>
          </cell>
          <cell r="AK8927" t="str">
            <v>Anthony Abruzzo</v>
          </cell>
        </row>
        <row r="8928">
          <cell r="C8928" t="str">
            <v>Infrastructure Cloud Architect - Role</v>
          </cell>
          <cell r="H8928">
            <v>5050867</v>
          </cell>
          <cell r="AK8928" t="str">
            <v>Imran Parekh</v>
          </cell>
        </row>
        <row r="8929">
          <cell r="C8929" t="str">
            <v>JCREW RTB Support 2024</v>
          </cell>
          <cell r="H8929">
            <v>5050929</v>
          </cell>
          <cell r="AK8929" t="str">
            <v>John McCaffrey</v>
          </cell>
        </row>
        <row r="8930">
          <cell r="C8930" t="str">
            <v>Amalgamated Bank - Data Feed</v>
          </cell>
          <cell r="H8930">
            <v>5044155</v>
          </cell>
          <cell r="AK8930" t="str">
            <v>Leah Robinson</v>
          </cell>
        </row>
        <row r="8931">
          <cell r="C8931" t="str">
            <v>Jefferies - Records Retention (Compliance Testing)</v>
          </cell>
          <cell r="H8931">
            <v>5051124</v>
          </cell>
          <cell r="AK8931" t="str">
            <v>Samuel Desta</v>
          </cell>
        </row>
        <row r="8932">
          <cell r="C8932" t="str">
            <v>Recurring MVB_BSA IndepTest</v>
          </cell>
          <cell r="H8932">
            <v>5050757</v>
          </cell>
          <cell r="AK8932" t="str">
            <v>William Sachs</v>
          </cell>
        </row>
        <row r="8933">
          <cell r="C8933" t="str">
            <v>Popular Bank / BPPR FLSA and FR-CFR</v>
          </cell>
          <cell r="H8933">
            <v>5050992</v>
          </cell>
          <cell r="AK8933" t="str">
            <v>Elanna Kooistra</v>
          </cell>
        </row>
        <row r="8934">
          <cell r="C8934" t="str">
            <v>Jefferies - SPM Role Extension FY24</v>
          </cell>
          <cell r="H8934">
            <v>5050923</v>
          </cell>
          <cell r="AK8934" t="str">
            <v>Imran Parekh</v>
          </cell>
        </row>
        <row r="8935">
          <cell r="C8935" t="str">
            <v>FrMc_Cloud Acceleration (AMD 12)</v>
          </cell>
          <cell r="H8935">
            <v>5049333</v>
          </cell>
          <cell r="AK8935" t="str">
            <v>Jeffrey Diaz Vega</v>
          </cell>
        </row>
        <row r="8936">
          <cell r="C8936" t="str">
            <v>National Life Group RFP Support</v>
          </cell>
          <cell r="H8936">
            <v>5047014</v>
          </cell>
          <cell r="AK8936" t="str">
            <v>Stephen Talnose</v>
          </cell>
        </row>
        <row r="8937">
          <cell r="C8937" t="str">
            <v>RBC Qlikview Extension 23 Negative Sale</v>
          </cell>
          <cell r="H8937">
            <v>5044766</v>
          </cell>
          <cell r="AK8937" t="str">
            <v>Kirby Pulver</v>
          </cell>
        </row>
        <row r="8938">
          <cell r="C8938" t="str">
            <v>Bank of Commerce RAS2024</v>
          </cell>
          <cell r="H8938">
            <v>5039589</v>
          </cell>
          <cell r="AK8938" t="str">
            <v>Diane Banks</v>
          </cell>
        </row>
        <row r="8939">
          <cell r="C8939" t="str">
            <v>Altamaha Bank &amp; Trust Co_RAS 2024</v>
          </cell>
          <cell r="H8939">
            <v>5039580</v>
          </cell>
          <cell r="AK8939" t="str">
            <v>Rebecca Breland</v>
          </cell>
        </row>
        <row r="8940">
          <cell r="C8940" t="str">
            <v>Toast Processing Services LLC / NACHA Third-Party Sender Audit</v>
          </cell>
          <cell r="H8940">
            <v>5050414</v>
          </cell>
          <cell r="AK8940" t="str">
            <v>Robert Farmer</v>
          </cell>
        </row>
        <row r="8941">
          <cell r="C8941" t="str">
            <v>Putnam 1st Mercantile Bank_RAS 2024</v>
          </cell>
          <cell r="H8941">
            <v>5039709</v>
          </cell>
          <cell r="AK8941" t="str">
            <v>Diane Banks</v>
          </cell>
        </row>
        <row r="8942">
          <cell r="C8942" t="str">
            <v>FINRA_Program Current State Assessment Extn Dec-Feb 2024</v>
          </cell>
          <cell r="H8942">
            <v>5049313</v>
          </cell>
          <cell r="AK8942" t="str">
            <v>Ruby Cherian</v>
          </cell>
        </row>
        <row r="8943">
          <cell r="C8943" t="str">
            <v>HSBC-DBS-OCC Remediation IT Program (BA)</v>
          </cell>
          <cell r="H8943">
            <v>5045386</v>
          </cell>
          <cell r="AK8943" t="str">
            <v>Rahul Govada</v>
          </cell>
        </row>
        <row r="8944">
          <cell r="C8944" t="str">
            <v>Campbell &amp; Fetter Bank RAS 2024</v>
          </cell>
          <cell r="H8944">
            <v>5040174</v>
          </cell>
          <cell r="AK8944" t="str">
            <v>Diane Banks</v>
          </cell>
        </row>
        <row r="8945">
          <cell r="C8945" t="str">
            <v>Fidelity Bank RAS 2024</v>
          </cell>
          <cell r="H8945">
            <v>5039631</v>
          </cell>
          <cell r="AK8945" t="str">
            <v>Rebecca Breland</v>
          </cell>
        </row>
        <row r="8946">
          <cell r="C8946" t="str">
            <v>Timberline Bank_RAS 2024</v>
          </cell>
          <cell r="H8946">
            <v>5039733</v>
          </cell>
          <cell r="AK8946" t="str">
            <v>Rebecca Breland</v>
          </cell>
        </row>
        <row r="8947">
          <cell r="C8947" t="str">
            <v>Jeff Core QA Team Extension</v>
          </cell>
          <cell r="H8947">
            <v>5050914</v>
          </cell>
          <cell r="AK8947" t="str">
            <v>John McCaffrey</v>
          </cell>
        </row>
        <row r="8948">
          <cell r="C8948" t="str">
            <v>Jefferies - Cloud Innovation and AI Program Manager</v>
          </cell>
          <cell r="H8948">
            <v>5050864</v>
          </cell>
          <cell r="AK8948" t="str">
            <v>Imran Parekh</v>
          </cell>
        </row>
        <row r="8949">
          <cell r="C8949" t="str">
            <v>Jeff Compliance BA</v>
          </cell>
          <cell r="H8949">
            <v>5050965</v>
          </cell>
          <cell r="AK8949" t="str">
            <v>Nikin Karunakaran Nambiar</v>
          </cell>
        </row>
        <row r="8950">
          <cell r="C8950" t="str">
            <v>CACIB - Payment Tech Extension</v>
          </cell>
          <cell r="H8950">
            <v>5049146</v>
          </cell>
          <cell r="AK8950" t="str">
            <v>Garry Harvey</v>
          </cell>
        </row>
        <row r="8951">
          <cell r="C8951" t="str">
            <v>First Com Bank Moultrie Co)RAS 2024</v>
          </cell>
          <cell r="H8951">
            <v>5039639</v>
          </cell>
          <cell r="AK8951" t="str">
            <v>Diane Banks</v>
          </cell>
        </row>
        <row r="8952">
          <cell r="C8952" t="str">
            <v>Lukas Holland Extension 2</v>
          </cell>
          <cell r="H8952">
            <v>5050431</v>
          </cell>
          <cell r="AK8952" t="str">
            <v>John Clifford</v>
          </cell>
        </row>
        <row r="8953">
          <cell r="C8953" t="str">
            <v>Jeff_Equity QA and Application Support</v>
          </cell>
          <cell r="H8953">
            <v>5050919</v>
          </cell>
          <cell r="AK8953" t="str">
            <v>John McCaffrey</v>
          </cell>
        </row>
        <row r="8954">
          <cell r="C8954" t="str">
            <v>Gorham Savings Bank</v>
          </cell>
          <cell r="H8954">
            <v>5039507</v>
          </cell>
          <cell r="AK8954" t="str">
            <v>Diane Banks</v>
          </cell>
        </row>
        <row r="8955">
          <cell r="C8955" t="str">
            <v>Jeff_JZ MD Boomerang</v>
          </cell>
          <cell r="H8955">
            <v>5050907</v>
          </cell>
          <cell r="AK8955" t="str">
            <v>John McCaffrey</v>
          </cell>
        </row>
        <row r="8956">
          <cell r="C8956" t="str">
            <v>NLG RFP TCV Correction</v>
          </cell>
          <cell r="H8956">
            <v>5047014</v>
          </cell>
          <cell r="AK8956" t="str">
            <v>Stephen Talnose</v>
          </cell>
        </row>
        <row r="8957">
          <cell r="C8957" t="str">
            <v>SD Compliance PM 2024 Ext</v>
          </cell>
          <cell r="H8957">
            <v>5050866</v>
          </cell>
          <cell r="AK8957" t="str">
            <v>Matthew Rodgers</v>
          </cell>
        </row>
        <row r="8958">
          <cell r="C8958" t="str">
            <v>Jeff_T+1 offshore QA</v>
          </cell>
          <cell r="H8958">
            <v>5050927</v>
          </cell>
          <cell r="AK8958" t="str">
            <v>John McCaffrey</v>
          </cell>
        </row>
        <row r="8959">
          <cell r="C8959" t="str">
            <v>Jeff_RPA Dev Ops - Offshore</v>
          </cell>
          <cell r="H8959">
            <v>5050928</v>
          </cell>
          <cell r="AK8959" t="str">
            <v>John McCaffrey</v>
          </cell>
        </row>
        <row r="8960">
          <cell r="C8960" t="str">
            <v>Jeff_Boomerang _Application Services</v>
          </cell>
          <cell r="H8960">
            <v>5050908</v>
          </cell>
          <cell r="AK8960" t="str">
            <v>John McCaffrey</v>
          </cell>
        </row>
        <row r="8961">
          <cell r="C8961" t="str">
            <v>Jeff_PS Production Service Boomerang</v>
          </cell>
          <cell r="H8961">
            <v>5050886</v>
          </cell>
          <cell r="AK8961" t="str">
            <v>John McCaffrey</v>
          </cell>
        </row>
        <row r="8962">
          <cell r="C8962" t="str">
            <v>First State Bank &amp; Trust_RAS 2024</v>
          </cell>
          <cell r="H8962">
            <v>5039656</v>
          </cell>
          <cell r="AK8962" t="str">
            <v>Diane Banks</v>
          </cell>
        </row>
        <row r="8963">
          <cell r="C8963" t="str">
            <v>Jefferies - Compliance PM [FY23-24 Extension]</v>
          </cell>
          <cell r="H8963">
            <v>5050862</v>
          </cell>
          <cell r="AK8963" t="str">
            <v>Imran Parekh</v>
          </cell>
        </row>
        <row r="8964">
          <cell r="C8964" t="str">
            <v>Talbot State Bank_RAS 2024</v>
          </cell>
          <cell r="H8964">
            <v>5039729</v>
          </cell>
          <cell r="AK8964" t="str">
            <v>Diane Banks</v>
          </cell>
        </row>
        <row r="8965">
          <cell r="C8965" t="str">
            <v>Jefferies DevOps Training &amp; Tech Change Enablement Support</v>
          </cell>
          <cell r="H8965">
            <v>5050895</v>
          </cell>
          <cell r="AK8965" t="str">
            <v>Imran Parekh</v>
          </cell>
        </row>
        <row r="8966">
          <cell r="C8966" t="str">
            <v>Transcend Phase 2 PM Support</v>
          </cell>
          <cell r="H8966">
            <v>5050881</v>
          </cell>
          <cell r="AK8966" t="str">
            <v>Matthew Rodgers</v>
          </cell>
        </row>
        <row r="8967">
          <cell r="C8967" t="str">
            <v>SMBC FIST PM</v>
          </cell>
          <cell r="H8967">
            <v>5050287</v>
          </cell>
          <cell r="AK8967" t="str">
            <v>Christina Artieda</v>
          </cell>
        </row>
        <row r="8968">
          <cell r="C8968" t="str">
            <v>Old Glory Bank RAS_2024</v>
          </cell>
          <cell r="H8968">
            <v>5047776</v>
          </cell>
          <cell r="AK8968" t="str">
            <v>Rebecca Breland</v>
          </cell>
        </row>
        <row r="8969">
          <cell r="C8969" t="str">
            <v>Bank of Old Monroe RAS 2024</v>
          </cell>
          <cell r="H8969">
            <v>5040111</v>
          </cell>
          <cell r="AK8969" t="str">
            <v>Diane Banks</v>
          </cell>
        </row>
        <row r="8970">
          <cell r="C8970" t="str">
            <v>Town &amp; Country Bank Midwest RAS 2024</v>
          </cell>
          <cell r="H8970">
            <v>5040925</v>
          </cell>
          <cell r="AK8970" t="str">
            <v>Diane Banks</v>
          </cell>
        </row>
        <row r="8971">
          <cell r="C8971" t="str">
            <v>Jefferies GIS - Thomas F Extension</v>
          </cell>
          <cell r="H8971">
            <v>5050984</v>
          </cell>
          <cell r="AK8971" t="str">
            <v>Imran Parekh</v>
          </cell>
        </row>
        <row r="8972">
          <cell r="C8972" t="str">
            <v>Central Bank &amp; Trust Co _RAS 2024</v>
          </cell>
          <cell r="H8972">
            <v>5039605</v>
          </cell>
          <cell r="AK8972" t="str">
            <v>Diane Banks</v>
          </cell>
        </row>
        <row r="8973">
          <cell r="C8973" t="str">
            <v>Jefferies_TechSupport_CS_Extension</v>
          </cell>
          <cell r="H8973">
            <v>5050924</v>
          </cell>
          <cell r="AK8973" t="str">
            <v>Imran Parekh</v>
          </cell>
        </row>
        <row r="8974">
          <cell r="C8974" t="str">
            <v>Jeff_SK Application Services Boomerang UK</v>
          </cell>
          <cell r="H8974">
            <v>5051004</v>
          </cell>
          <cell r="AK8974" t="str">
            <v>Afsa Shafiq</v>
          </cell>
        </row>
        <row r="8975">
          <cell r="C8975" t="str">
            <v>Jeff_BG Fixed Income Boomerang UK</v>
          </cell>
          <cell r="H8975">
            <v>5051001</v>
          </cell>
          <cell r="AK8975" t="str">
            <v>Afsa Shafiq</v>
          </cell>
        </row>
        <row r="8976">
          <cell r="C8976" t="str">
            <v>Pru - GT - HighPeak Acusite 2024 Extension</v>
          </cell>
          <cell r="H8976">
            <v>5046910</v>
          </cell>
          <cell r="AK8976" t="str">
            <v>Laura D'Alessandro</v>
          </cell>
        </row>
        <row r="8977">
          <cell r="C8977" t="str">
            <v>GEP 2024 Extension</v>
          </cell>
          <cell r="H8977">
            <v>5050870</v>
          </cell>
          <cell r="AK8977" t="str">
            <v>Conor Dowling</v>
          </cell>
        </row>
        <row r="8978">
          <cell r="C8978" t="str">
            <v>AB Institutional Marketing Phase 1 Roadmap</v>
          </cell>
          <cell r="H8978">
            <v>5050811</v>
          </cell>
          <cell r="AK8978" t="str">
            <v>Allison Duffee</v>
          </cell>
        </row>
        <row r="8979">
          <cell r="C8979" t="str">
            <v>WF HMDA Review</v>
          </cell>
          <cell r="H8979">
            <v>5051170</v>
          </cell>
          <cell r="AK8979" t="str">
            <v>Juan Pimentel</v>
          </cell>
        </row>
        <row r="8980">
          <cell r="C8980" t="str">
            <v>FINRA_Exams Unit Content Writing Q423</v>
          </cell>
          <cell r="H8980">
            <v>5050888</v>
          </cell>
          <cell r="AK8980" t="str">
            <v>Danny Li</v>
          </cell>
        </row>
        <row r="8981">
          <cell r="C8981" t="str">
            <v>CACIB - IT Outsourcing</v>
          </cell>
          <cell r="H8981">
            <v>5050767</v>
          </cell>
          <cell r="AK8981" t="str">
            <v>Devyani Patel</v>
          </cell>
        </row>
        <row r="8982">
          <cell r="C8982" t="str">
            <v>Citi ICG Lineage 2024 H1 Extension (US Only)</v>
          </cell>
          <cell r="H8982">
            <v>5050893</v>
          </cell>
          <cell r="AK8982" t="str">
            <v>Hayden McMurrey</v>
          </cell>
        </row>
        <row r="8983">
          <cell r="C8983" t="str">
            <v>HNB Dig Lob Credit Mod CY24Q1</v>
          </cell>
          <cell r="H8983">
            <v>5051169</v>
          </cell>
          <cell r="AK8983" t="str">
            <v>Imran Aquil</v>
          </cell>
        </row>
        <row r="8984">
          <cell r="C8984" t="str">
            <v>Natixis - Security Data Analytics</v>
          </cell>
          <cell r="H8984">
            <v>5050966</v>
          </cell>
          <cell r="AK8984" t="str">
            <v>Jason Noran</v>
          </cell>
        </row>
        <row r="8985">
          <cell r="C8985" t="str">
            <v>Guardian PM Assessment &amp; Framework</v>
          </cell>
          <cell r="H8985">
            <v>5050911</v>
          </cell>
          <cell r="AK8985" t="str">
            <v>Michelle Rosen</v>
          </cell>
        </row>
        <row r="8986">
          <cell r="C8986" t="str">
            <v>Pru - CTO - IAM Platform Support</v>
          </cell>
          <cell r="H8986">
            <v>5050947</v>
          </cell>
          <cell r="AK8986" t="str">
            <v>Bharath Chikkamaranahalli Bhaskar</v>
          </cell>
        </row>
        <row r="8987">
          <cell r="C8987" t="str">
            <v>HNB Enterprise Payments Technology Support</v>
          </cell>
          <cell r="H8987">
            <v>5050963</v>
          </cell>
          <cell r="AK8987" t="str">
            <v>Spencer Feuer</v>
          </cell>
        </row>
        <row r="8988">
          <cell r="C8988" t="str">
            <v>Staff Aug Pilot Ext</v>
          </cell>
          <cell r="H8988">
            <v>5049562</v>
          </cell>
          <cell r="AK8988" t="str">
            <v>Johnny Gabert</v>
          </cell>
        </row>
        <row r="8989">
          <cell r="C8989" t="str">
            <v>FrMc_Resolution Planning Ext of Role (SA)</v>
          </cell>
          <cell r="H8989">
            <v>5050609</v>
          </cell>
          <cell r="AK8989" t="str">
            <v>Michael Mathew</v>
          </cell>
        </row>
        <row r="8990">
          <cell r="C8990" t="str">
            <v>FrMc_Staff Aug Pilot Role Extension</v>
          </cell>
          <cell r="H8990">
            <v>5049562</v>
          </cell>
          <cell r="AK8990" t="str">
            <v>Johnny Gabert</v>
          </cell>
        </row>
        <row r="8991">
          <cell r="C8991" t="str">
            <v>SVB_Data Policy Extension H1 2024</v>
          </cell>
          <cell r="H8991">
            <v>5050985</v>
          </cell>
          <cell r="AK8991" t="str">
            <v>Jessica Seifer</v>
          </cell>
        </row>
        <row r="8992">
          <cell r="C8992" t="str">
            <v>SVB_Data Policy Expansion MR H1 24</v>
          </cell>
          <cell r="H8992">
            <v>5051195</v>
          </cell>
          <cell r="AK8992" t="str">
            <v>Jessica Seifer</v>
          </cell>
        </row>
        <row r="8993">
          <cell r="C8993" t="str">
            <v>WF CIB Inline QA/QC ext</v>
          </cell>
          <cell r="H8993">
            <v>5051059</v>
          </cell>
          <cell r="AK8993" t="str">
            <v>Pranay Kalra</v>
          </cell>
        </row>
        <row r="8994">
          <cell r="C8994" t="str">
            <v>Popular Bank HMDA 2023-2024</v>
          </cell>
          <cell r="H8994">
            <v>5051147</v>
          </cell>
          <cell r="AK8994" t="str">
            <v>Juan Pimentel</v>
          </cell>
        </row>
        <row r="8995">
          <cell r="C8995" t="str">
            <v>Ridgewood Savings Bank</v>
          </cell>
          <cell r="H8995">
            <v>5048586</v>
          </cell>
          <cell r="AK8995" t="str">
            <v>Leigh Tribou</v>
          </cell>
        </row>
        <row r="8996">
          <cell r="C8996" t="str">
            <v>Nomura CFTC Rewrite India Resource Extention</v>
          </cell>
          <cell r="H8996">
            <v>5049964</v>
          </cell>
          <cell r="AK8996" t="str">
            <v>Salim Modi</v>
          </cell>
        </row>
        <row r="8997">
          <cell r="C8997" t="str">
            <v>Nomura CFTC Rewrite Extention 3</v>
          </cell>
          <cell r="H8997">
            <v>5047559</v>
          </cell>
          <cell r="AK8997" t="str">
            <v>Salim Modi</v>
          </cell>
        </row>
        <row r="8998">
          <cell r="C8998" t="str">
            <v>FrMc_MD (SA) Role Extensions</v>
          </cell>
          <cell r="H8998">
            <v>5048648</v>
          </cell>
          <cell r="AK8998" t="str">
            <v>Kalkidan Tedla</v>
          </cell>
        </row>
        <row r="8999">
          <cell r="C8999" t="str">
            <v>Recurring GRC Support Services</v>
          </cell>
          <cell r="H8999">
            <v>5050813</v>
          </cell>
          <cell r="AK8999" t="str">
            <v>Tania Makuh</v>
          </cell>
        </row>
        <row r="9000">
          <cell r="C9000" t="str">
            <v>Truist PMO</v>
          </cell>
          <cell r="H9000">
            <v>5051619</v>
          </cell>
          <cell r="AK9000" t="str">
            <v>Kaitlin Cohen</v>
          </cell>
        </row>
        <row r="9001">
          <cell r="C9001" t="str">
            <v>Pru - D2X - Stages Delivery Team EXTENSION CY24</v>
          </cell>
          <cell r="H9001">
            <v>5049655</v>
          </cell>
          <cell r="AK9001" t="str">
            <v>Gerhardt Scriven</v>
          </cell>
        </row>
        <row r="9002">
          <cell r="C9002" t="str">
            <v>Farmers &amp; Merchants Bank - AR_RAS_2024</v>
          </cell>
          <cell r="H9002">
            <v>5039485</v>
          </cell>
          <cell r="AK9002" t="str">
            <v>Rebecca Breland</v>
          </cell>
        </row>
        <row r="9003">
          <cell r="C9003" t="str">
            <v>Goldman Sachs - India CTB PM - 2024 extn</v>
          </cell>
          <cell r="H9003">
            <v>5051726</v>
          </cell>
          <cell r="AK9003" t="str">
            <v>Kashmira Sudhir Ajgaonkar</v>
          </cell>
        </row>
        <row r="9004">
          <cell r="C9004" t="str">
            <v>Connecticut Community Bank CMS</v>
          </cell>
          <cell r="H9004">
            <v>5050756</v>
          </cell>
          <cell r="AK9004" t="str">
            <v>Mary Louise Radley</v>
          </cell>
        </row>
        <row r="9005">
          <cell r="C9005" t="str">
            <v>Goldman MQC 2024</v>
          </cell>
          <cell r="H9005">
            <v>5050740</v>
          </cell>
          <cell r="AK9005" t="str">
            <v>Christian Maier</v>
          </cell>
        </row>
        <row r="9006">
          <cell r="C9006" t="str">
            <v>Recurring PS Bank_CMS Optimizer 2024</v>
          </cell>
          <cell r="H9006">
            <v>5050780</v>
          </cell>
          <cell r="AK9006" t="str">
            <v>Gail Rassler</v>
          </cell>
        </row>
        <row r="9007">
          <cell r="C9007" t="str">
            <v>RECURRING Cape Cod Five CMS 2024</v>
          </cell>
          <cell r="H9007">
            <v>5051211</v>
          </cell>
          <cell r="AK9007" t="str">
            <v>Lawana Clark</v>
          </cell>
        </row>
        <row r="9008">
          <cell r="C9008" t="str">
            <v>RECURRING New Millennium Bank CMS 2024</v>
          </cell>
          <cell r="H9008">
            <v>5051466</v>
          </cell>
          <cell r="AK9008" t="str">
            <v>Anna Proleika</v>
          </cell>
        </row>
        <row r="9009">
          <cell r="C9009" t="str">
            <v>RECURRING Savings Bank of Danbury CMS 2024</v>
          </cell>
          <cell r="H9009">
            <v>5051380</v>
          </cell>
          <cell r="AK9009" t="str">
            <v>Mariana Dumanovsky</v>
          </cell>
        </row>
        <row r="9010">
          <cell r="C9010" t="str">
            <v>Santander PMO</v>
          </cell>
          <cell r="H9010">
            <v>5053485</v>
          </cell>
          <cell r="AK9010" t="str">
            <v>Anna Stawowy</v>
          </cell>
        </row>
        <row r="9011">
          <cell r="C9011" t="str">
            <v>ITC Annual Audits</v>
          </cell>
          <cell r="H9011">
            <v>5050682</v>
          </cell>
          <cell r="AK9011" t="str">
            <v>Mary Louise Radley</v>
          </cell>
        </row>
        <row r="9012">
          <cell r="C9012" t="str">
            <v>RECURRING MSB CMS 2024</v>
          </cell>
          <cell r="H9012">
            <v>5051402</v>
          </cell>
          <cell r="AK9012" t="str">
            <v>David Stalnaker</v>
          </cell>
        </row>
        <row r="9013">
          <cell r="C9013" t="str">
            <v>FrMc_MF ILM 2024</v>
          </cell>
          <cell r="H9013">
            <v>5050910</v>
          </cell>
          <cell r="AK9013" t="str">
            <v>Rishi Sanghavi</v>
          </cell>
        </row>
        <row r="9014">
          <cell r="C9014" t="str">
            <v>FrMc_MF ILM 2024</v>
          </cell>
          <cell r="H9014">
            <v>5050910</v>
          </cell>
          <cell r="AK9014" t="str">
            <v>Rishi Sanghavi</v>
          </cell>
        </row>
        <row r="9015">
          <cell r="C9015" t="str">
            <v>MS_WMT QA SSS_FY24 Q4</v>
          </cell>
          <cell r="H9015">
            <v>5049101</v>
          </cell>
          <cell r="AK9015" t="str">
            <v>Balaji Ramamurthy</v>
          </cell>
        </row>
        <row r="9016">
          <cell r="C9016" t="str">
            <v>Jefferies Risk IT Environment Support</v>
          </cell>
          <cell r="H9016">
            <v>5051298</v>
          </cell>
          <cell r="AK9016" t="str">
            <v>John McCaffrey</v>
          </cell>
        </row>
        <row r="9017">
          <cell r="C9017" t="str">
            <v>UniCredit Markets - Calypso EMIR - PL (Oct-Dec 2023)</v>
          </cell>
          <cell r="H9017">
            <v>5051344</v>
          </cell>
          <cell r="AK9017" t="str">
            <v>Brett Knickle</v>
          </cell>
        </row>
        <row r="9018">
          <cell r="C9018" t="str">
            <v>Calhoun CMS 2024-2025</v>
          </cell>
          <cell r="H9018">
            <v>5050456</v>
          </cell>
          <cell r="AK9018" t="str">
            <v>Eugene Collett</v>
          </cell>
        </row>
        <row r="9019">
          <cell r="C9019" t="str">
            <v>The Cape Cod Five Cents SavingsBnk_RAS_2024</v>
          </cell>
          <cell r="H9019">
            <v>5039559</v>
          </cell>
          <cell r="AK9019" t="str">
            <v>Diane Banks</v>
          </cell>
        </row>
        <row r="9020">
          <cell r="C9020" t="str">
            <v>Peoples Bank, NA - OH_RAS_2024</v>
          </cell>
          <cell r="H9020">
            <v>5039703</v>
          </cell>
          <cell r="AK9020" t="str">
            <v>Diane Banks</v>
          </cell>
        </row>
        <row r="9021">
          <cell r="C9021" t="str">
            <v>HAB - CMS Optimizer</v>
          </cell>
          <cell r="H9021">
            <v>5050730</v>
          </cell>
          <cell r="AK9021" t="str">
            <v>Eugene Collett</v>
          </cell>
        </row>
        <row r="9022">
          <cell r="C9022" t="str">
            <v>Ciera Bank_RAS_2024</v>
          </cell>
          <cell r="H9022">
            <v>5039608</v>
          </cell>
          <cell r="AK9022" t="str">
            <v>Diane Banks</v>
          </cell>
        </row>
        <row r="9023">
          <cell r="C9023" t="str">
            <v>Industrial &amp; Commercial Ba_RAS</v>
          </cell>
          <cell r="H9023">
            <v>5039517</v>
          </cell>
          <cell r="AK9023" t="str">
            <v>Diane Banks</v>
          </cell>
        </row>
        <row r="9024">
          <cell r="C9024" t="str">
            <v>Walden Savings Bank CMS Renewal 2024 - 2026</v>
          </cell>
          <cell r="H9024">
            <v>5050772</v>
          </cell>
          <cell r="AK9024" t="str">
            <v>David Belfer</v>
          </cell>
        </row>
        <row r="9025">
          <cell r="C9025" t="str">
            <v>HMDA and CRA Validation</v>
          </cell>
          <cell r="H9025">
            <v>5050717</v>
          </cell>
          <cell r="AK9025" t="str">
            <v>Kristina Slattery</v>
          </cell>
        </row>
        <row r="9026">
          <cell r="C9026" t="str">
            <v>RECURRING OneLocal-CMS Opt 2024</v>
          </cell>
          <cell r="H9026">
            <v>5050724</v>
          </cell>
          <cell r="AK9026" t="str">
            <v>Pamela Acciardo</v>
          </cell>
        </row>
        <row r="9027">
          <cell r="C9027" t="str">
            <v>Somerset Trust Company RAS_2024</v>
          </cell>
          <cell r="H9027">
            <v>5039550</v>
          </cell>
          <cell r="AK9027" t="str">
            <v>Diane Banks</v>
          </cell>
        </row>
        <row r="9028">
          <cell r="C9028" t="str">
            <v>Bank of Monroe RAS 2024</v>
          </cell>
          <cell r="H9028">
            <v>5039449</v>
          </cell>
          <cell r="AK9028" t="str">
            <v>Diane Banks</v>
          </cell>
        </row>
        <row r="9029">
          <cell r="C9029" t="str">
            <v>Radiant Credit Union CMS</v>
          </cell>
          <cell r="H9029">
            <v>5050941</v>
          </cell>
          <cell r="AK9029" t="str">
            <v>Louvera Walden</v>
          </cell>
        </row>
        <row r="9030">
          <cell r="C9030" t="str">
            <v>RECURRING AM_Compliance Consulting</v>
          </cell>
          <cell r="H9030">
            <v>5050812</v>
          </cell>
          <cell r="AK9030" t="str">
            <v>Louvera Walden</v>
          </cell>
        </row>
        <row r="9031">
          <cell r="C9031" t="str">
            <v>SVB_Developer Extension</v>
          </cell>
          <cell r="H9031">
            <v>5051148</v>
          </cell>
          <cell r="AK9031" t="str">
            <v>Souma Basu</v>
          </cell>
        </row>
        <row r="9032">
          <cell r="C9032" t="str">
            <v>SVB_Payment Software Engineer - VK - Q1 2024</v>
          </cell>
          <cell r="H9032">
            <v>5051136</v>
          </cell>
          <cell r="AK9032" t="str">
            <v>Souma Basu</v>
          </cell>
        </row>
        <row r="9033">
          <cell r="C9033" t="str">
            <v>SVB_Data Integration and Divesture Support</v>
          </cell>
          <cell r="H9033">
            <v>5051146</v>
          </cell>
          <cell r="AK9033" t="str">
            <v>Christopher Tecchio</v>
          </cell>
        </row>
        <row r="9034">
          <cell r="C9034" t="str">
            <v>Santander Horizon IT GRC Extension</v>
          </cell>
          <cell r="H9034">
            <v>5049756</v>
          </cell>
          <cell r="AK9034" t="str">
            <v>Caroline Teunissen</v>
          </cell>
        </row>
        <row r="9035">
          <cell r="C9035" t="str">
            <v>Santander Horizon IT GRC Extension</v>
          </cell>
          <cell r="H9035">
            <v>5049756</v>
          </cell>
          <cell r="AK9035" t="str">
            <v>Caroline Teunissen</v>
          </cell>
        </row>
        <row r="9036">
          <cell r="C9036" t="str">
            <v>Rockland Trust MQC 2024</v>
          </cell>
          <cell r="H9036">
            <v>5051342</v>
          </cell>
          <cell r="AK9036" t="str">
            <v>Christian Maier</v>
          </cell>
        </row>
        <row r="9037">
          <cell r="C9037" t="str">
            <v>Watertown SB_Compliance Consulting 2024</v>
          </cell>
          <cell r="H9037">
            <v>5051113</v>
          </cell>
          <cell r="AK9037" t="str">
            <v>Lawana Clark</v>
          </cell>
        </row>
        <row r="9038">
          <cell r="C9038" t="str">
            <v>Watertown Savings Bank -NY_RAS_2024</v>
          </cell>
          <cell r="H9038">
            <v>5039572</v>
          </cell>
          <cell r="AK9038" t="str">
            <v>Diane Banks</v>
          </cell>
        </row>
        <row r="9039">
          <cell r="C9039" t="str">
            <v>ICM Payment Modernization (6477) 2024 Ext</v>
          </cell>
          <cell r="H9039">
            <v>5051366</v>
          </cell>
          <cell r="AK9039" t="str">
            <v>Kalkidan Tedla</v>
          </cell>
        </row>
        <row r="9040">
          <cell r="C9040" t="str">
            <v>MF (SA) 2024 Role Extensions</v>
          </cell>
          <cell r="H9040">
            <v>5044802</v>
          </cell>
          <cell r="AK9040" t="str">
            <v>Kalkidan Tedla</v>
          </cell>
        </row>
        <row r="9041">
          <cell r="C9041" t="str">
            <v>John Marshall Bank_RAS 2024-2026</v>
          </cell>
          <cell r="H9041">
            <v>5039518</v>
          </cell>
          <cell r="AK9041" t="str">
            <v>Diane Banks</v>
          </cell>
        </row>
        <row r="9042">
          <cell r="C9042" t="str">
            <v>MS_WMT QA_Wealth Advisory FY24 Q4</v>
          </cell>
          <cell r="H9042">
            <v>5049097</v>
          </cell>
          <cell r="AK9042" t="str">
            <v>Balaji Ramamurthy</v>
          </cell>
        </row>
        <row r="9043">
          <cell r="C9043" t="str">
            <v>Avidia Bank_RAS_2024</v>
          </cell>
          <cell r="H9043">
            <v>5039444</v>
          </cell>
          <cell r="AK9043" t="str">
            <v>Diane Banks</v>
          </cell>
        </row>
        <row r="9044">
          <cell r="C9044" t="str">
            <v>WSFS TRID File Reviews</v>
          </cell>
          <cell r="H9044">
            <v>5050940</v>
          </cell>
          <cell r="AK9044" t="str">
            <v>Amanda Pickering</v>
          </cell>
        </row>
        <row r="9045">
          <cell r="C9045" t="str">
            <v>SVB Commercial Card Support 2024</v>
          </cell>
          <cell r="H9045">
            <v>5051041</v>
          </cell>
          <cell r="AK9045" t="str">
            <v>Seth Berman</v>
          </cell>
        </row>
        <row r="9046">
          <cell r="C9046" t="str">
            <v>Bank of Monroe CMS 2024-2025</v>
          </cell>
          <cell r="H9046">
            <v>5050901</v>
          </cell>
          <cell r="AK9046" t="str">
            <v>Eugene Collett</v>
          </cell>
        </row>
        <row r="9047">
          <cell r="C9047" t="str">
            <v>First Arkansas Bank and Trust_RAS_2024</v>
          </cell>
          <cell r="H9047">
            <v>5039632</v>
          </cell>
          <cell r="AK9047" t="str">
            <v>Diane Banks</v>
          </cell>
        </row>
        <row r="9048">
          <cell r="C9048" t="str">
            <v>Recurring FNB Absecon CMS 2024</v>
          </cell>
          <cell r="H9048">
            <v>5051630</v>
          </cell>
          <cell r="AK9048" t="str">
            <v>Elizabeth Rozsa</v>
          </cell>
        </row>
        <row r="9049">
          <cell r="C9049" t="str">
            <v>Liberty Bank - AL_RAS_2024</v>
          </cell>
          <cell r="H9049">
            <v>5039678</v>
          </cell>
          <cell r="AK9049" t="str">
            <v>Diane Banks</v>
          </cell>
        </row>
        <row r="9050">
          <cell r="C9050" t="str">
            <v>Banco Sabadell_RAS_2024</v>
          </cell>
          <cell r="H9050">
            <v>5039445</v>
          </cell>
          <cell r="AK9050" t="str">
            <v>Diane Banks</v>
          </cell>
        </row>
        <row r="9051">
          <cell r="C9051" t="str">
            <v>MS_WMT QA FPL_WSA_FY24 Q4</v>
          </cell>
          <cell r="H9051">
            <v>5049064</v>
          </cell>
          <cell r="AK9051" t="str">
            <v>Balaji Ramamurthy</v>
          </cell>
        </row>
        <row r="9052">
          <cell r="C9052" t="str">
            <v>CORS KYC Refresh RTB</v>
          </cell>
          <cell r="H9052">
            <v>5050706</v>
          </cell>
          <cell r="AK9052" t="str">
            <v>Ruben Sooriya</v>
          </cell>
        </row>
        <row r="9053">
          <cell r="C9053" t="str">
            <v>North Easton Savings Bank_RAS_2024</v>
          </cell>
          <cell r="H9053">
            <v>5039532</v>
          </cell>
          <cell r="AK9053" t="str">
            <v>Diane Banks</v>
          </cell>
        </row>
        <row r="9054">
          <cell r="C9054" t="str">
            <v>Dean Bank Consulting</v>
          </cell>
          <cell r="H9054">
            <v>5040786</v>
          </cell>
          <cell r="AK9054" t="str">
            <v>Louvera Walden</v>
          </cell>
        </row>
        <row r="9055">
          <cell r="C9055" t="str">
            <v>The First National Bank In Sioux Falls</v>
          </cell>
          <cell r="H9055">
            <v>5039495</v>
          </cell>
          <cell r="AK9055" t="str">
            <v>Diane Banks</v>
          </cell>
        </row>
        <row r="9056">
          <cell r="C9056" t="str">
            <v>Bank of O'Fallon_RAS_2024</v>
          </cell>
          <cell r="H9056">
            <v>5040110</v>
          </cell>
          <cell r="AK9056" t="str">
            <v>Diane Banks</v>
          </cell>
        </row>
        <row r="9057">
          <cell r="C9057" t="str">
            <v>Brotherhood Credit Union</v>
          </cell>
          <cell r="H9057">
            <v>5050840</v>
          </cell>
          <cell r="AK9057" t="str">
            <v>Louvera Walden</v>
          </cell>
        </row>
        <row r="9058">
          <cell r="C9058" t="str">
            <v>PeoplesBank_RAS_2024</v>
          </cell>
          <cell r="H9058">
            <v>5040139</v>
          </cell>
          <cell r="AK9058" t="str">
            <v>Rebecca Breland</v>
          </cell>
        </row>
        <row r="9059">
          <cell r="C9059" t="str">
            <v>Unified Bank_RAS_2024</v>
          </cell>
          <cell r="H9059">
            <v>5039568</v>
          </cell>
          <cell r="AK9059" t="str">
            <v>Rakhi Paharia</v>
          </cell>
        </row>
        <row r="9060">
          <cell r="C9060" t="str">
            <v>Horizon - Channel and Transformation - Phase 6 - 2024</v>
          </cell>
          <cell r="H9060">
            <v>5045590</v>
          </cell>
          <cell r="AK9060" t="str">
            <v>Dana Schwaeber</v>
          </cell>
        </row>
        <row r="9061">
          <cell r="C9061" t="str">
            <v>MS TPPM_ProcessUnity Orlando Configuration Team</v>
          </cell>
          <cell r="H9061">
            <v>5051344</v>
          </cell>
          <cell r="AK9061" t="str">
            <v>Brett Knickle</v>
          </cell>
        </row>
        <row r="9062">
          <cell r="C9062" t="str">
            <v>MS_WM Operations_FY24 Q4</v>
          </cell>
          <cell r="H9062">
            <v>5049095</v>
          </cell>
          <cell r="AK9062" t="str">
            <v>Ruben Sooriya</v>
          </cell>
        </row>
        <row r="9063">
          <cell r="C9063" t="str">
            <v>County Bank_RAS_2024</v>
          </cell>
          <cell r="H9063">
            <v>5039619</v>
          </cell>
          <cell r="AK9063" t="str">
            <v>Diane Banks</v>
          </cell>
        </row>
        <row r="9064">
          <cell r="C9064" t="str">
            <v>Carlsbad National Bank_RAS_2024</v>
          </cell>
          <cell r="H9064">
            <v>5039459</v>
          </cell>
          <cell r="AK9064" t="str">
            <v>Diane Banks</v>
          </cell>
        </row>
        <row r="9065">
          <cell r="C9065" t="str">
            <v>Murex Team 2024</v>
          </cell>
          <cell r="H9065">
            <v>5051306</v>
          </cell>
          <cell r="AK9065" t="str">
            <v>Conor Dowling</v>
          </cell>
        </row>
        <row r="9066">
          <cell r="C9066" t="str">
            <v>Bank of Tennessee_RAS_2024</v>
          </cell>
          <cell r="H9066">
            <v>5039592</v>
          </cell>
          <cell r="AK9066" t="str">
            <v>Rebecca Breland</v>
          </cell>
        </row>
        <row r="9067">
          <cell r="C9067" t="str">
            <v>MS_WMT QA ETrade_FY24 Q4</v>
          </cell>
          <cell r="H9067">
            <v>5049059</v>
          </cell>
          <cell r="AK9067" t="str">
            <v>Balaji Ramamurthy</v>
          </cell>
        </row>
        <row r="9068">
          <cell r="C9068" t="str">
            <v>ICM Payment Modernization (6477) 2024 Ext</v>
          </cell>
          <cell r="H9068">
            <v>5043741</v>
          </cell>
          <cell r="AK9068" t="str">
            <v>Kalkidan Tedla</v>
          </cell>
        </row>
        <row r="9069">
          <cell r="C9069" t="str">
            <v>MS AD&amp;I FY24 Q4</v>
          </cell>
          <cell r="H9069">
            <v>5050314</v>
          </cell>
          <cell r="AK9069" t="str">
            <v>Dan Schutzman</v>
          </cell>
        </row>
        <row r="9070">
          <cell r="C9070" t="str">
            <v>CRB_Co-Sourcing</v>
          </cell>
          <cell r="H9070">
            <v>5050656</v>
          </cell>
          <cell r="AK9070" t="str">
            <v>Eric Van Epps</v>
          </cell>
        </row>
        <row r="9071">
          <cell r="C9071" t="str">
            <v>ICM Payment Modernization (6477) 2024 Ext</v>
          </cell>
          <cell r="H9071">
            <v>5043741</v>
          </cell>
          <cell r="AK9071" t="str">
            <v>Kalkidan Tedla</v>
          </cell>
        </row>
        <row r="9072">
          <cell r="C9072" t="str">
            <v>United CRA Addendum</v>
          </cell>
          <cell r="H9072">
            <v>5049605</v>
          </cell>
          <cell r="AK9072" t="str">
            <v>Elanna Kooistra</v>
          </cell>
        </row>
        <row r="9073">
          <cell r="C9073" t="str">
            <v>Bank of Washington_RAS_2023</v>
          </cell>
          <cell r="H9073">
            <v>5039595</v>
          </cell>
          <cell r="AK9073" t="str">
            <v>Diane Banks</v>
          </cell>
        </row>
        <row r="9074">
          <cell r="C9074" t="str">
            <v>First Financial Bankshares, Inc</v>
          </cell>
          <cell r="H9074">
            <v>5039651</v>
          </cell>
          <cell r="AK9074" t="str">
            <v>Diane Banks</v>
          </cell>
        </row>
        <row r="9075">
          <cell r="C9075" t="str">
            <v>BSF - Digital Banking RA</v>
          </cell>
          <cell r="H9075">
            <v>5049476</v>
          </cell>
          <cell r="AK9075" t="str">
            <v>Robert Farmer</v>
          </cell>
        </row>
        <row r="9076">
          <cell r="C9076" t="str">
            <v>SEIU CLC TCV Correction</v>
          </cell>
          <cell r="H9076">
            <v>5041705</v>
          </cell>
          <cell r="AK9076" t="str">
            <v>Eric Fairchild</v>
          </cell>
        </row>
        <row r="9077">
          <cell r="C9077" t="str">
            <v>HUECU CMS Support</v>
          </cell>
          <cell r="H9077">
            <v>5050976</v>
          </cell>
          <cell r="AK9077" t="str">
            <v>Mary Louise Radley</v>
          </cell>
        </row>
        <row r="9078">
          <cell r="C9078" t="str">
            <v>FNBOE Internal Audits 2024</v>
          </cell>
          <cell r="H9078">
            <v>5050625</v>
          </cell>
          <cell r="AK9078" t="str">
            <v>Mary Louise Radley</v>
          </cell>
        </row>
        <row r="9079">
          <cell r="C9079" t="str">
            <v>Recurring Lennar_BSA Risk Assessment 2024</v>
          </cell>
          <cell r="H9079">
            <v>5051476</v>
          </cell>
          <cell r="AK9079" t="str">
            <v>Charles Lynn Piper</v>
          </cell>
        </row>
        <row r="9080">
          <cell r="C9080" t="str">
            <v>Finxact Battle Bank Implementation Sprints Extension 7 CO#6</v>
          </cell>
          <cell r="H9080">
            <v>5050611</v>
          </cell>
          <cell r="AK9080" t="str">
            <v>James Kane</v>
          </cell>
        </row>
        <row r="9081">
          <cell r="C9081" t="str">
            <v>WTB CMS Support</v>
          </cell>
          <cell r="H9081">
            <v>5051040</v>
          </cell>
          <cell r="AK9081" t="str">
            <v>Mary Louise Radley</v>
          </cell>
        </row>
        <row r="9082">
          <cell r="C9082" t="str">
            <v>Saco &amp; Biddeford Savings Institution RAS 2024</v>
          </cell>
          <cell r="H9082">
            <v>5039547</v>
          </cell>
          <cell r="AK9082" t="str">
            <v>Diane Banks</v>
          </cell>
        </row>
        <row r="9083">
          <cell r="C9083" t="str">
            <v>The Dime Bank RAS 2024</v>
          </cell>
          <cell r="H9083">
            <v>5039560</v>
          </cell>
          <cell r="AK9083" t="str">
            <v>Diane Banks</v>
          </cell>
        </row>
        <row r="9084">
          <cell r="C9084" t="str">
            <v>Dean Co-Operative Bank_RAS 2024</v>
          </cell>
          <cell r="H9084">
            <v>5039476</v>
          </cell>
          <cell r="AK9084" t="str">
            <v>Diane Banks</v>
          </cell>
        </row>
        <row r="9085">
          <cell r="C9085" t="str">
            <v>First Southern State Bank</v>
          </cell>
          <cell r="H9085">
            <v>5039499</v>
          </cell>
          <cell r="AK9085" t="str">
            <v>Rebecca Breland</v>
          </cell>
        </row>
        <row r="9086">
          <cell r="C9086" t="str">
            <v>Pru - GT - PGIM Full Team Extension H1 CY 2024</v>
          </cell>
          <cell r="H9086">
            <v>5049647</v>
          </cell>
          <cell r="AK9086" t="str">
            <v>Diego Sarai</v>
          </cell>
        </row>
        <row r="9087">
          <cell r="C9087" t="str">
            <v>Leader Bank_RAS_2024-2026</v>
          </cell>
          <cell r="H9087">
            <v>5039521</v>
          </cell>
          <cell r="AK9087" t="str">
            <v>Diane Banks</v>
          </cell>
        </row>
        <row r="9088">
          <cell r="C9088" t="str">
            <v>First Citizens_ SOW #4 ITAM Support H1 2024</v>
          </cell>
          <cell r="H9088">
            <v>5050113</v>
          </cell>
          <cell r="AK9088" t="str">
            <v>Souma Basu</v>
          </cell>
        </row>
        <row r="9089">
          <cell r="C9089" t="str">
            <v>Mifflinburg Bank &amp; Trust C_RAS_2024</v>
          </cell>
          <cell r="H9089">
            <v>5039688</v>
          </cell>
          <cell r="AK9089" t="str">
            <v>Diane Banks</v>
          </cell>
        </row>
        <row r="9090">
          <cell r="C9090" t="str">
            <v>Battle Bank System Integrator Extension - Phase 8</v>
          </cell>
          <cell r="H9090">
            <v>5050428</v>
          </cell>
          <cell r="AK9090" t="str">
            <v>James Kane</v>
          </cell>
        </row>
        <row r="9091">
          <cell r="C9091" t="str">
            <v>Pru - GT - Contract Command CY2024 Q1 Extension</v>
          </cell>
          <cell r="H9091">
            <v>5049833</v>
          </cell>
          <cell r="AK9091" t="str">
            <v>Harrison Corupe</v>
          </cell>
        </row>
        <row r="9092">
          <cell r="C9092" t="str">
            <v>BTC Bank_RAS_2024</v>
          </cell>
          <cell r="H9092">
            <v>5039602</v>
          </cell>
          <cell r="AK9092" t="str">
            <v>Diane Banks</v>
          </cell>
        </row>
        <row r="9093">
          <cell r="C9093" t="str">
            <v>Watertown Savings Bank- MA_RAS_2024</v>
          </cell>
          <cell r="H9093">
            <v>5040148</v>
          </cell>
          <cell r="AK9093" t="str">
            <v>Diane Banks</v>
          </cell>
        </row>
        <row r="9094">
          <cell r="C9094" t="str">
            <v>FNB Bank - CMS Optimizer</v>
          </cell>
          <cell r="H9094">
            <v>5051128</v>
          </cell>
          <cell r="AK9094" t="str">
            <v>Jeanette Wampler</v>
          </cell>
        </row>
        <row r="9095">
          <cell r="C9095" t="str">
            <v>MS_WMT QA OBM_FY24 Q4</v>
          </cell>
          <cell r="H9095">
            <v>5049058</v>
          </cell>
          <cell r="AK9095" t="str">
            <v>Balaji Ramamurthy</v>
          </cell>
        </row>
        <row r="9096">
          <cell r="C9096" t="str">
            <v>Community Bank Mankato_RAS_2024</v>
          </cell>
          <cell r="H9096">
            <v>5039617</v>
          </cell>
          <cell r="AK9096" t="str">
            <v>Diane Banks</v>
          </cell>
        </row>
        <row r="9097">
          <cell r="C9097" t="str">
            <v>Marsh PPM team extension CY24 H1</v>
          </cell>
          <cell r="H9097">
            <v>5049191</v>
          </cell>
          <cell r="AK9097" t="str">
            <v>Casey Schaffer</v>
          </cell>
        </row>
        <row r="9098">
          <cell r="C9098" t="str">
            <v>Recurring JMB CMS Support - 3 year 2024-2026</v>
          </cell>
          <cell r="H9098">
            <v>5050719</v>
          </cell>
          <cell r="AK9098" t="str">
            <v>Jeanette Wampler</v>
          </cell>
        </row>
        <row r="9099">
          <cell r="C9099" t="str">
            <v>Brotherhood CU - Cybersecurity Assessment</v>
          </cell>
          <cell r="H9099">
            <v>5050478</v>
          </cell>
          <cell r="AK9099" t="str">
            <v>Robert Farmer</v>
          </cell>
        </row>
        <row r="9100">
          <cell r="C9100" t="str">
            <v>MS_ISG Operations_FY24 Q4</v>
          </cell>
          <cell r="H9100">
            <v>5049094</v>
          </cell>
          <cell r="AK9100" t="str">
            <v>Ruben Sooriya</v>
          </cell>
        </row>
        <row r="9101">
          <cell r="C9101" t="str">
            <v>First National Bank of Mou_RAS</v>
          </cell>
          <cell r="H9101">
            <v>5039496</v>
          </cell>
          <cell r="AK9101" t="str">
            <v>Diane Banks</v>
          </cell>
        </row>
        <row r="9102">
          <cell r="C9102" t="str">
            <v>Savings Bank of Danbury_RAS_2024</v>
          </cell>
          <cell r="H9102">
            <v>5039721</v>
          </cell>
          <cell r="AK9102" t="str">
            <v>Diane Banks</v>
          </cell>
        </row>
        <row r="9103">
          <cell r="C9103" t="str">
            <v>Patriot Bank CMS 2024</v>
          </cell>
          <cell r="H9103">
            <v>5051024</v>
          </cell>
          <cell r="AK9103" t="str">
            <v>Mariana Dumanovsky</v>
          </cell>
        </row>
        <row r="9104">
          <cell r="C9104" t="str">
            <v>Community Bank of Parkersburg - CMS Optimizer</v>
          </cell>
          <cell r="H9104">
            <v>5051129</v>
          </cell>
          <cell r="AK9104" t="str">
            <v>Jeanette Wampler</v>
          </cell>
        </row>
        <row r="9105">
          <cell r="C9105" t="str">
            <v>RECURRING HAR CO FCU CMS 2024</v>
          </cell>
          <cell r="H9105">
            <v>5051039</v>
          </cell>
          <cell r="AK9105" t="str">
            <v>W. Annette Dredden</v>
          </cell>
        </row>
        <row r="9106">
          <cell r="C9106" t="str">
            <v>MS_WMT_ Advisory Technology_FY24 Q4</v>
          </cell>
          <cell r="H9106">
            <v>5049099</v>
          </cell>
          <cell r="AK9106" t="str">
            <v>Balaji Ramamurthy</v>
          </cell>
        </row>
        <row r="9107">
          <cell r="C9107" t="str">
            <v>Calhoun County Bank, Inc. RAS 2024</v>
          </cell>
          <cell r="H9107">
            <v>5039458</v>
          </cell>
          <cell r="AK9107" t="str">
            <v>Rebecca Breland</v>
          </cell>
        </row>
        <row r="9108">
          <cell r="C9108" t="str">
            <v>Hanover Community Bank_RAS_2024</v>
          </cell>
          <cell r="H9108">
            <v>5039510</v>
          </cell>
          <cell r="AK9108" t="str">
            <v>Diane Banks</v>
          </cell>
        </row>
        <row r="9109">
          <cell r="C9109" t="str">
            <v>Alliance Financial Service_RAS 2024</v>
          </cell>
          <cell r="H9109">
            <v>5039579</v>
          </cell>
          <cell r="AK9109" t="str">
            <v>Diane Banks</v>
          </cell>
        </row>
        <row r="9110">
          <cell r="C9110" t="str">
            <v>PSECU BSA/AML/OFAC RA</v>
          </cell>
          <cell r="H9110">
            <v>5051084</v>
          </cell>
          <cell r="AK9110" t="str">
            <v>William Sachs</v>
          </cell>
        </row>
        <row r="9111">
          <cell r="C9111" t="str">
            <v>Enterprise ILM 2024 EXT</v>
          </cell>
          <cell r="H9111">
            <v>5046317</v>
          </cell>
          <cell r="AK9111" t="str">
            <v>Kalkidan Tedla</v>
          </cell>
        </row>
        <row r="9112">
          <cell r="C9112" t="str">
            <v>GRC Implementation and Support - Survey Application</v>
          </cell>
          <cell r="H9112">
            <v>5051237</v>
          </cell>
          <cell r="AK9112" t="str">
            <v>Gregg Henzel</v>
          </cell>
        </row>
        <row r="9113">
          <cell r="C9113" t="str">
            <v>Maspeth-Compliance Testing</v>
          </cell>
          <cell r="H9113">
            <v>5051244</v>
          </cell>
          <cell r="AK9113" t="str">
            <v>Anna Proleika</v>
          </cell>
        </row>
        <row r="9114">
          <cell r="C9114" t="str">
            <v>MS_ HR Data BA FY24 Q4</v>
          </cell>
          <cell r="H9114">
            <v>5047431</v>
          </cell>
          <cell r="AK9114" t="str">
            <v>Kshitij Zaveri</v>
          </cell>
        </row>
        <row r="9115">
          <cell r="C9115" t="str">
            <v>Jefferies Transcend Offshore QA &amp; APP Support</v>
          </cell>
          <cell r="H9115">
            <v>5050922</v>
          </cell>
          <cell r="AK9115" t="str">
            <v>John McCaffrey</v>
          </cell>
        </row>
        <row r="9116">
          <cell r="C9116" t="str">
            <v>Pru - LTC - Holistic Wellness Pod</v>
          </cell>
          <cell r="H9116">
            <v>5051089</v>
          </cell>
          <cell r="AK9116" t="str">
            <v>Wesley Yu</v>
          </cell>
        </row>
        <row r="9117">
          <cell r="C9117" t="str">
            <v>MS_ISG_Mumbai FY24 Q4</v>
          </cell>
          <cell r="H9117">
            <v>5049096</v>
          </cell>
          <cell r="AK9117" t="str">
            <v>Ruben Sooriya</v>
          </cell>
        </row>
        <row r="9118">
          <cell r="C9118" t="str">
            <v>Woodlands Bank_RAS_2024</v>
          </cell>
          <cell r="H9118">
            <v>5039746</v>
          </cell>
          <cell r="AK9118" t="str">
            <v>Diane Banks</v>
          </cell>
        </row>
        <row r="9119">
          <cell r="C9119" t="str">
            <v>Wash Trust Company - Redlining Consent Order Remediation</v>
          </cell>
          <cell r="H9119">
            <v>5051424</v>
          </cell>
          <cell r="AK9119" t="str">
            <v>Leigh Tribou</v>
          </cell>
        </row>
        <row r="9120">
          <cell r="C9120" t="str">
            <v>Popular Bank - O - Jan-Feb Extension</v>
          </cell>
          <cell r="H9120">
            <v>5051171</v>
          </cell>
          <cell r="AK9120" t="str">
            <v>Irene Symeonidou</v>
          </cell>
        </row>
        <row r="9121">
          <cell r="C9121" t="str">
            <v>United Bank_RAS_2024</v>
          </cell>
          <cell r="H9121">
            <v>5039738</v>
          </cell>
          <cell r="AK9121" t="str">
            <v>Diane Banks</v>
          </cell>
        </row>
        <row r="9122">
          <cell r="C9122" t="str">
            <v>Recurring Unified Bank CMS Support</v>
          </cell>
          <cell r="H9122">
            <v>5051213</v>
          </cell>
          <cell r="AK9122" t="str">
            <v>Louvera Walden</v>
          </cell>
        </row>
        <row r="9123">
          <cell r="C9123" t="str">
            <v>First State Bank of Beecher City</v>
          </cell>
          <cell r="H9123">
            <v>5039657</v>
          </cell>
          <cell r="AK9123" t="str">
            <v>Diane Banks</v>
          </cell>
        </row>
        <row r="9124">
          <cell r="C9124" t="str">
            <v>Goldman TRID 2024</v>
          </cell>
          <cell r="H9124">
            <v>5050738</v>
          </cell>
          <cell r="AK9124" t="str">
            <v>Christian Maier</v>
          </cell>
        </row>
        <row r="9125">
          <cell r="C9125" t="str">
            <v>HUECU_RAS 2024-2025</v>
          </cell>
          <cell r="H9125">
            <v>5044043</v>
          </cell>
          <cell r="AK9125" t="str">
            <v>Diane Banks</v>
          </cell>
        </row>
        <row r="9126">
          <cell r="C9126" t="str">
            <v>CISO Support Ext</v>
          </cell>
          <cell r="H9126">
            <v>5047074</v>
          </cell>
          <cell r="AK9126" t="str">
            <v>Ridha Mesli</v>
          </cell>
        </row>
        <row r="9127">
          <cell r="C9127" t="str">
            <v>Goldman MQC Orlando 2024</v>
          </cell>
          <cell r="H9127">
            <v>5050739</v>
          </cell>
          <cell r="AK9127" t="str">
            <v>Christian Maier</v>
          </cell>
        </row>
        <row r="9128">
          <cell r="C9128" t="str">
            <v>KEB Hana Bank USA CMS Support</v>
          </cell>
          <cell r="H9128">
            <v>5050646</v>
          </cell>
          <cell r="AK9128" t="str">
            <v>Mary Louise Radley</v>
          </cell>
        </row>
        <row r="9129">
          <cell r="C9129" t="str">
            <v>Recurring Haddon Savings_CMS Support</v>
          </cell>
          <cell r="H9129">
            <v>5051391</v>
          </cell>
          <cell r="AK9129" t="str">
            <v>Anna Proleika</v>
          </cell>
        </row>
        <row r="9130">
          <cell r="C9130" t="str">
            <v>Citizens Bank of Eldon_2024_RAS</v>
          </cell>
          <cell r="H9130">
            <v>5039609</v>
          </cell>
          <cell r="AK9130" t="str">
            <v>Diane Banks</v>
          </cell>
        </row>
        <row r="9131">
          <cell r="C9131" t="str">
            <v>CNB Bank Inc RAS 2024</v>
          </cell>
          <cell r="H9131">
            <v>5039469</v>
          </cell>
          <cell r="AK9131" t="str">
            <v>Diane Banks</v>
          </cell>
        </row>
        <row r="9132">
          <cell r="C9132" t="str">
            <v>NexTier Bank NA_RAS_2024</v>
          </cell>
          <cell r="H9132">
            <v>5039693</v>
          </cell>
          <cell r="AK9132" t="str">
            <v>Diane Banks</v>
          </cell>
        </row>
        <row r="9133">
          <cell r="C9133" t="str">
            <v>First Bank Richmond_RAS_2024</v>
          </cell>
          <cell r="H9133">
            <v>5039633</v>
          </cell>
          <cell r="AK9133" t="str">
            <v>Diane Banks</v>
          </cell>
        </row>
        <row r="9134">
          <cell r="C9134" t="str">
            <v>Lakeland Bank_RAS</v>
          </cell>
          <cell r="H9134">
            <v>5039519</v>
          </cell>
          <cell r="AK9134" t="str">
            <v>Rebecca Breland</v>
          </cell>
        </row>
        <row r="9135">
          <cell r="C9135" t="str">
            <v>Pru - Annuities - Distribution Service Extension Phase1</v>
          </cell>
          <cell r="H9135">
            <v>5049758</v>
          </cell>
          <cell r="AK9135" t="str">
            <v>Eric Fairchild</v>
          </cell>
        </row>
        <row r="9136">
          <cell r="C9136" t="str">
            <v>Pru - Annuities - Distribution Service Extension Phase1</v>
          </cell>
          <cell r="H9136">
            <v>5049758</v>
          </cell>
          <cell r="AK9136" t="str">
            <v>Eric Fairchild</v>
          </cell>
        </row>
        <row r="9137">
          <cell r="C9137" t="str">
            <v>MS Data KG Global FY24 Q4</v>
          </cell>
          <cell r="H9137">
            <v>5049900</v>
          </cell>
          <cell r="AK9137" t="str">
            <v>Erik Johnson</v>
          </cell>
        </row>
        <row r="9138">
          <cell r="C9138" t="str">
            <v>Patriot Bank National Ass_RAS_2024</v>
          </cell>
          <cell r="H9138">
            <v>5039537</v>
          </cell>
          <cell r="AK9138" t="str">
            <v>Diane Banks</v>
          </cell>
        </row>
        <row r="9139">
          <cell r="C9139" t="str">
            <v>MS_WM Ops_PBO FY24 Q4</v>
          </cell>
          <cell r="H9139">
            <v>5049061</v>
          </cell>
          <cell r="AK9139" t="str">
            <v>Vishal Vyas</v>
          </cell>
        </row>
        <row r="9140">
          <cell r="C9140" t="str">
            <v>Clear Mountain Bank_RAS_2024</v>
          </cell>
          <cell r="H9140">
            <v>5047073</v>
          </cell>
          <cell r="AK9140" t="str">
            <v>Diane Banks</v>
          </cell>
        </row>
        <row r="9141">
          <cell r="C9141" t="str">
            <v>CBB Compliance Audits</v>
          </cell>
          <cell r="H9141">
            <v>5051639</v>
          </cell>
          <cell r="AK9141" t="str">
            <v>W. Annette Dredden</v>
          </cell>
        </row>
        <row r="9142">
          <cell r="C9142" t="str">
            <v>MS_WMT Advisory Tech India_FY24 Q4</v>
          </cell>
          <cell r="H9142">
            <v>5049170</v>
          </cell>
          <cell r="AK9142" t="str">
            <v>Balaji Ramamurthy</v>
          </cell>
        </row>
        <row r="9143">
          <cell r="C9143" t="str">
            <v>Walden Savings Bank_RAS_2024</v>
          </cell>
          <cell r="H9143">
            <v>5039571</v>
          </cell>
          <cell r="AK9143" t="str">
            <v>Diane Banks</v>
          </cell>
        </row>
        <row r="9144">
          <cell r="C9144" t="str">
            <v>Platte Valley Financial Se_RAS_2024</v>
          </cell>
          <cell r="H9144">
            <v>5039542</v>
          </cell>
          <cell r="AK9144" t="str">
            <v>Diane Banks</v>
          </cell>
        </row>
        <row r="9145">
          <cell r="C9145" t="str">
            <v>First Exchange Bank 2024 RAS</v>
          </cell>
          <cell r="H9145">
            <v>5041450</v>
          </cell>
          <cell r="AK9145" t="str">
            <v>Diane Banks</v>
          </cell>
        </row>
        <row r="9146">
          <cell r="C9146" t="str">
            <v>Pru - GT - IDeX Team Quality Boost Extension</v>
          </cell>
          <cell r="H9146">
            <v>5050021</v>
          </cell>
          <cell r="AK9146" t="str">
            <v>Bharath Chikkamaranahalli Bhaskar</v>
          </cell>
        </row>
        <row r="9147">
          <cell r="C9147" t="str">
            <v>Strategic Ledger Data Governance</v>
          </cell>
          <cell r="H9147">
            <v>5048774</v>
          </cell>
          <cell r="AK9147" t="str">
            <v>Jordell Clarke-McIntosh</v>
          </cell>
        </row>
        <row r="9148">
          <cell r="C9148" t="str">
            <v>Pru - CTO - Meera Malde CY 2024 Extension</v>
          </cell>
          <cell r="H9148">
            <v>5050313</v>
          </cell>
          <cell r="AK9148" t="str">
            <v>Bharath Chikkamaranahalli Bhaskar</v>
          </cell>
        </row>
        <row r="9149">
          <cell r="C9149" t="str">
            <v>Bank Star_RAS_2024</v>
          </cell>
          <cell r="H9149">
            <v>5039596</v>
          </cell>
          <cell r="AK9149" t="str">
            <v>Rebecca Breland</v>
          </cell>
        </row>
        <row r="9150">
          <cell r="C9150" t="str">
            <v>Auto Club Group_2024 RAS</v>
          </cell>
          <cell r="H9150">
            <v>5039443</v>
          </cell>
          <cell r="AK9150" t="str">
            <v>Rebecca Breland</v>
          </cell>
        </row>
        <row r="9151">
          <cell r="C9151" t="str">
            <v>Recurring Argent FCU CMSO 2024</v>
          </cell>
          <cell r="H9151">
            <v>5051248</v>
          </cell>
          <cell r="AK9151" t="str">
            <v>Steve Manitzas</v>
          </cell>
        </row>
        <row r="9152">
          <cell r="C9152" t="str">
            <v>MS_Data CoE FY24 Q4</v>
          </cell>
          <cell r="H9152">
            <v>5049063</v>
          </cell>
          <cell r="AK9152" t="str">
            <v>Grzegorz Walukanis</v>
          </cell>
        </row>
        <row r="9153">
          <cell r="C9153" t="str">
            <v>Morton Community bank_RAS_2024</v>
          </cell>
          <cell r="H9153">
            <v>5040133</v>
          </cell>
          <cell r="AK9153" t="str">
            <v>Diane Banks</v>
          </cell>
        </row>
        <row r="9154">
          <cell r="C9154" t="str">
            <v>Achieva Credit Union 2024 RAS</v>
          </cell>
          <cell r="H9154">
            <v>5039577</v>
          </cell>
          <cell r="AK9154" t="str">
            <v>Rebecca Breland</v>
          </cell>
        </row>
        <row r="9155">
          <cell r="C9155" t="str">
            <v>Amerant - 2024</v>
          </cell>
          <cell r="H9155">
            <v>5051079</v>
          </cell>
          <cell r="AK9155" t="str">
            <v>David Belfer</v>
          </cell>
        </row>
        <row r="9156">
          <cell r="C9156" t="str">
            <v>RECURRING ICBC CMS</v>
          </cell>
          <cell r="H9156">
            <v>5051460</v>
          </cell>
          <cell r="AK9156" t="str">
            <v>David Belfer</v>
          </cell>
        </row>
        <row r="9157">
          <cell r="C9157" t="str">
            <v>First Financial Bankshares_RAS_2024</v>
          </cell>
          <cell r="H9157">
            <v>5039642</v>
          </cell>
          <cell r="AK9157" t="str">
            <v>Diane Banks</v>
          </cell>
        </row>
        <row r="9158">
          <cell r="C9158" t="str">
            <v>PenFed Closing TRID Review 2024</v>
          </cell>
          <cell r="H9158">
            <v>5051271</v>
          </cell>
          <cell r="AK9158" t="str">
            <v>Thuy Whitaker</v>
          </cell>
        </row>
        <row r="9159">
          <cell r="C9159" t="str">
            <v>PenFed Disclosure Desk 2024</v>
          </cell>
          <cell r="H9159">
            <v>5051272</v>
          </cell>
          <cell r="AK9159" t="str">
            <v>Thuy Whitaker</v>
          </cell>
        </row>
        <row r="9160">
          <cell r="C9160" t="str">
            <v>Community Bank of Parkersburg RAS 2024</v>
          </cell>
          <cell r="H9160">
            <v>5039471</v>
          </cell>
          <cell r="AK9160" t="str">
            <v>Diane Banks</v>
          </cell>
        </row>
        <row r="9161">
          <cell r="C9161" t="str">
            <v>The Harbor Bank of Marylan_RAS_2024</v>
          </cell>
          <cell r="H9161">
            <v>5039563</v>
          </cell>
          <cell r="AK9161" t="str">
            <v>Rebecca Breland</v>
          </cell>
        </row>
        <row r="9162">
          <cell r="C9162" t="str">
            <v>MS_WMT AIDT Client Platforms_FY24 Q4</v>
          </cell>
          <cell r="H9162">
            <v>5049102</v>
          </cell>
          <cell r="AK9162" t="str">
            <v>Balaji Ramamurthy</v>
          </cell>
        </row>
        <row r="9163">
          <cell r="C9163" t="str">
            <v>MS_ISG Operations_Bangalore_FY24 Q4</v>
          </cell>
          <cell r="H9163">
            <v>5049088</v>
          </cell>
          <cell r="AK9163" t="str">
            <v>Ruben Sooriya</v>
          </cell>
        </row>
        <row r="9164">
          <cell r="C9164" t="str">
            <v>ICM Modernization (SA) Ext Roles</v>
          </cell>
          <cell r="H9164">
            <v>5046062</v>
          </cell>
          <cell r="AK9164" t="str">
            <v>Kalkidan Tedla</v>
          </cell>
        </row>
        <row r="9165">
          <cell r="C9165" t="str">
            <v>RECURRING The Dime Bank HMDA Reviews</v>
          </cell>
          <cell r="H9165">
            <v>5051296</v>
          </cell>
          <cell r="AK9165" t="str">
            <v>Gail Rassler</v>
          </cell>
        </row>
        <row r="9166">
          <cell r="C9166" t="str">
            <v>FNB of Nokomis_RAS_2024</v>
          </cell>
          <cell r="H9166">
            <v>5040126</v>
          </cell>
          <cell r="AK9166" t="str">
            <v>Diane Banks</v>
          </cell>
        </row>
        <row r="9167">
          <cell r="C9167" t="str">
            <v>SVB_Trade Finance Opp Ext1</v>
          </cell>
          <cell r="H9167">
            <v>5050627</v>
          </cell>
          <cell r="AK9167" t="str">
            <v>Burt Yeo</v>
          </cell>
        </row>
        <row r="9168">
          <cell r="C9168" t="str">
            <v>Prudential Holistic Wellness Pod TCV Correction</v>
          </cell>
          <cell r="H9168">
            <v>5051089</v>
          </cell>
          <cell r="AK9168" t="str">
            <v>Wesley Yu</v>
          </cell>
        </row>
        <row r="9169">
          <cell r="C9169" t="str">
            <v>RECURRING Cecil Bank CMS</v>
          </cell>
          <cell r="H9169">
            <v>5051245</v>
          </cell>
          <cell r="AK9169" t="str">
            <v>Steve Manitzas</v>
          </cell>
        </row>
        <row r="9170">
          <cell r="C9170" t="str">
            <v>MS_WM_Digital Marketing Team _FY24 Q4</v>
          </cell>
          <cell r="H9170">
            <v>5049190</v>
          </cell>
          <cell r="AK9170" t="str">
            <v>Dan Schutzman</v>
          </cell>
        </row>
        <row r="9171">
          <cell r="C9171" t="str">
            <v>FM Underwriting Transformation - Ken Pritchard Extension</v>
          </cell>
          <cell r="H9171">
            <v>5041493</v>
          </cell>
          <cell r="AK9171" t="str">
            <v>Nitin Raju</v>
          </cell>
        </row>
        <row r="9172">
          <cell r="C9172" t="str">
            <v>HNB Wealth and Lending Team Extension</v>
          </cell>
          <cell r="H9172">
            <v>5051168</v>
          </cell>
          <cell r="AK9172" t="str">
            <v>Chris Murray</v>
          </cell>
        </row>
        <row r="9173">
          <cell r="C9173" t="str">
            <v>HSBC-GFP-PROC-Procurement Systems Integration - 2024</v>
          </cell>
          <cell r="H9173">
            <v>5050613</v>
          </cell>
          <cell r="AK9173" t="str">
            <v>Rahul Govada</v>
          </cell>
        </row>
        <row r="9174">
          <cell r="C9174" t="str">
            <v>M&amp;A Resources 4Q24 Extension</v>
          </cell>
          <cell r="H9174">
            <v>5051290</v>
          </cell>
          <cell r="AK9174" t="str">
            <v>Nitin Raju</v>
          </cell>
        </row>
        <row r="9175">
          <cell r="C9175" t="str">
            <v>Desjardins - Assessment of Policy Admin system</v>
          </cell>
          <cell r="H9175">
            <v>5051196</v>
          </cell>
          <cell r="AK9175" t="str">
            <v>Douglas Sieg</v>
          </cell>
        </row>
        <row r="9176">
          <cell r="C9176" t="str">
            <v>Natixis_Vulnerability Mgt_H1 2024</v>
          </cell>
          <cell r="H9176">
            <v>5049370</v>
          </cell>
          <cell r="AK9176" t="str">
            <v>Boris Mallet</v>
          </cell>
        </row>
        <row r="9177">
          <cell r="C9177" t="str">
            <v>HNB PCI Compliance Assessment Phase 2</v>
          </cell>
          <cell r="H9177">
            <v>5051012</v>
          </cell>
          <cell r="AK9177" t="str">
            <v>Daniela Hawkins</v>
          </cell>
        </row>
        <row r="9178">
          <cell r="C9178" t="str">
            <v>2U/NBH 2024 Team Extension - CO#5</v>
          </cell>
          <cell r="H9178">
            <v>5050472</v>
          </cell>
          <cell r="AK9178" t="str">
            <v>Adam Polson</v>
          </cell>
        </row>
        <row r="9179">
          <cell r="C9179" t="str">
            <v>RECURRING Blue Foundry CMS 2024</v>
          </cell>
          <cell r="H9179">
            <v>5051495</v>
          </cell>
          <cell r="AK9179" t="str">
            <v>Anna Proleika</v>
          </cell>
        </row>
        <row r="9180">
          <cell r="C9180" t="str">
            <v>First Financial Bank_RAS_2024</v>
          </cell>
          <cell r="H9180">
            <v>5039641</v>
          </cell>
          <cell r="AK9180" t="str">
            <v>Diane Banks</v>
          </cell>
        </row>
        <row r="9181">
          <cell r="C9181" t="str">
            <v>SMBC_FIST PM</v>
          </cell>
          <cell r="H9181">
            <v>5050287</v>
          </cell>
          <cell r="AK9181" t="str">
            <v>Christina Artieda</v>
          </cell>
        </row>
        <row r="9182">
          <cell r="C9182" t="str">
            <v>MSB Avenu CMS Program Review</v>
          </cell>
          <cell r="H9182">
            <v>5051422</v>
          </cell>
          <cell r="AK9182" t="str">
            <v>David Stalnaker</v>
          </cell>
        </row>
        <row r="9183">
          <cell r="C9183" t="str">
            <v>HNB BOL CY24H1</v>
          </cell>
          <cell r="H9183">
            <v>5051185</v>
          </cell>
          <cell r="AK9183" t="str">
            <v>Imran Aquil</v>
          </cell>
        </row>
        <row r="9184">
          <cell r="C9184" t="str">
            <v>MECU HMDA Scrub</v>
          </cell>
          <cell r="H9184">
            <v>5051449</v>
          </cell>
          <cell r="AK9184" t="str">
            <v>W. Annette Dredden</v>
          </cell>
        </row>
        <row r="9185">
          <cell r="C9185" t="str">
            <v>EGM_SCREEN 2.0 Development Resources Q1 2024</v>
          </cell>
          <cell r="H9185">
            <v>5048079</v>
          </cell>
          <cell r="AK9185" t="str">
            <v>Brett Knickle</v>
          </cell>
        </row>
        <row r="9186">
          <cell r="C9186" t="str">
            <v>MS_MSIM_FY24 Q4</v>
          </cell>
          <cell r="H9186">
            <v>5049580</v>
          </cell>
          <cell r="AK9186" t="str">
            <v>Dan Schutzman</v>
          </cell>
        </row>
        <row r="9187">
          <cell r="C9187" t="str">
            <v>Legal and Compliance BA 2024 H1</v>
          </cell>
          <cell r="H9187">
            <v>5051046</v>
          </cell>
          <cell r="AK9187" t="str">
            <v>Conor Dowling</v>
          </cell>
        </row>
        <row r="9188">
          <cell r="C9188" t="str">
            <v>GCOO Investment &amp; Delivery Governance Support</v>
          </cell>
          <cell r="H9188">
            <v>5051196</v>
          </cell>
          <cell r="AK9188" t="str">
            <v>Douglas Sieg</v>
          </cell>
        </row>
        <row r="9189">
          <cell r="C9189" t="str">
            <v>US Bank - Money Movement PO and Scrum Master Roles</v>
          </cell>
          <cell r="H9189">
            <v>5051106</v>
          </cell>
          <cell r="AK9189" t="str">
            <v>Samuel Awsumb</v>
          </cell>
        </row>
        <row r="9190">
          <cell r="C9190" t="str">
            <v>WF_ RCSA Extension</v>
          </cell>
          <cell r="H9190">
            <v>5043955</v>
          </cell>
          <cell r="AK9190" t="str">
            <v>Victor Bejarano</v>
          </cell>
        </row>
        <row r="9191">
          <cell r="C9191" t="str">
            <v>HNB Enterprise Payments Portfolio Management Extension 1</v>
          </cell>
          <cell r="H9191">
            <v>5051186</v>
          </cell>
          <cell r="AK9191" t="str">
            <v>Daniela Hawkins</v>
          </cell>
        </row>
        <row r="9192">
          <cell r="C9192" t="str">
            <v>MS_TPPM Business_FY24 Q4</v>
          </cell>
          <cell r="H9192">
            <v>5049206</v>
          </cell>
          <cell r="AK9192" t="str">
            <v>Dan Schutzman</v>
          </cell>
        </row>
        <row r="9193">
          <cell r="C9193" t="str">
            <v>2U/NBH 2024 Team Extension - CO#5</v>
          </cell>
          <cell r="H9193">
            <v>5047314</v>
          </cell>
          <cell r="AK9193" t="str">
            <v>Kelsey Popplewell</v>
          </cell>
        </row>
        <row r="9194">
          <cell r="C9194" t="str">
            <v>MS_WM Business FY24 Q4</v>
          </cell>
          <cell r="H9194">
            <v>5049212</v>
          </cell>
          <cell r="AK9194" t="str">
            <v>Dan Schutzman</v>
          </cell>
        </row>
        <row r="9195">
          <cell r="C9195" t="str">
            <v>Flow Monitor Developer</v>
          </cell>
          <cell r="H9195">
            <v>5051240</v>
          </cell>
          <cell r="AK9195" t="str">
            <v>Irina Szilagyi</v>
          </cell>
        </row>
        <row r="9196">
          <cell r="C9196" t="str">
            <v>City First Bank BSA Staff Augmentation</v>
          </cell>
          <cell r="H9196">
            <v>5051474</v>
          </cell>
          <cell r="AK9196" t="str">
            <v>W. Annette Dredden</v>
          </cell>
        </row>
        <row r="9197">
          <cell r="C9197" t="str">
            <v>DB-CAO-AFC-BC-AFC Modelling - Resource extn Q1 2024</v>
          </cell>
          <cell r="H9197">
            <v>5044647</v>
          </cell>
          <cell r="AK9197" t="str">
            <v>Ruby Cherian</v>
          </cell>
        </row>
        <row r="9198">
          <cell r="C9198" t="str">
            <v>Ops Business Manager 2024</v>
          </cell>
          <cell r="H9198">
            <v>5051376</v>
          </cell>
          <cell r="AK9198" t="str">
            <v>Matthew Rodgers</v>
          </cell>
        </row>
        <row r="9199">
          <cell r="C9199" t="str">
            <v>HNB Core Mode Team Extension Q4 FY 2024 and Q1 FY 2025</v>
          </cell>
          <cell r="H9199">
            <v>5051189</v>
          </cell>
          <cell r="AK9199" t="str">
            <v>Chris Murray</v>
          </cell>
        </row>
        <row r="9200">
          <cell r="C9200" t="str">
            <v>HSBC-GFP-DBS-OCC Remediation Ext 4</v>
          </cell>
          <cell r="H9200">
            <v>5044484</v>
          </cell>
          <cell r="AK9200" t="str">
            <v>Rahul Govada</v>
          </cell>
        </row>
        <row r="9201">
          <cell r="C9201" t="str">
            <v>HSBC-GFP-DBS-OCC Remediation Ext 4</v>
          </cell>
          <cell r="H9201">
            <v>5044484</v>
          </cell>
          <cell r="AK9201" t="str">
            <v>Rahul Govada</v>
          </cell>
        </row>
        <row r="9202">
          <cell r="C9202" t="str">
            <v>2U/NBH 2024 Team Extension - CO#5</v>
          </cell>
          <cell r="H9202">
            <v>5050472</v>
          </cell>
          <cell r="AK9202" t="str">
            <v>Adam Polson</v>
          </cell>
        </row>
        <row r="9203">
          <cell r="C9203" t="str">
            <v>2U/NBH 2024 Team Extension - CO#5</v>
          </cell>
          <cell r="H9203">
            <v>5047314</v>
          </cell>
          <cell r="AK9203" t="str">
            <v>Kelsey Popplewell</v>
          </cell>
        </row>
        <row r="9204">
          <cell r="C9204" t="str">
            <v>RECURRING Farmers and Merchants CMS</v>
          </cell>
          <cell r="H9204">
            <v>5051396</v>
          </cell>
          <cell r="AK9204" t="str">
            <v>W. Annette Dredden</v>
          </cell>
        </row>
        <row r="9205">
          <cell r="C9205" t="str">
            <v>Mitsui RMSC OFAC Extn</v>
          </cell>
          <cell r="H9205">
            <v>5051343</v>
          </cell>
          <cell r="AK9205" t="str">
            <v>Helen Person</v>
          </cell>
        </row>
        <row r="9206">
          <cell r="C9206" t="str">
            <v>FCB Phase 1 Project and Change Mgmt Discovery</v>
          </cell>
          <cell r="H9206">
            <v>5051362</v>
          </cell>
          <cell r="AK9206" t="str">
            <v>Susan Stevenson</v>
          </cell>
        </row>
        <row r="9207">
          <cell r="C9207" t="str">
            <v>First National Bank of Ten_RAS_2024</v>
          </cell>
          <cell r="H9207">
            <v>5039649</v>
          </cell>
          <cell r="AK9207" t="str">
            <v>Diane Banks</v>
          </cell>
        </row>
        <row r="9208">
          <cell r="C9208" t="str">
            <v>Sunwest Bank_RAS_2024</v>
          </cell>
          <cell r="H9208">
            <v>5048341</v>
          </cell>
          <cell r="AK9208" t="str">
            <v>Rebecca Breland</v>
          </cell>
        </row>
        <row r="9209">
          <cell r="C9209" t="str">
            <v>Columbia Bank - FLRA</v>
          </cell>
          <cell r="H9209">
            <v>5051392</v>
          </cell>
          <cell r="AK9209" t="str">
            <v>Gail Rassler</v>
          </cell>
        </row>
        <row r="9210">
          <cell r="C9210" t="str">
            <v>HNB Account Analysis Migration - Data Stage Developers</v>
          </cell>
          <cell r="H9210">
            <v>5051297</v>
          </cell>
          <cell r="AK9210" t="str">
            <v>Daniela Hawkins</v>
          </cell>
        </row>
        <row r="9211">
          <cell r="C9211" t="str">
            <v>Truist Cyber PMO</v>
          </cell>
          <cell r="H9211">
            <v>5050596</v>
          </cell>
          <cell r="AK9211" t="str">
            <v>Jason Noran</v>
          </cell>
        </row>
        <row r="9212">
          <cell r="C9212" t="str">
            <v>Adirondack Trust Company RE Lending Review</v>
          </cell>
          <cell r="H9212">
            <v>5051246</v>
          </cell>
          <cell r="AK9212" t="str">
            <v>Robin McConaughey</v>
          </cell>
        </row>
        <row r="9213">
          <cell r="C9213" t="str">
            <v>Broadridge WMAP Extension H1 2024</v>
          </cell>
          <cell r="H9213">
            <v>5045168</v>
          </cell>
          <cell r="AK9213" t="str">
            <v>Devyani Patel</v>
          </cell>
        </row>
        <row r="9214">
          <cell r="C9214" t="str">
            <v>First County Bank - SBA Loan Review</v>
          </cell>
          <cell r="H9214">
            <v>5051322</v>
          </cell>
          <cell r="AK9214" t="str">
            <v>Mariana Dumanovsky</v>
          </cell>
        </row>
        <row r="9215">
          <cell r="C9215" t="str">
            <v>SEIU PMO PM Staff Aug</v>
          </cell>
          <cell r="H9215">
            <v>5051335</v>
          </cell>
          <cell r="AK9215" t="str">
            <v>Eric Fairchild</v>
          </cell>
        </row>
        <row r="9216">
          <cell r="C9216" t="str">
            <v>Voyager - Operations Value Stream Capacity</v>
          </cell>
          <cell r="H9216">
            <v>5051394</v>
          </cell>
          <cell r="AK9216" t="str">
            <v>Aoife Hogan</v>
          </cell>
        </row>
        <row r="9217">
          <cell r="C9217" t="str">
            <v>Shareholder Remediation Support</v>
          </cell>
          <cell r="H9217">
            <v>5051421</v>
          </cell>
          <cell r="AK9217" t="str">
            <v>Louisa Butler</v>
          </cell>
        </row>
        <row r="9218">
          <cell r="C9218" t="str">
            <v>ICM Modernization Ext (SOW 10260)</v>
          </cell>
          <cell r="H9218">
            <v>5050178</v>
          </cell>
          <cell r="AK9218" t="str">
            <v>Kalkidan Tedla</v>
          </cell>
        </row>
        <row r="9219">
          <cell r="C9219" t="str">
            <v>RECURRING Auto-Renewing VNB GRC Compliance Content</v>
          </cell>
          <cell r="H9219">
            <v>5038237</v>
          </cell>
          <cell r="AK9219" t="str">
            <v>Tania Makuh</v>
          </cell>
        </row>
        <row r="9220">
          <cell r="C9220" t="str">
            <v>Pru - GT - PGIM AEM Discovery Extension</v>
          </cell>
          <cell r="H9220">
            <v>5050641</v>
          </cell>
          <cell r="AK9220" t="str">
            <v>Nick Kerzman</v>
          </cell>
        </row>
        <row r="9221">
          <cell r="C9221" t="str">
            <v>TBK Bank - FL_HMDA CRA</v>
          </cell>
          <cell r="H9221">
            <v>5051743</v>
          </cell>
          <cell r="AK9221" t="str">
            <v>Leigh Tribou</v>
          </cell>
        </row>
        <row r="9222">
          <cell r="C9222" t="str">
            <v>Target IVR Conversion</v>
          </cell>
          <cell r="H9222">
            <v>5051393</v>
          </cell>
          <cell r="AK9222" t="str">
            <v>Scott Jurgensen</v>
          </cell>
        </row>
        <row r="9223">
          <cell r="C9223" t="str">
            <v>NelNet Bank_RAS</v>
          </cell>
          <cell r="H9223">
            <v>5051692</v>
          </cell>
          <cell r="AK9223" t="str">
            <v>Rebecca Breland</v>
          </cell>
        </row>
        <row r="9224">
          <cell r="C9224" t="str">
            <v>Citi Global Wealth - Client and Banker Experience Future State Flows</v>
          </cell>
          <cell r="H9224">
            <v>5051420</v>
          </cell>
          <cell r="AK9224" t="str">
            <v>Jennifer Hsiung</v>
          </cell>
        </row>
        <row r="9225">
          <cell r="C9225" t="str">
            <v>FrMc_Issue Management MRA  (SA)</v>
          </cell>
          <cell r="H9225">
            <v>5051378</v>
          </cell>
          <cell r="AK9225" t="str">
            <v>Kalkidan Tedla</v>
          </cell>
        </row>
        <row r="9226">
          <cell r="C9226" t="str">
            <v>Mobiloans Review / Exam</v>
          </cell>
          <cell r="H9226">
            <v>5051486</v>
          </cell>
          <cell r="AK9226" t="str">
            <v>Brian Phillips</v>
          </cell>
        </row>
        <row r="9227">
          <cell r="C9227" t="str">
            <v>Jef Wealth Future State Phase 2 Extension</v>
          </cell>
          <cell r="H9227">
            <v>5051397</v>
          </cell>
          <cell r="AK9227" t="str">
            <v>Raymond Ortiz II</v>
          </cell>
        </row>
        <row r="9228">
          <cell r="C9228" t="str">
            <v>Hatch Bank_RAS</v>
          </cell>
          <cell r="H9228">
            <v>5051446</v>
          </cell>
          <cell r="AK9228" t="str">
            <v>Diane Banks</v>
          </cell>
        </row>
        <row r="9229">
          <cell r="C9229" t="str">
            <v>Fidelity Alternative Investments Platform Modernization</v>
          </cell>
          <cell r="H9229">
            <v>5051485</v>
          </cell>
          <cell r="AK9229" t="str">
            <v>Lakshmi Talluri</v>
          </cell>
        </row>
        <row r="9230">
          <cell r="C9230" t="str">
            <v>REGO BofA RFP</v>
          </cell>
          <cell r="H9230">
            <v>5051423</v>
          </cell>
          <cell r="AK9230" t="str">
            <v>Betsy Cherian</v>
          </cell>
        </row>
        <row r="9231">
          <cell r="C9231" t="str">
            <v>UNFCU Compliance Risk Assessment</v>
          </cell>
          <cell r="H9231">
            <v>5051468</v>
          </cell>
          <cell r="AK9231" t="str">
            <v>Kristina Slattery</v>
          </cell>
        </row>
        <row r="9232">
          <cell r="C9232" t="str">
            <v>Maspeth BSA Procedures</v>
          </cell>
          <cell r="H9232">
            <v>5051448</v>
          </cell>
          <cell r="AK9232" t="str">
            <v>Charles Lynn Piper</v>
          </cell>
        </row>
        <row r="9233">
          <cell r="C9233" t="str">
            <v>Dime TM Alerts</v>
          </cell>
          <cell r="H9233">
            <v>5051450</v>
          </cell>
          <cell r="AK9233" t="str">
            <v>Sara Sanchez</v>
          </cell>
        </row>
        <row r="9234">
          <cell r="C9234" t="str">
            <v>Arthur State Bank</v>
          </cell>
          <cell r="H9234">
            <v>5051464</v>
          </cell>
          <cell r="AK9234" t="str">
            <v>Amanda Pickering</v>
          </cell>
        </row>
        <row r="9235">
          <cell r="C9235" t="str">
            <v>TP ICAP SEF PM</v>
          </cell>
          <cell r="H9235">
            <v>5051524</v>
          </cell>
          <cell r="AK9235" t="str">
            <v>Kirby Pulver</v>
          </cell>
        </row>
        <row r="9236">
          <cell r="C9236" t="str">
            <v>Jefferies Eq Compliance BA</v>
          </cell>
          <cell r="H9236">
            <v>5051456</v>
          </cell>
          <cell r="AK9236" t="str">
            <v>Sri Nonabur Srinivasamurthy</v>
          </cell>
        </row>
        <row r="9237">
          <cell r="C9237" t="str">
            <v>Recurring Leader Bank CMSO 2024</v>
          </cell>
          <cell r="H9237">
            <v>5051320</v>
          </cell>
          <cell r="AK9237" t="str">
            <v>Lawana Clark</v>
          </cell>
        </row>
        <row r="9238">
          <cell r="C9238" t="str">
            <v>61269 - Equity Swaps Test Lead Ext</v>
          </cell>
          <cell r="H9238">
            <v>5051525</v>
          </cell>
          <cell r="AK9238" t="str">
            <v>Sri Nonabur Srinivasamurthy</v>
          </cell>
        </row>
        <row r="9239">
          <cell r="C9239" t="str">
            <v>Arvest_TRID Process Review</v>
          </cell>
          <cell r="H9239">
            <v>5050645</v>
          </cell>
          <cell r="AK9239" t="str">
            <v>Susan Stevenson</v>
          </cell>
        </row>
        <row r="9240">
          <cell r="C9240" t="str">
            <v>World Acceptance Credit Card Launch Planning Phase Bridge</v>
          </cell>
          <cell r="H9240">
            <v>5050486</v>
          </cell>
          <cell r="AK9240" t="str">
            <v>Jeffery Pollard</v>
          </cell>
        </row>
        <row r="9241">
          <cell r="C9241" t="str">
            <v>Fannie Mae Short-Term Staff Aug for Usha</v>
          </cell>
          <cell r="H9241">
            <v>5050295</v>
          </cell>
          <cell r="AK9241" t="str">
            <v>Nitin Raju</v>
          </cell>
        </row>
        <row r="9242">
          <cell r="C9242" t="str">
            <v>SVB_ISO PT&amp;C Delivery Support</v>
          </cell>
          <cell r="H9242">
            <v>5051483</v>
          </cell>
          <cell r="AK9242" t="str">
            <v>Samuel Awsumb</v>
          </cell>
        </row>
        <row r="9243">
          <cell r="C9243" t="str">
            <v>HNB Account Analysis UAT &amp; Implementation Plan</v>
          </cell>
          <cell r="H9243">
            <v>5050296</v>
          </cell>
          <cell r="AK9243" t="str">
            <v>Daniela Hawkins</v>
          </cell>
        </row>
        <row r="9244">
          <cell r="C9244" t="str">
            <v>KEB Hana ACH Risk Assessment</v>
          </cell>
          <cell r="H9244">
            <v>5050646</v>
          </cell>
          <cell r="AK9244" t="str">
            <v>Mary Louise Radley</v>
          </cell>
        </row>
        <row r="9245">
          <cell r="C9245" t="str">
            <v>Hyperion Bank - HMDA Data Integrity Review</v>
          </cell>
          <cell r="H9245">
            <v>5050636</v>
          </cell>
          <cell r="AK9245" t="str">
            <v>Anna Proleika</v>
          </cell>
        </row>
        <row r="9246">
          <cell r="C9246" t="str">
            <v>CSB Verafin</v>
          </cell>
          <cell r="H9246">
            <v>5050564</v>
          </cell>
          <cell r="AK9246" t="str">
            <v>William Sachs</v>
          </cell>
        </row>
        <row r="9247">
          <cell r="C9247" t="str">
            <v>Arthur State Bank_RAS_2024</v>
          </cell>
          <cell r="H9247">
            <v>5039586</v>
          </cell>
          <cell r="AK9247" t="str">
            <v>Diane Banks</v>
          </cell>
        </row>
        <row r="9248">
          <cell r="C9248" t="str">
            <v>Inwood National Bank RAS 2024</v>
          </cell>
          <cell r="H9248">
            <v>5040131</v>
          </cell>
          <cell r="AK9248" t="str">
            <v>Diane Banks</v>
          </cell>
        </row>
        <row r="9249">
          <cell r="C9249" t="str">
            <v>Enterprise Bank &amp; Trust_RAS_2024</v>
          </cell>
          <cell r="H9249">
            <v>5039484</v>
          </cell>
          <cell r="AK9249" t="str">
            <v>Diane Banks</v>
          </cell>
        </row>
        <row r="9250">
          <cell r="C9250" t="str">
            <v>GLIC Transformation Services</v>
          </cell>
          <cell r="H9250">
            <v>5051484</v>
          </cell>
          <cell r="AK9250" t="str">
            <v>Michelle Rosen</v>
          </cell>
        </row>
        <row r="9251">
          <cell r="C9251" t="str">
            <v>NCB Verafin Validation and Tuning</v>
          </cell>
          <cell r="H9251">
            <v>5051425</v>
          </cell>
          <cell r="AK9251" t="str">
            <v>William Sachs</v>
          </cell>
        </row>
        <row r="9252">
          <cell r="C9252" t="str">
            <v>Riley State Bank_RAS 2024</v>
          </cell>
          <cell r="H9252">
            <v>5040141</v>
          </cell>
          <cell r="AK9252" t="str">
            <v>Diane Banks</v>
          </cell>
        </row>
        <row r="9253">
          <cell r="C9253" t="str">
            <v>RECURRING Artisans CMS Support Oct 24</v>
          </cell>
          <cell r="H9253">
            <v>5051499</v>
          </cell>
          <cell r="AK9253" t="str">
            <v>Amanda Pickering</v>
          </cell>
        </row>
        <row r="9254">
          <cell r="C9254" t="str">
            <v>Westfield Bank_RAS 2024</v>
          </cell>
          <cell r="H9254">
            <v>5040149</v>
          </cell>
          <cell r="AK9254" t="str">
            <v>Diane Banks</v>
          </cell>
        </row>
        <row r="9255">
          <cell r="C9255" t="str">
            <v>CFSB BSA AML Audit</v>
          </cell>
          <cell r="H9255">
            <v>5051300</v>
          </cell>
          <cell r="AK9255" t="str">
            <v>Mary Louise Radley</v>
          </cell>
        </row>
        <row r="9256">
          <cell r="C9256" t="str">
            <v>Dime Community Bank_RAS_2024</v>
          </cell>
          <cell r="H9256">
            <v>5039479</v>
          </cell>
          <cell r="AK9256" t="str">
            <v>Diane Banks</v>
          </cell>
        </row>
        <row r="9257">
          <cell r="C9257" t="str">
            <v>Arvest Bank - Data Feed</v>
          </cell>
          <cell r="H9257">
            <v>5051583</v>
          </cell>
          <cell r="AK9257" t="str">
            <v>Leah Robinson</v>
          </cell>
        </row>
        <row r="9258">
          <cell r="C9258" t="str">
            <v>Founders Bank CMS 2024</v>
          </cell>
          <cell r="H9258">
            <v>5051628</v>
          </cell>
          <cell r="AK9258" t="str">
            <v>Amanda Pickering</v>
          </cell>
        </row>
        <row r="9259">
          <cell r="C9259" t="str">
            <v>Arvest_GRC Implimentation</v>
          </cell>
          <cell r="H9259">
            <v>5051512</v>
          </cell>
          <cell r="AK9259" t="str">
            <v>Tania Makuh</v>
          </cell>
        </row>
        <row r="9260">
          <cell r="C9260" t="str">
            <v>Citizens Bank IN RAS 2024</v>
          </cell>
          <cell r="H9260">
            <v>5040205</v>
          </cell>
          <cell r="AK9260" t="str">
            <v>Diane Banks</v>
          </cell>
        </row>
        <row r="9261">
          <cell r="C9261" t="str">
            <v>Community National Bank TX_RAS_2024</v>
          </cell>
          <cell r="H9261">
            <v>5048525</v>
          </cell>
          <cell r="AK9261" t="str">
            <v>Diane Banks</v>
          </cell>
        </row>
        <row r="9262">
          <cell r="C9262" t="str">
            <v>Bank Independent_RAS</v>
          </cell>
          <cell r="H9262">
            <v>5051400</v>
          </cell>
          <cell r="AK9262" t="str">
            <v>Diane Banks</v>
          </cell>
        </row>
        <row r="9263">
          <cell r="C9263" t="str">
            <v>FrMc_Staff Aug Pilot Role Ext (SA)</v>
          </cell>
          <cell r="H9263">
            <v>5049562</v>
          </cell>
          <cell r="AK9263" t="str">
            <v>Johnny Gabert</v>
          </cell>
        </row>
        <row r="9264">
          <cell r="C9264" t="str">
            <v>FXL Implementation-PM Extension</v>
          </cell>
          <cell r="H9264">
            <v>5050681</v>
          </cell>
          <cell r="AK9264" t="str">
            <v>Anthony Madej</v>
          </cell>
        </row>
        <row r="9265">
          <cell r="C9265" t="str">
            <v>CGB Agri Fin Services_RAS_2024</v>
          </cell>
          <cell r="H9265">
            <v>5044533</v>
          </cell>
          <cell r="AK9265" t="str">
            <v>Diane Banks</v>
          </cell>
        </row>
        <row r="9266">
          <cell r="C9266" t="str">
            <v>Aura Mortgage Advisors LL_RAS_2024</v>
          </cell>
          <cell r="H9266">
            <v>5039454</v>
          </cell>
          <cell r="AK9266" t="str">
            <v>Rebecca Breland</v>
          </cell>
        </row>
        <row r="9267">
          <cell r="C9267" t="str">
            <v>RECURRING Artisans CMS Support 24</v>
          </cell>
          <cell r="H9267">
            <v>5051499</v>
          </cell>
          <cell r="AK9267" t="str">
            <v>Amanda Pickering</v>
          </cell>
        </row>
        <row r="9268">
          <cell r="C9268" t="str">
            <v>CACIB - Cyber Extension</v>
          </cell>
          <cell r="H9268">
            <v>5051542</v>
          </cell>
          <cell r="AK9268" t="str">
            <v>Garry Harvey</v>
          </cell>
        </row>
        <row r="9269">
          <cell r="C9269" t="str">
            <v>SEIU_CLC EA Project Support Ph12</v>
          </cell>
          <cell r="H9269">
            <v>5041705</v>
          </cell>
          <cell r="AK9269" t="str">
            <v>Eric Fairchild</v>
          </cell>
        </row>
        <row r="9270">
          <cell r="C9270" t="str">
            <v>Natixis_ Feb EOL Remediation</v>
          </cell>
          <cell r="H9270">
            <v>5051541</v>
          </cell>
          <cell r="AK9270" t="str">
            <v>Ridha Mesli</v>
          </cell>
        </row>
        <row r="9271">
          <cell r="C9271" t="str">
            <v>Grove Bank &amp; Trust_RAS_2024</v>
          </cell>
          <cell r="H9271">
            <v>5044597</v>
          </cell>
          <cell r="AK9271" t="str">
            <v>Diane Banks</v>
          </cell>
        </row>
        <row r="9272">
          <cell r="C9272" t="str">
            <v>Calhoun Banks - Supplemental Monitoring and Training 2024</v>
          </cell>
          <cell r="H9272">
            <v>5050459</v>
          </cell>
          <cell r="AK9272" t="str">
            <v>Steve Manitzas</v>
          </cell>
        </row>
        <row r="9273">
          <cell r="C9273" t="str">
            <v>Lukas Holland Extension 3</v>
          </cell>
          <cell r="H9273">
            <v>5051558</v>
          </cell>
          <cell r="AK9273" t="str">
            <v>Samuel Desta</v>
          </cell>
        </row>
        <row r="9274">
          <cell r="C9274" t="str">
            <v>Jefferies DevOps Training &amp; Tech Change Enablement Support Grace K - FY24 Extension</v>
          </cell>
          <cell r="H9274">
            <v>5051547</v>
          </cell>
          <cell r="AK9274" t="str">
            <v>Imran Parekh</v>
          </cell>
        </row>
        <row r="9275">
          <cell r="C9275" t="str">
            <v>Infrastructure Cloud Architect - Role Extension FY24 Q2</v>
          </cell>
          <cell r="H9275">
            <v>5051549</v>
          </cell>
          <cell r="AK9275" t="str">
            <v>Imran Parekh</v>
          </cell>
        </row>
        <row r="9276">
          <cell r="C9276" t="str">
            <v>CCB - IT Risk Assessment</v>
          </cell>
          <cell r="H9276">
            <v>5050755</v>
          </cell>
          <cell r="AK9276" t="str">
            <v>Robert Farmer</v>
          </cell>
        </row>
        <row r="9277">
          <cell r="C9277" t="str">
            <v>Concora Credit - Annual CMS Audit</v>
          </cell>
          <cell r="H9277">
            <v>5051498</v>
          </cell>
          <cell r="AK9277" t="str">
            <v>Mary Louise Radley</v>
          </cell>
        </row>
        <row r="9278">
          <cell r="C9278" t="str">
            <v>CFSB Verafin Validation</v>
          </cell>
          <cell r="H9278">
            <v>5051301</v>
          </cell>
          <cell r="AK9278" t="str">
            <v>Mary Louise Radley</v>
          </cell>
        </row>
        <row r="9279">
          <cell r="C9279" t="str">
            <v>8B Education Investments - CMS Review</v>
          </cell>
          <cell r="H9279">
            <v>5051535</v>
          </cell>
          <cell r="AK9279" t="str">
            <v>Steve Manitzas</v>
          </cell>
        </row>
        <row r="9280">
          <cell r="C9280" t="str">
            <v>Arvest_GRC Compliance Content License</v>
          </cell>
          <cell r="H9280">
            <v>5051513</v>
          </cell>
          <cell r="AK9280" t="str">
            <v>Gregg Henzel</v>
          </cell>
        </row>
        <row r="9281">
          <cell r="C9281" t="str">
            <v>RECURRING Harbor Bk CMS 24</v>
          </cell>
          <cell r="H9281">
            <v>5048433</v>
          </cell>
          <cell r="AK9281" t="str">
            <v>W. Annette Dredden</v>
          </cell>
        </row>
        <row r="9282">
          <cell r="C9282" t="str">
            <v>PlainsCap - Compliance Reviews</v>
          </cell>
          <cell r="H9282">
            <v>5051477</v>
          </cell>
          <cell r="AK9282" t="str">
            <v>Anna Proleika</v>
          </cell>
        </row>
        <row r="9283">
          <cell r="C9283" t="str">
            <v>Surveillance AVP Resource (Extension 2)</v>
          </cell>
          <cell r="H9283">
            <v>5051559</v>
          </cell>
          <cell r="AK9283" t="str">
            <v>Samuel Desta</v>
          </cell>
        </row>
        <row r="9284">
          <cell r="C9284" t="str">
            <v>Jef Wealth Future State - CRM</v>
          </cell>
          <cell r="H9284">
            <v>5051557</v>
          </cell>
          <cell r="AK9284" t="str">
            <v>Raymond Ortiz II</v>
          </cell>
        </row>
        <row r="9285">
          <cell r="C9285" t="str">
            <v>2U/NBH - Data PM - CO#6</v>
          </cell>
          <cell r="H9285">
            <v>5050472</v>
          </cell>
          <cell r="AK9285" t="str">
            <v>Adam Polson</v>
          </cell>
        </row>
        <row r="9286">
          <cell r="C9286" t="str">
            <v>Jefferies NBC Support</v>
          </cell>
          <cell r="H9286">
            <v>5051473</v>
          </cell>
          <cell r="AK9286" t="str">
            <v>Julia Simmons</v>
          </cell>
        </row>
        <row r="9287">
          <cell r="C9287" t="str">
            <v>NFA - Remediation Risk</v>
          </cell>
          <cell r="H9287">
            <v>5051568</v>
          </cell>
          <cell r="AK9287" t="str">
            <v>Matthew Rodgers</v>
          </cell>
        </row>
        <row r="9288">
          <cell r="C9288" t="str">
            <v>MS_KYC MRA Remediation_CTAG 1st Role [Arti Sharma]</v>
          </cell>
          <cell r="H9288">
            <v>5050706</v>
          </cell>
          <cell r="AK9288" t="str">
            <v>Ruben Sooriya</v>
          </cell>
        </row>
        <row r="9289">
          <cell r="C9289" t="str">
            <v>CC5 - Wire Xfer &amp; RDC Risk Assessments</v>
          </cell>
          <cell r="H9289">
            <v>5051554</v>
          </cell>
          <cell r="AK9289" t="str">
            <v>Robert Farmer</v>
          </cell>
        </row>
        <row r="9290">
          <cell r="C9290" t="str">
            <v>SVB_LendX_Sr. Product Designer</v>
          </cell>
          <cell r="H9290">
            <v>5051504</v>
          </cell>
          <cell r="AK9290" t="str">
            <v>Louisa Butler</v>
          </cell>
        </row>
        <row r="9291">
          <cell r="C9291" t="str">
            <v>Jeff_Anvil Prod Support</v>
          </cell>
          <cell r="H9291">
            <v>5051365</v>
          </cell>
          <cell r="AK9291" t="str">
            <v>Manal Ray</v>
          </cell>
        </row>
        <row r="9292">
          <cell r="C9292" t="str">
            <v>FrMc_Data lineage (EOT)</v>
          </cell>
          <cell r="H9292">
            <v>5051654</v>
          </cell>
          <cell r="AK9292" t="str">
            <v>Rishi Sanghavi</v>
          </cell>
        </row>
        <row r="9293">
          <cell r="C9293" t="str">
            <v>CC5 GLBA Information Risk Assessment</v>
          </cell>
          <cell r="H9293">
            <v>5051500</v>
          </cell>
          <cell r="AK9293" t="str">
            <v>Robert Farmer</v>
          </cell>
        </row>
        <row r="9294">
          <cell r="C9294" t="str">
            <v>Pru - EDT - Dev Pod for Security Remediation Extension</v>
          </cell>
          <cell r="H9294">
            <v>5050583</v>
          </cell>
          <cell r="AK9294" t="str">
            <v>Bharath Chikkamaranahalli Bhaskar</v>
          </cell>
        </row>
        <row r="9295">
          <cell r="C9295" t="str">
            <v>Allianz Program Mgmt -PAS Conversion to ALIP</v>
          </cell>
          <cell r="H9295">
            <v>5051615</v>
          </cell>
          <cell r="AK9295" t="str">
            <v>Danielle Lutkus</v>
          </cell>
        </row>
        <row r="9296">
          <cell r="C9296" t="str">
            <v>CFG Policies and Procedures Review</v>
          </cell>
          <cell r="H9296">
            <v>5051590</v>
          </cell>
          <cell r="AK9296" t="str">
            <v>William Sachs</v>
          </cell>
        </row>
        <row r="9297">
          <cell r="C9297" t="str">
            <v>Extension of Data Literacy team</v>
          </cell>
          <cell r="H9297">
            <v>5051533</v>
          </cell>
          <cell r="AK9297" t="str">
            <v>Keith Paradise</v>
          </cell>
        </row>
        <row r="9298">
          <cell r="C9298" t="str">
            <v>Extension of Data Governance team</v>
          </cell>
          <cell r="H9298">
            <v>5051534</v>
          </cell>
          <cell r="AK9298" t="str">
            <v>Grzegorz Walukanis</v>
          </cell>
        </row>
        <row r="9299">
          <cell r="C9299" t="str">
            <v>CDT Data Strategy (AMD 14) &amp; BIM Assessment</v>
          </cell>
          <cell r="H9299">
            <v>5049333</v>
          </cell>
          <cell r="AK9299" t="str">
            <v>Jeffrey Diaz Vega</v>
          </cell>
        </row>
        <row r="9300">
          <cell r="C9300" t="str">
            <v>Blackstone Leadership Support</v>
          </cell>
          <cell r="H9300">
            <v>5051788</v>
          </cell>
          <cell r="AK9300" t="str">
            <v>John McHugh</v>
          </cell>
        </row>
        <row r="9301">
          <cell r="C9301" t="str">
            <v>Jefferies JDS - Portfolio Lead</v>
          </cell>
          <cell r="H9301">
            <v>5051666</v>
          </cell>
          <cell r="AK9301" t="str">
            <v>Neha Patel</v>
          </cell>
        </row>
        <row r="9302">
          <cell r="C9302" t="str">
            <v>Blackstone Leadership Support AMD 1</v>
          </cell>
          <cell r="H9302">
            <v>5051788</v>
          </cell>
          <cell r="AK9302" t="str">
            <v>John McHugh</v>
          </cell>
        </row>
        <row r="9303">
          <cell r="C9303" t="str">
            <v>SVB_Data Policy/Procedure Writer BC H1 2024</v>
          </cell>
          <cell r="H9303">
            <v>5051570</v>
          </cell>
          <cell r="AK9303" t="str">
            <v>Jessica Seifer</v>
          </cell>
        </row>
        <row r="9304">
          <cell r="C9304" t="str">
            <v>Jeff_Production Integrity Program_Feb Bridge</v>
          </cell>
          <cell r="H9304">
            <v>5050642</v>
          </cell>
          <cell r="AK9304" t="str">
            <v>John McCaffrey</v>
          </cell>
        </row>
        <row r="9305">
          <cell r="C9305" t="str">
            <v>MVO Phase 2 Extension</v>
          </cell>
          <cell r="H9305">
            <v>5051651</v>
          </cell>
          <cell r="AK9305" t="str">
            <v>Conor Dowling</v>
          </cell>
        </row>
        <row r="9306">
          <cell r="C9306" t="str">
            <v>MS_KYC MRA Remediation_CTAG 2nd role [Anthony G]</v>
          </cell>
          <cell r="H9306">
            <v>5050706</v>
          </cell>
          <cell r="AK9306" t="str">
            <v>Ruben Sooriya</v>
          </cell>
        </row>
        <row r="9307">
          <cell r="C9307" t="str">
            <v>Northern Trust Rpt Conversion AMD 2</v>
          </cell>
          <cell r="H9307">
            <v>5051693</v>
          </cell>
          <cell r="AK9307" t="str">
            <v>Grzegorz Walukanis</v>
          </cell>
        </row>
        <row r="9308">
          <cell r="C9308" t="str">
            <v>Pru - GT - PGIM AEM Roadmap Phase 4 Bridge Contract</v>
          </cell>
          <cell r="H9308">
            <v>5050641</v>
          </cell>
          <cell r="AK9308" t="str">
            <v>Nick Kerzman</v>
          </cell>
        </row>
        <row r="9309">
          <cell r="C9309" t="str">
            <v>Model Validation - Coastal Community Bank</v>
          </cell>
          <cell r="H9309">
            <v>5051629</v>
          </cell>
          <cell r="AK9309" t="str">
            <v>Aiswarya Parameswaran</v>
          </cell>
        </row>
        <row r="9310">
          <cell r="C9310" t="str">
            <v>First Exchange Bank</v>
          </cell>
          <cell r="H9310">
            <v>5051660</v>
          </cell>
          <cell r="AK9310" t="str">
            <v>Patrice Nye</v>
          </cell>
        </row>
        <row r="9311">
          <cell r="C9311" t="str">
            <v>Abacus BSA/AML</v>
          </cell>
          <cell r="H9311">
            <v>5051696</v>
          </cell>
          <cell r="AK9311" t="str">
            <v>Anthony Abruzzo</v>
          </cell>
        </row>
        <row r="9312">
          <cell r="C9312" t="str">
            <v>FX Program Management_Project Falcon [RFP]</v>
          </cell>
          <cell r="H9312">
            <v>5051671</v>
          </cell>
          <cell r="AK9312" t="str">
            <v>Ruben Sooriya</v>
          </cell>
        </row>
        <row r="9313">
          <cell r="C9313" t="str">
            <v>CFG BSA AML Staffing Assessment</v>
          </cell>
          <cell r="H9313">
            <v>5051589</v>
          </cell>
          <cell r="AK9313" t="str">
            <v>William Sachs</v>
          </cell>
        </row>
        <row r="9314">
          <cell r="C9314" t="str">
            <v>First Merchants Bank RAS 2024- 2026</v>
          </cell>
          <cell r="H9314">
            <v>5039494</v>
          </cell>
          <cell r="AK9314" t="str">
            <v>Diane Banks</v>
          </cell>
        </row>
        <row r="9315">
          <cell r="C9315" t="str">
            <v>Arvest TRID Support Extn</v>
          </cell>
          <cell r="H9315">
            <v>5050645</v>
          </cell>
          <cell r="AK9315" t="str">
            <v>Susan Stevenson</v>
          </cell>
        </row>
        <row r="9316">
          <cell r="C9316" t="str">
            <v>Grand Marais State Bank_RAS_2024</v>
          </cell>
          <cell r="H9316">
            <v>5040129</v>
          </cell>
          <cell r="AK9316" t="str">
            <v>Diane Banks</v>
          </cell>
        </row>
        <row r="9317">
          <cell r="C9317" t="str">
            <v>USAA_TILA Good Faith Review 2024</v>
          </cell>
          <cell r="H9317">
            <v>5051728</v>
          </cell>
          <cell r="AK9317" t="str">
            <v>Michael Austin</v>
          </cell>
        </row>
        <row r="9318">
          <cell r="C9318" t="str">
            <v>Citi_Global Wealth Client Reporting</v>
          </cell>
          <cell r="H9318">
            <v>5051833</v>
          </cell>
          <cell r="AK9318" t="str">
            <v>Danielle Theroux</v>
          </cell>
        </row>
        <row r="9319">
          <cell r="C9319" t="str">
            <v>CACIB - Cyber PM Shreya 2024</v>
          </cell>
          <cell r="H9319">
            <v>5045744</v>
          </cell>
          <cell r="AK9319" t="str">
            <v>Garry Harvey</v>
          </cell>
        </row>
        <row r="9320">
          <cell r="C9320" t="str">
            <v>Citizens First National Ba_RAS_2024</v>
          </cell>
          <cell r="H9320">
            <v>5039610</v>
          </cell>
          <cell r="AK9320" t="str">
            <v>Diane Banks</v>
          </cell>
        </row>
        <row r="9321">
          <cell r="C9321" t="str">
            <v>ConnectOne Bank_RAS_2024</v>
          </cell>
          <cell r="H9321">
            <v>5039618</v>
          </cell>
          <cell r="AK9321" t="str">
            <v>Diane Banks</v>
          </cell>
        </row>
        <row r="9322">
          <cell r="C9322" t="str">
            <v>Capital Bank Pricing Reports 2024-5</v>
          </cell>
          <cell r="H9322">
            <v>5051911</v>
          </cell>
          <cell r="AK9322" t="str">
            <v>Juan Pimentel</v>
          </cell>
        </row>
        <row r="9323">
          <cell r="C9323" t="str">
            <v>Origin Bank_RAS_2024</v>
          </cell>
          <cell r="H9323">
            <v>5039697</v>
          </cell>
          <cell r="AK9323" t="str">
            <v>Diane Banks</v>
          </cell>
        </row>
        <row r="9324">
          <cell r="C9324" t="str">
            <v>Customers Bank Data Feed</v>
          </cell>
          <cell r="H9324">
            <v>5041992</v>
          </cell>
          <cell r="AK9324" t="str">
            <v>Leah Robinson</v>
          </cell>
        </row>
        <row r="9325">
          <cell r="C9325" t="str">
            <v>Antares Capital - Investor Reporting</v>
          </cell>
          <cell r="H9325">
            <v>5051694</v>
          </cell>
          <cell r="AK9325" t="str">
            <v>Kirby Pulver</v>
          </cell>
        </row>
        <row r="9326">
          <cell r="C9326" t="str">
            <v>Digital Banking Risk Assessment</v>
          </cell>
          <cell r="H9326">
            <v>5051732</v>
          </cell>
          <cell r="AK9326" t="str">
            <v>Robert Farmer</v>
          </cell>
        </row>
        <row r="9327">
          <cell r="C9327" t="str">
            <v>Jefferies Infra Op Model &amp; Cloud Innovation &amp; Manager Extn</v>
          </cell>
          <cell r="H9327">
            <v>5051719</v>
          </cell>
          <cell r="AK9327" t="str">
            <v>Imran Parekh</v>
          </cell>
        </row>
        <row r="9328">
          <cell r="C9328" t="str">
            <v>FrMc_Resolution Planning</v>
          </cell>
          <cell r="H9328">
            <v>5045494</v>
          </cell>
          <cell r="AK9328" t="str">
            <v>Michael Mathew</v>
          </cell>
        </row>
        <row r="9329">
          <cell r="C9329" t="str">
            <v>Legacy Bank - KS_RAS_2024</v>
          </cell>
          <cell r="H9329">
            <v>5041701</v>
          </cell>
          <cell r="AK9329" t="str">
            <v>Diane Banks</v>
          </cell>
        </row>
        <row r="9330">
          <cell r="C9330" t="str">
            <v>CrossFirst Bank_RAS_2024</v>
          </cell>
          <cell r="H9330">
            <v>5039621</v>
          </cell>
          <cell r="AK9330" t="str">
            <v>Rebecca Breland</v>
          </cell>
        </row>
        <row r="9331">
          <cell r="C9331" t="str">
            <v>USAA_Rvw of Purchase Agreemnts 2024</v>
          </cell>
          <cell r="H9331">
            <v>5051727</v>
          </cell>
          <cell r="AK9331" t="str">
            <v>Michael Austin</v>
          </cell>
        </row>
        <row r="9332">
          <cell r="C9332" t="str">
            <v>USAA_CDQA 2024</v>
          </cell>
          <cell r="H9332">
            <v>5051730</v>
          </cell>
          <cell r="AK9332" t="str">
            <v>Michael Austin</v>
          </cell>
        </row>
        <row r="9333">
          <cell r="C9333" t="str">
            <v>CACIB - Payment Tech Extension 2024</v>
          </cell>
          <cell r="H9333">
            <v>5049146</v>
          </cell>
          <cell r="AK9333" t="str">
            <v>Garry Harvey</v>
          </cell>
        </row>
        <row r="9334">
          <cell r="C9334" t="str">
            <v>PSECU - Compliance Reviews</v>
          </cell>
          <cell r="H9334">
            <v>5051658</v>
          </cell>
          <cell r="AK9334" t="str">
            <v>Gail Rassler</v>
          </cell>
        </row>
        <row r="9335">
          <cell r="C9335" t="str">
            <v>Valley Cent Savings Bank_RAS_2024</v>
          </cell>
          <cell r="H9335">
            <v>5040381</v>
          </cell>
          <cell r="AK9335" t="str">
            <v>Travis Peraza</v>
          </cell>
        </row>
        <row r="9336">
          <cell r="C9336" t="str">
            <v>Jeff_SPM Team - FY24 Q2 Extension</v>
          </cell>
          <cell r="H9336">
            <v>5051721</v>
          </cell>
          <cell r="AK9336" t="str">
            <v>Imran Parekh</v>
          </cell>
        </row>
        <row r="9337">
          <cell r="C9337" t="str">
            <v>ANBTX 2024 HMDA CRA Reviews</v>
          </cell>
          <cell r="H9337">
            <v>5052194</v>
          </cell>
          <cell r="AK9337" t="str">
            <v>Juan Pimentel</v>
          </cell>
        </row>
        <row r="9338">
          <cell r="C9338" t="str">
            <v>FirstBank_RAS_2024</v>
          </cell>
          <cell r="H9338">
            <v>5039662</v>
          </cell>
          <cell r="AK9338" t="str">
            <v>Diane Banks</v>
          </cell>
        </row>
        <row r="9339">
          <cell r="C9339" t="str">
            <v>First Citizens Bank - Commercial HMDA Reviews 2024</v>
          </cell>
          <cell r="H9339">
            <v>5051863</v>
          </cell>
          <cell r="AK9339" t="str">
            <v>Juan Pimentel</v>
          </cell>
        </row>
        <row r="9340">
          <cell r="C9340" t="str">
            <v>Natixis_EOL Remediation</v>
          </cell>
          <cell r="H9340">
            <v>5051720</v>
          </cell>
          <cell r="AK9340" t="str">
            <v>Ridha Mesli</v>
          </cell>
        </row>
        <row r="9341">
          <cell r="C9341" t="str">
            <v>Jeff_Transcend PM Support</v>
          </cell>
          <cell r="H9341">
            <v>5051718</v>
          </cell>
          <cell r="AK9341" t="str">
            <v>Matthew Rodgers</v>
          </cell>
        </row>
        <row r="9342">
          <cell r="C9342" t="str">
            <v>PSECU - FLRA</v>
          </cell>
          <cell r="H9342">
            <v>5051714</v>
          </cell>
          <cell r="AK9342" t="str">
            <v>Gail Rassler</v>
          </cell>
        </row>
        <row r="9343">
          <cell r="C9343" t="str">
            <v>Popular Bank - March-April Extension</v>
          </cell>
          <cell r="H9343">
            <v>5051695</v>
          </cell>
          <cell r="AK9343" t="str">
            <v>Kian Rahnejat</v>
          </cell>
        </row>
        <row r="9344">
          <cell r="C9344" t="str">
            <v>SMBC_Polaris Platform Milestone</v>
          </cell>
          <cell r="H9344">
            <v>5051836</v>
          </cell>
          <cell r="AK9344" t="str">
            <v>Karl Kiarie</v>
          </cell>
        </row>
        <row r="9345">
          <cell r="C9345" t="str">
            <v>Optus Bank_RAS_2024</v>
          </cell>
          <cell r="H9345">
            <v>5039696</v>
          </cell>
          <cell r="AK9345" t="str">
            <v>Diane Banks</v>
          </cell>
        </row>
        <row r="9346">
          <cell r="C9346" t="str">
            <v>Eagle Bank_RAS_2024</v>
          </cell>
          <cell r="H9346">
            <v>5039623</v>
          </cell>
          <cell r="AK9346" t="str">
            <v>Diane Banks</v>
          </cell>
        </row>
        <row r="9347">
          <cell r="C9347" t="str">
            <v>Rayne State Bank &amp; Trust C_RAS_2024</v>
          </cell>
          <cell r="H9347">
            <v>5039713</v>
          </cell>
          <cell r="AK9347" t="str">
            <v>Diane Banks</v>
          </cell>
        </row>
        <row r="9348">
          <cell r="C9348" t="str">
            <v>Putnam County State Bank_RAS_2024</v>
          </cell>
          <cell r="H9348">
            <v>5039710</v>
          </cell>
          <cell r="AK9348" t="str">
            <v>Diane Banks</v>
          </cell>
        </row>
        <row r="9349">
          <cell r="C9349" t="str">
            <v>Security State Bank - WY_RAS_2024</v>
          </cell>
          <cell r="H9349">
            <v>5040185</v>
          </cell>
          <cell r="AK9349" t="str">
            <v>Rebecca Breland</v>
          </cell>
        </row>
        <row r="9350">
          <cell r="C9350" t="str">
            <v>MVO Phase 2 Extension</v>
          </cell>
          <cell r="H9350">
            <v>5051651</v>
          </cell>
          <cell r="AK9350" t="str">
            <v>Conor Dowling</v>
          </cell>
        </row>
        <row r="9351">
          <cell r="C9351" t="str">
            <v>Jeff_Production Integrity Program Phase 2</v>
          </cell>
          <cell r="H9351">
            <v>5050642</v>
          </cell>
          <cell r="AK9351" t="str">
            <v>John McCaffrey</v>
          </cell>
        </row>
        <row r="9352">
          <cell r="C9352" t="str">
            <v>First Citizens_Cibar Implementation -  Mobilization</v>
          </cell>
          <cell r="H9352">
            <v>5051708</v>
          </cell>
          <cell r="AK9352" t="str">
            <v>Burt Yeo</v>
          </cell>
        </row>
        <row r="9353">
          <cell r="C9353" t="str">
            <v>World Acceptance Credit Card Launch - Execution Phase</v>
          </cell>
          <cell r="H9353">
            <v>5051677</v>
          </cell>
          <cell r="AK9353" t="str">
            <v>Thomas Wilson</v>
          </cell>
        </row>
        <row r="9354">
          <cell r="C9354" t="str">
            <v>Lazard - Security Training</v>
          </cell>
          <cell r="H9354">
            <v>5051617</v>
          </cell>
          <cell r="AK9354" t="str">
            <v>Laura D'Alessandro</v>
          </cell>
        </row>
        <row r="9355">
          <cell r="C9355" t="str">
            <v>Jeff_Compliance Ops</v>
          </cell>
          <cell r="H9355">
            <v>5043230</v>
          </cell>
          <cell r="AK9355" t="str">
            <v>John Clifford</v>
          </cell>
        </row>
        <row r="9356">
          <cell r="C9356" t="str">
            <v>Dime TM/EDD/QA Add-On</v>
          </cell>
          <cell r="H9356">
            <v>5051450</v>
          </cell>
          <cell r="AK9356" t="str">
            <v>Sara Sanchez</v>
          </cell>
        </row>
        <row r="9357">
          <cell r="C9357" t="str">
            <v>SF Architecture Support</v>
          </cell>
          <cell r="H9357">
            <v>5051678</v>
          </cell>
          <cell r="AK9357" t="str">
            <v>ASH Ahmad</v>
          </cell>
        </row>
        <row r="9358">
          <cell r="C9358" t="str">
            <v>First Citizens SOW #4_Data Policy Business Analyst</v>
          </cell>
          <cell r="H9358">
            <v>5051710</v>
          </cell>
          <cell r="AK9358" t="str">
            <v>Jessica Seifer</v>
          </cell>
        </row>
        <row r="9359">
          <cell r="C9359" t="str">
            <v>SVB_Data Policy Business Analyst</v>
          </cell>
          <cell r="H9359">
            <v>5051709</v>
          </cell>
          <cell r="AK9359" t="str">
            <v>Jessica Seifer</v>
          </cell>
        </row>
        <row r="9360">
          <cell r="C9360" t="str">
            <v>Jefferies - IN - Treasury India Support Team</v>
          </cell>
          <cell r="H9360">
            <v>5051725</v>
          </cell>
          <cell r="AK9360" t="str">
            <v>Nikin Karunakaran Nambiar</v>
          </cell>
        </row>
        <row r="9361">
          <cell r="C9361" t="str">
            <v>SVB_ISO BIM Support</v>
          </cell>
          <cell r="H9361">
            <v>5051707</v>
          </cell>
          <cell r="AK9361" t="str">
            <v>Samuel Awsumb</v>
          </cell>
        </row>
        <row r="9362">
          <cell r="C9362" t="str">
            <v>Valley Bank Marketing Reviews</v>
          </cell>
          <cell r="H9362">
            <v>5051960</v>
          </cell>
          <cell r="AK9362" t="str">
            <v>Rebecca Breland</v>
          </cell>
        </row>
        <row r="9363">
          <cell r="C9363" t="str">
            <v>Citi_CDO Data Lineage, DCRM Metrics and Reporting</v>
          </cell>
          <cell r="H9363">
            <v>5051783</v>
          </cell>
          <cell r="AK9363" t="str">
            <v>Ifeoluwa Ajelabi</v>
          </cell>
        </row>
        <row r="9364">
          <cell r="C9364" t="str">
            <v>Blackstone_Transformation Strategy</v>
          </cell>
          <cell r="H9364">
            <v>5051806</v>
          </cell>
          <cell r="AK9364" t="str">
            <v>John McHugh</v>
          </cell>
        </row>
        <row r="9365">
          <cell r="C9365" t="str">
            <v>FINRA_Exams Unit Content Writing Extn Q124</v>
          </cell>
          <cell r="H9365">
            <v>5050888</v>
          </cell>
          <cell r="AK9365" t="str">
            <v>Danny Li</v>
          </cell>
        </row>
        <row r="9366">
          <cell r="C9366" t="str">
            <v>Citi_Process Mapping Team Expansion</v>
          </cell>
          <cell r="H9366">
            <v>5051420</v>
          </cell>
          <cell r="AK9366" t="str">
            <v>Jennifer Hsiung</v>
          </cell>
        </row>
        <row r="9367">
          <cell r="C9367" t="str">
            <v>Apple Bank DEI Strategy Roadmap</v>
          </cell>
          <cell r="H9367">
            <v>5051699</v>
          </cell>
          <cell r="AK9367" t="str">
            <v>Samuel Desta</v>
          </cell>
        </row>
        <row r="9368">
          <cell r="C9368" t="str">
            <v>Blackstone_Transformation Strategy</v>
          </cell>
          <cell r="H9368">
            <v>5051806</v>
          </cell>
          <cell r="AK9368" t="str">
            <v>John McHugh</v>
          </cell>
        </row>
        <row r="9369">
          <cell r="C9369" t="str">
            <v>Firstrust Savings - RAS Addendum2</v>
          </cell>
          <cell r="H9369">
            <v>5039659</v>
          </cell>
          <cell r="AK9369" t="str">
            <v>Diane Banks</v>
          </cell>
        </row>
        <row r="9370">
          <cell r="C9370" t="str">
            <v>RECURRING Shoko Chukin BSA Independent Test</v>
          </cell>
          <cell r="H9370">
            <v>5051784</v>
          </cell>
          <cell r="AK9370" t="str">
            <v>William Sachs</v>
          </cell>
        </row>
        <row r="9371">
          <cell r="C9371" t="str">
            <v>Truist - Cyber Control Findings Inventory</v>
          </cell>
          <cell r="H9371">
            <v>5051850</v>
          </cell>
          <cell r="AK9371" t="str">
            <v>Christopher Tecchio</v>
          </cell>
        </row>
        <row r="9372">
          <cell r="C9372" t="str">
            <v>WSFS Compliance Reviews</v>
          </cell>
          <cell r="H9372">
            <v>5051770</v>
          </cell>
          <cell r="AK9372" t="str">
            <v>Gail Rassler</v>
          </cell>
        </row>
        <row r="9373">
          <cell r="C9373" t="str">
            <v>Jeff_KYC Support - Adverse News Reviews</v>
          </cell>
          <cell r="H9373">
            <v>5051824</v>
          </cell>
          <cell r="AK9373" t="str">
            <v>Samuel Desta</v>
          </cell>
        </row>
        <row r="9374">
          <cell r="C9374" t="str">
            <v>TBK Model Risk Program Development</v>
          </cell>
          <cell r="H9374">
            <v>5051801</v>
          </cell>
          <cell r="AK9374" t="str">
            <v>Aiswarya Parameswaran</v>
          </cell>
        </row>
        <row r="9375">
          <cell r="C9375" t="str">
            <v>The Standard - PAS Vendor Selection</v>
          </cell>
          <cell r="H9375">
            <v>5051800</v>
          </cell>
          <cell r="AK9375" t="str">
            <v>Randy Love</v>
          </cell>
        </row>
        <row r="9376">
          <cell r="C9376" t="str">
            <v>Target - Project Coordinator Team</v>
          </cell>
          <cell r="H9376">
            <v>5049312</v>
          </cell>
          <cell r="AK9376" t="str">
            <v>Ryan Keller</v>
          </cell>
        </row>
        <row r="9377">
          <cell r="C9377" t="str">
            <v>TBK - Factoring Model Validation</v>
          </cell>
          <cell r="H9377">
            <v>5051803</v>
          </cell>
          <cell r="AK9377" t="str">
            <v>Aiswarya Parameswaran</v>
          </cell>
        </row>
        <row r="9378">
          <cell r="C9378" t="str">
            <v>TP ICAP SBSEF BA / Technical Writer</v>
          </cell>
          <cell r="H9378">
            <v>5051837</v>
          </cell>
          <cell r="AK9378" t="str">
            <v>Kirby Pulver</v>
          </cell>
        </row>
        <row r="9379">
          <cell r="C9379" t="str">
            <v>DCAM Assessment and Data Strategy Enablement</v>
          </cell>
          <cell r="H9379">
            <v>5051856</v>
          </cell>
          <cell r="AK9379" t="str">
            <v>Sean O'Brien</v>
          </cell>
        </row>
        <row r="9380">
          <cell r="C9380" t="str">
            <v>Board of Director's Training</v>
          </cell>
          <cell r="H9380">
            <v>5051815</v>
          </cell>
          <cell r="AK9380" t="str">
            <v>Diane Banks</v>
          </cell>
        </row>
        <row r="9381">
          <cell r="C9381" t="str">
            <v>HSBC-MSS-GM-Product Development Extension</v>
          </cell>
          <cell r="H9381">
            <v>5050389</v>
          </cell>
          <cell r="AK9381" t="str">
            <v>Rahul Govada</v>
          </cell>
        </row>
        <row r="9382">
          <cell r="C9382" t="str">
            <v>Cyber Playbook Development</v>
          </cell>
          <cell r="H9382">
            <v>5051838</v>
          </cell>
          <cell r="AK9382" t="str">
            <v>Boris Mallet</v>
          </cell>
        </row>
        <row r="9383">
          <cell r="C9383" t="str">
            <v>HSBC-DBS-OCC Remediation IT</v>
          </cell>
          <cell r="H9383">
            <v>5045386</v>
          </cell>
          <cell r="AK9383" t="str">
            <v>Rahul Govada</v>
          </cell>
        </row>
        <row r="9384">
          <cell r="C9384" t="str">
            <v>CNB_ERM Support Extension</v>
          </cell>
          <cell r="H9384">
            <v>5047631</v>
          </cell>
          <cell r="AK9384" t="str">
            <v>Derek Bland</v>
          </cell>
        </row>
        <row r="9385">
          <cell r="C9385" t="str">
            <v>Shalom Mastercard New</v>
          </cell>
          <cell r="H9385">
            <v>5051290</v>
          </cell>
          <cell r="AK9385" t="str">
            <v>Nitin Raju</v>
          </cell>
        </row>
        <row r="9386">
          <cell r="C9386" t="str">
            <v>Jefferies_AVP Ext 3</v>
          </cell>
          <cell r="H9386">
            <v>5050428</v>
          </cell>
          <cell r="AK9386" t="str">
            <v>James Kane</v>
          </cell>
        </row>
        <row r="9387">
          <cell r="C9387" t="str">
            <v>MF (SA) Role Extension</v>
          </cell>
          <cell r="H9387">
            <v>5044802</v>
          </cell>
          <cell r="AK9387" t="str">
            <v>Kalkidan Tedla</v>
          </cell>
        </row>
        <row r="9388">
          <cell r="C9388" t="str">
            <v>Pru - GT - Contract Command Team Extend&amp;Expand</v>
          </cell>
          <cell r="H9388">
            <v>5049833</v>
          </cell>
          <cell r="AK9388" t="str">
            <v>Harrison Corupe</v>
          </cell>
        </row>
        <row r="9389">
          <cell r="C9389" t="str">
            <v>FrMc_EOT Privacy Security Role Extension</v>
          </cell>
          <cell r="H9389">
            <v>5046317</v>
          </cell>
          <cell r="AK9389" t="str">
            <v>Kalkidan Tedla</v>
          </cell>
        </row>
        <row r="9390">
          <cell r="C9390" t="str">
            <v>CISO Support</v>
          </cell>
          <cell r="H9390">
            <v>5047074</v>
          </cell>
          <cell r="AK9390" t="str">
            <v>Ridha Mesli</v>
          </cell>
        </row>
        <row r="9391">
          <cell r="C9391" t="str">
            <v>FrMc_CDT 2023 Phase 3.1</v>
          </cell>
          <cell r="H9391">
            <v>5051994</v>
          </cell>
          <cell r="AK9391" t="str">
            <v>Jeffrey Diaz Vega</v>
          </cell>
        </row>
        <row r="9392">
          <cell r="C9392" t="str">
            <v>MS_Data FY25 [Alan Chiang]</v>
          </cell>
          <cell r="H9392">
            <v>5051790</v>
          </cell>
          <cell r="AK9392" t="str">
            <v>Erik Johnson</v>
          </cell>
        </row>
        <row r="9393">
          <cell r="C9393" t="str">
            <v>FINRA Exam Program Credit</v>
          </cell>
          <cell r="H9393">
            <v>5050888</v>
          </cell>
          <cell r="AK9393" t="str">
            <v>Danny Li</v>
          </cell>
        </row>
        <row r="9394">
          <cell r="C9394" t="str">
            <v>WaTrustCo-UDAAP RA Expansion</v>
          </cell>
          <cell r="H9394">
            <v>5051475</v>
          </cell>
          <cell r="AK9394" t="str">
            <v>Leigh Tribou</v>
          </cell>
        </row>
        <row r="9395">
          <cell r="C9395" t="str">
            <v>FrMc_CDT 2023 Phase 3</v>
          </cell>
          <cell r="H9395">
            <v>5051994</v>
          </cell>
          <cell r="AK9395" t="str">
            <v>Jeffrey Diaz Vega</v>
          </cell>
        </row>
        <row r="9396">
          <cell r="C9396" t="str">
            <v>First National Bank_RAS_2024</v>
          </cell>
          <cell r="H9396">
            <v>5039644</v>
          </cell>
          <cell r="AK9396" t="str">
            <v>Diane Banks</v>
          </cell>
        </row>
        <row r="9397">
          <cell r="C9397" t="str">
            <v>MVB</v>
          </cell>
          <cell r="H9397">
            <v>5051773</v>
          </cell>
          <cell r="AK9397" t="str">
            <v>William Sachs</v>
          </cell>
        </row>
        <row r="9398">
          <cell r="C9398" t="str">
            <v>HNB Dig Lob Credit Mod CY24Q2-3</v>
          </cell>
          <cell r="H9398">
            <v>5051940</v>
          </cell>
          <cell r="AK9398" t="str">
            <v>Bemo Itoe</v>
          </cell>
        </row>
        <row r="9399">
          <cell r="C9399" t="str">
            <v>FINRA Project ATLAS Extension_April 2024</v>
          </cell>
          <cell r="H9399">
            <v>5049313</v>
          </cell>
          <cell r="AK9399" t="str">
            <v>Ruby Cherian</v>
          </cell>
        </row>
        <row r="9400">
          <cell r="C9400" t="str">
            <v>SpiritBank_RAS_2024</v>
          </cell>
          <cell r="H9400">
            <v>5040203</v>
          </cell>
          <cell r="AK9400" t="str">
            <v>Diane Banks</v>
          </cell>
        </row>
        <row r="9401">
          <cell r="C9401" t="str">
            <v>Traditions First Bank_RAS 2024</v>
          </cell>
          <cell r="H9401">
            <v>5039735</v>
          </cell>
          <cell r="AK9401" t="str">
            <v>Rebecca Breland</v>
          </cell>
        </row>
        <row r="9402">
          <cell r="C9402" t="str">
            <v>MS_WM Technology FY25</v>
          </cell>
          <cell r="H9402">
            <v>5051802</v>
          </cell>
          <cell r="AK9402" t="str">
            <v>Dan Schutzman</v>
          </cell>
        </row>
        <row r="9403">
          <cell r="C9403" t="str">
            <v>MS_HR Data BA FY25</v>
          </cell>
          <cell r="H9403">
            <v>5051805</v>
          </cell>
          <cell r="AK9403" t="str">
            <v>Kshitij Zaveri</v>
          </cell>
        </row>
        <row r="9404">
          <cell r="C9404" t="str">
            <v>MS_WM Operations FY25</v>
          </cell>
          <cell r="H9404">
            <v>5051870</v>
          </cell>
          <cell r="AK9404" t="str">
            <v>Ruben Sooriya</v>
          </cell>
        </row>
        <row r="9405">
          <cell r="C9405" t="str">
            <v>MS_ISG Mumbai_FY25</v>
          </cell>
          <cell r="H9405">
            <v>5051889</v>
          </cell>
          <cell r="AK9405" t="str">
            <v>Ruben Sooriya</v>
          </cell>
        </row>
        <row r="9406">
          <cell r="C9406" t="str">
            <v>MS_ISG Ops Bangalore_FY25</v>
          </cell>
          <cell r="H9406">
            <v>5051890</v>
          </cell>
          <cell r="AK9406" t="str">
            <v>Ruben Sooriya</v>
          </cell>
        </row>
        <row r="9407">
          <cell r="C9407" t="str">
            <v>Pru - GT - PGIM UX Design Resource</v>
          </cell>
          <cell r="H9407">
            <v>5051896</v>
          </cell>
          <cell r="AK9407" t="str">
            <v>Diego Sarai</v>
          </cell>
        </row>
        <row r="9408">
          <cell r="C9408" t="str">
            <v>Computershare - GCOO Investment &amp; Delivery Governance Support Extension</v>
          </cell>
          <cell r="H9408">
            <v>5051816</v>
          </cell>
          <cell r="AK9408" t="str">
            <v>Douglas Sieg</v>
          </cell>
        </row>
        <row r="9409">
          <cell r="C9409" t="str">
            <v>MS_WMT Advisory Tech India_FY25</v>
          </cell>
          <cell r="H9409">
            <v>5051829</v>
          </cell>
          <cell r="AK9409" t="str">
            <v>Dan Schutzman</v>
          </cell>
        </row>
        <row r="9410">
          <cell r="C9410" t="str">
            <v>SEIU PMO PM Staff Aug 2</v>
          </cell>
          <cell r="H9410">
            <v>5051869</v>
          </cell>
          <cell r="AK9410" t="str">
            <v>Eric Fairchild</v>
          </cell>
        </row>
        <row r="9411">
          <cell r="C9411" t="str">
            <v>Goldman Sachs - India CTB PM - 2024 EXTN 2</v>
          </cell>
          <cell r="H9411">
            <v>5052059</v>
          </cell>
          <cell r="AK9411" t="str">
            <v>Kashmira Sudhir Ajgaonkar</v>
          </cell>
        </row>
        <row r="9412">
          <cell r="C9412" t="str">
            <v>MSWM_AD&amp;I Extension [Mae Maltby]</v>
          </cell>
          <cell r="H9412">
            <v>5051913</v>
          </cell>
          <cell r="AK9412" t="str">
            <v>Dan Schutzman</v>
          </cell>
        </row>
        <row r="9413">
          <cell r="C9413" t="str">
            <v>Ridgewood Savings Bank - FL CRA HMDA Services</v>
          </cell>
          <cell r="H9413">
            <v>5051904</v>
          </cell>
          <cell r="AK9413" t="str">
            <v>Leigh Tribou</v>
          </cell>
        </row>
        <row r="9414">
          <cell r="C9414" t="str">
            <v>Jeff_Infrastructure Cloud FY24-Q2 Role</v>
          </cell>
          <cell r="H9414">
            <v>5051974</v>
          </cell>
          <cell r="AK9414" t="str">
            <v>Imran Parekh</v>
          </cell>
        </row>
        <row r="9415">
          <cell r="C9415" t="str">
            <v>SB Danbury 2024 HMDA Reviews</v>
          </cell>
          <cell r="H9415">
            <v>5052181</v>
          </cell>
          <cell r="AK9415" t="str">
            <v>Juan Pimentel</v>
          </cell>
        </row>
        <row r="9416">
          <cell r="C9416" t="str">
            <v>Lukas Holland Extension 4</v>
          </cell>
          <cell r="H9416">
            <v>5052002</v>
          </cell>
          <cell r="AK9416" t="str">
            <v>Samuel Desta</v>
          </cell>
        </row>
        <row r="9417">
          <cell r="C9417" t="str">
            <v>Centennial 2024 HMDA Reviews</v>
          </cell>
          <cell r="H9417">
            <v>5051853</v>
          </cell>
          <cell r="AK9417" t="str">
            <v>Juan Pimentel</v>
          </cell>
        </row>
        <row r="9418">
          <cell r="C9418" t="str">
            <v>Flushing Bank - 2024 HMDA &amp; CRA Services_Oct24</v>
          </cell>
          <cell r="H9418">
            <v>5051663</v>
          </cell>
          <cell r="AK9418" t="str">
            <v>David Belfer</v>
          </cell>
        </row>
        <row r="9419">
          <cell r="C9419" t="str">
            <v>Computershare Doug Ext - Change &amp; Transformation</v>
          </cell>
          <cell r="H9419">
            <v>5051905</v>
          </cell>
          <cell r="AK9419" t="str">
            <v>Louisa Butler</v>
          </cell>
        </row>
        <row r="9420">
          <cell r="C9420" t="str">
            <v>BBA HMDA Reviews 2024</v>
          </cell>
          <cell r="H9420">
            <v>5052008</v>
          </cell>
          <cell r="AK9420" t="str">
            <v>Juan Pimentel</v>
          </cell>
        </row>
        <row r="9421">
          <cell r="C9421" t="str">
            <v>Capital Bank 2024 HMDA Reviews</v>
          </cell>
          <cell r="H9421">
            <v>5052131</v>
          </cell>
          <cell r="AK9421" t="str">
            <v>Juan Pimentel</v>
          </cell>
        </row>
        <row r="9422">
          <cell r="C9422" t="str">
            <v>Capital Bank 2024 CRA Reviews</v>
          </cell>
          <cell r="H9422">
            <v>5052132</v>
          </cell>
          <cell r="AK9422" t="str">
            <v>Juan Pimentel</v>
          </cell>
        </row>
        <row r="9423">
          <cell r="C9423" t="str">
            <v>Prudential Spend Credit</v>
          </cell>
          <cell r="H9423">
            <v>5052049</v>
          </cell>
          <cell r="AK9423" t="str">
            <v>Fabio Takemura</v>
          </cell>
        </row>
        <row r="9424">
          <cell r="C9424" t="str">
            <v>Mastercard_Ryan Haines  Extension</v>
          </cell>
          <cell r="H9424">
            <v>5051290</v>
          </cell>
          <cell r="AK9424" t="str">
            <v>Nitin Raju</v>
          </cell>
        </row>
        <row r="9425">
          <cell r="C9425" t="str">
            <v>RECURRING Harbor Bk CMS 24</v>
          </cell>
          <cell r="H9425">
            <v>5048433</v>
          </cell>
          <cell r="AK9425" t="str">
            <v>W. Annette Dredden</v>
          </cell>
        </row>
        <row r="9426">
          <cell r="C9426" t="str">
            <v>MS_KYC_FY25</v>
          </cell>
          <cell r="H9426">
            <v>5050706</v>
          </cell>
          <cell r="AK9426" t="str">
            <v>Ruben Sooriya</v>
          </cell>
        </row>
        <row r="9427">
          <cell r="C9427" t="str">
            <v>FrMc_Staff Aug Pilot Ext</v>
          </cell>
          <cell r="H9427">
            <v>5049562</v>
          </cell>
          <cell r="AK9427" t="str">
            <v>Johnny Gabert</v>
          </cell>
        </row>
        <row r="9428">
          <cell r="C9428" t="str">
            <v>FrMc_EOT PM (SA) Extensions</v>
          </cell>
          <cell r="H9428">
            <v>5049841</v>
          </cell>
          <cell r="AK9428" t="str">
            <v>Jason Willenberg</v>
          </cell>
        </row>
        <row r="9429">
          <cell r="C9429" t="str">
            <v>Mastercard_Zaena Morisho Extension</v>
          </cell>
          <cell r="H9429">
            <v>5051290</v>
          </cell>
          <cell r="AK9429" t="str">
            <v>Nitin Raju</v>
          </cell>
        </row>
        <row r="9430">
          <cell r="C9430" t="str">
            <v>Capital Bank Pricing Reports OCT24</v>
          </cell>
          <cell r="H9430">
            <v>5051911</v>
          </cell>
          <cell r="AK9430" t="str">
            <v>Juan Pimentel</v>
          </cell>
        </row>
        <row r="9431">
          <cell r="C9431" t="str">
            <v>Community Bank - KS_RAS_2024</v>
          </cell>
          <cell r="H9431">
            <v>5040118</v>
          </cell>
          <cell r="AK9431" t="str">
            <v>Diane Banks</v>
          </cell>
        </row>
        <row r="9432">
          <cell r="C9432" t="str">
            <v>Comm Bank of Texas N.A._RAS 2024</v>
          </cell>
          <cell r="H9432">
            <v>5040178</v>
          </cell>
          <cell r="AK9432" t="str">
            <v>Diane Banks</v>
          </cell>
        </row>
        <row r="9433">
          <cell r="C9433" t="str">
            <v>MSIM EDD &amp; KYC Integration [Kyle Abdellatif]</v>
          </cell>
          <cell r="H9433">
            <v>5051791</v>
          </cell>
          <cell r="AK9433" t="str">
            <v>Dan Schutzman</v>
          </cell>
        </row>
        <row r="9434">
          <cell r="C9434" t="str">
            <v>FrMc_Resolution Planning Ext</v>
          </cell>
          <cell r="H9434">
            <v>5045494</v>
          </cell>
          <cell r="AK9434" t="str">
            <v>Michael Mathew</v>
          </cell>
        </row>
        <row r="9435">
          <cell r="C9435" t="str">
            <v>First Metro Bank_RAS_2024</v>
          </cell>
          <cell r="H9435">
            <v>5039643</v>
          </cell>
          <cell r="AK9435" t="str">
            <v>Diane Banks</v>
          </cell>
        </row>
        <row r="9436">
          <cell r="C9436" t="str">
            <v>Customers Bank_RAS 2024</v>
          </cell>
          <cell r="H9436">
            <v>5045167</v>
          </cell>
          <cell r="AK9436" t="str">
            <v>Diane Banks</v>
          </cell>
        </row>
        <row r="9437">
          <cell r="C9437" t="str">
            <v>MS_Data FY25</v>
          </cell>
          <cell r="H9437">
            <v>5051790</v>
          </cell>
          <cell r="AK9437" t="str">
            <v>Erik Johnson</v>
          </cell>
        </row>
        <row r="9438">
          <cell r="C9438" t="str">
            <v>Amerant Mortgage Reviews 2024</v>
          </cell>
          <cell r="H9438">
            <v>5052094</v>
          </cell>
          <cell r="AK9438" t="str">
            <v>Juan Pimentel</v>
          </cell>
        </row>
        <row r="9439">
          <cell r="C9439" t="str">
            <v>WaTrustCo-UDAAP RA</v>
          </cell>
          <cell r="H9439">
            <v>5051475</v>
          </cell>
          <cell r="AK9439" t="str">
            <v>Leigh Tribou</v>
          </cell>
        </row>
        <row r="9440">
          <cell r="C9440" t="str">
            <v>Altoona First Savings Bank_RAS_2024</v>
          </cell>
          <cell r="H9440">
            <v>5039581</v>
          </cell>
          <cell r="AK9440" t="str">
            <v>Diane Banks</v>
          </cell>
        </row>
        <row r="9441">
          <cell r="C9441" t="str">
            <v>MS_MSIM FY25</v>
          </cell>
          <cell r="H9441">
            <v>5051791</v>
          </cell>
          <cell r="AK9441" t="str">
            <v>Dan Schutzman</v>
          </cell>
        </row>
        <row r="9442">
          <cell r="C9442" t="str">
            <v>USB PMO</v>
          </cell>
          <cell r="H9442">
            <v>5052471</v>
          </cell>
          <cell r="AK9442" t="str">
            <v>Samuel Awsumb</v>
          </cell>
        </row>
        <row r="9443">
          <cell r="C9443" t="str">
            <v>MS_WM Business FY25</v>
          </cell>
          <cell r="H9443">
            <v>5051832</v>
          </cell>
          <cell r="AK9443" t="str">
            <v>Dan Schutzman</v>
          </cell>
        </row>
        <row r="9444">
          <cell r="C9444" t="str">
            <v>RECURRING_PSB&amp;T_CMS Optimizer 2024</v>
          </cell>
          <cell r="H9444">
            <v>5051923</v>
          </cell>
          <cell r="AK9444" t="str">
            <v>Gail Rassler</v>
          </cell>
        </row>
        <row r="9445">
          <cell r="C9445" t="str">
            <v>nomura india CFTC Rewrite Extention 2</v>
          </cell>
          <cell r="H9445">
            <v>5049964</v>
          </cell>
          <cell r="AK9445" t="str">
            <v>Salim Modi</v>
          </cell>
        </row>
        <row r="9446">
          <cell r="C9446" t="str">
            <v>WA Trust 2024 HMDA Reviews</v>
          </cell>
          <cell r="H9446">
            <v>5052110</v>
          </cell>
          <cell r="AK9446" t="str">
            <v>Juan Pimentel</v>
          </cell>
        </row>
        <row r="9447">
          <cell r="C9447" t="str">
            <v>Pru - GT - PGIM Website Re-Platforming Content Strategy</v>
          </cell>
          <cell r="H9447">
            <v>5052035</v>
          </cell>
          <cell r="AK9447" t="str">
            <v>Mark Mountan</v>
          </cell>
        </row>
        <row r="9448">
          <cell r="C9448" t="str">
            <v>Flushing Bank - 2024 HMDA &amp; CRA Services</v>
          </cell>
          <cell r="H9448">
            <v>5051663</v>
          </cell>
          <cell r="AK9448" t="str">
            <v>David Belfer</v>
          </cell>
        </row>
        <row r="9449">
          <cell r="C9449" t="str">
            <v>BBA Mortgage Reviews</v>
          </cell>
          <cell r="H9449">
            <v>5052203</v>
          </cell>
          <cell r="AK9449" t="str">
            <v>Juan Pimentel</v>
          </cell>
        </row>
        <row r="9450">
          <cell r="C9450" t="str">
            <v>Magnolia State Bank_RAS 2024</v>
          </cell>
          <cell r="H9450">
            <v>5039681</v>
          </cell>
          <cell r="AK9450" t="str">
            <v>Rebecca Breland</v>
          </cell>
        </row>
        <row r="9451">
          <cell r="C9451" t="str">
            <v>RECURRING - Empire State Bank_CRA Services</v>
          </cell>
          <cell r="H9451">
            <v>5052313</v>
          </cell>
          <cell r="AK9451" t="str">
            <v>Elanna Kooistra</v>
          </cell>
        </row>
        <row r="9452">
          <cell r="C9452" t="str">
            <v>MS_ Data_Big ID</v>
          </cell>
          <cell r="H9452">
            <v>5051956</v>
          </cell>
          <cell r="AK9452" t="str">
            <v>Paul Laurent</v>
          </cell>
        </row>
        <row r="9453">
          <cell r="C9453" t="str">
            <v>FrMc_SAP Modernization</v>
          </cell>
          <cell r="H9453">
            <v>5051858</v>
          </cell>
          <cell r="AK9453" t="str">
            <v>Gregory Barry</v>
          </cell>
        </row>
        <row r="9454">
          <cell r="C9454" t="str">
            <v>MS_TPPM Business_FY25</v>
          </cell>
          <cell r="H9454">
            <v>5051792</v>
          </cell>
          <cell r="AK9454" t="str">
            <v>Dan Schutzman</v>
          </cell>
        </row>
        <row r="9455">
          <cell r="C9455" t="str">
            <v>CNB FL Mtg. Servicing (PMI &amp; ARM Reviews)</v>
          </cell>
          <cell r="H9455">
            <v>5051985</v>
          </cell>
          <cell r="AK9455" t="str">
            <v>Brian Phillips</v>
          </cell>
        </row>
        <row r="9456">
          <cell r="C9456" t="str">
            <v>First United Bank &amp; Trust _RAS2024</v>
          </cell>
          <cell r="H9456">
            <v>5039501</v>
          </cell>
          <cell r="AK9456" t="str">
            <v>Diane Banks</v>
          </cell>
        </row>
        <row r="9457">
          <cell r="C9457" t="str">
            <v>MS_ISG Operations FY25</v>
          </cell>
          <cell r="H9457">
            <v>5051855</v>
          </cell>
          <cell r="AK9457" t="str">
            <v>Ruben Sooriya</v>
          </cell>
        </row>
        <row r="9458">
          <cell r="C9458" t="str">
            <v>HNB Merchant Services - Java Developer Support</v>
          </cell>
          <cell r="H9458">
            <v>5051910</v>
          </cell>
          <cell r="AK9458" t="str">
            <v>Spencer Feuer</v>
          </cell>
        </row>
        <row r="9459">
          <cell r="C9459" t="str">
            <v>American Bank CRA Reviews</v>
          </cell>
          <cell r="H9459">
            <v>5052380</v>
          </cell>
          <cell r="AK9459" t="str">
            <v>Juan Pimentel</v>
          </cell>
        </row>
        <row r="9460">
          <cell r="C9460" t="str">
            <v>Dime TM Alerts Extn</v>
          </cell>
          <cell r="H9460">
            <v>5051450</v>
          </cell>
          <cell r="AK9460" t="str">
            <v>Sara Sanchez</v>
          </cell>
        </row>
        <row r="9461">
          <cell r="C9461" t="str">
            <v>Erie FCU MQC 24-26</v>
          </cell>
          <cell r="H9461">
            <v>5051717</v>
          </cell>
          <cell r="AK9461" t="str">
            <v>Christian Maier</v>
          </cell>
        </row>
        <row r="9462">
          <cell r="C9462" t="str">
            <v>LA FCU MQC</v>
          </cell>
          <cell r="H9462">
            <v>5052828</v>
          </cell>
          <cell r="AK9462" t="str">
            <v>Christian Maier</v>
          </cell>
        </row>
        <row r="9463">
          <cell r="C9463" t="str">
            <v>Poca Valley Bank MQC 24-26</v>
          </cell>
          <cell r="H9463">
            <v>5051742</v>
          </cell>
          <cell r="AK9463" t="str">
            <v>Christian Maier</v>
          </cell>
        </row>
        <row r="9464">
          <cell r="C9464" t="str">
            <v>FrMc_MF Role Extension (SA)</v>
          </cell>
          <cell r="H9464">
            <v>5048648</v>
          </cell>
          <cell r="AK9464" t="str">
            <v>Kalkidan Tedla</v>
          </cell>
        </row>
        <row r="9465">
          <cell r="C9465" t="str">
            <v>Federated Lending MQC 24-26</v>
          </cell>
          <cell r="H9465">
            <v>5051789</v>
          </cell>
          <cell r="AK9465" t="str">
            <v>Christian Maier</v>
          </cell>
        </row>
        <row r="9466">
          <cell r="C9466" t="str">
            <v>MECU MQC 2024-26</v>
          </cell>
          <cell r="H9466">
            <v>5052182</v>
          </cell>
          <cell r="AK9466" t="str">
            <v>Christian Maier</v>
          </cell>
        </row>
        <row r="9467">
          <cell r="C9467" t="str">
            <v>Penn East MQC</v>
          </cell>
          <cell r="H9467">
            <v>5051875</v>
          </cell>
          <cell r="AK9467" t="str">
            <v>Christian Maier</v>
          </cell>
        </row>
        <row r="9468">
          <cell r="C9468" t="str">
            <v>FCB Phase 2 Project Management Program Implementation</v>
          </cell>
          <cell r="H9468">
            <v>5052027</v>
          </cell>
          <cell r="AK9468" t="str">
            <v>Susan Stevenson</v>
          </cell>
        </row>
        <row r="9469">
          <cell r="C9469" t="str">
            <v>MS_ISG_ Asset Servicing PM [Alok Singh]</v>
          </cell>
          <cell r="H9469">
            <v>5051855</v>
          </cell>
          <cell r="AK9469" t="str">
            <v>Ruben Sooriya</v>
          </cell>
        </row>
        <row r="9470">
          <cell r="C9470" t="str">
            <v>Jeff_Equities FO Tech PM / BA Support Ext.</v>
          </cell>
          <cell r="H9470">
            <v>5052015</v>
          </cell>
          <cell r="AK9470" t="str">
            <v>Sri Nonabur Srinivasamurthy</v>
          </cell>
        </row>
        <row r="9471">
          <cell r="C9471" t="str">
            <v>First Citizens_ITAM &amp; ServiceNow PM (CO#1 to SOW#4)</v>
          </cell>
          <cell r="H9471">
            <v>5051942</v>
          </cell>
          <cell r="AK9471" t="str">
            <v>Souma Basu</v>
          </cell>
        </row>
        <row r="9472">
          <cell r="C9472" t="str">
            <v>UVA CCU Call Center Platform Replacement</v>
          </cell>
          <cell r="H9472">
            <v>5051932</v>
          </cell>
          <cell r="AK9472" t="str">
            <v>Burt Yeo</v>
          </cell>
        </row>
        <row r="9473">
          <cell r="C9473" t="str">
            <v>Jeff_JCrew Tier1 decom &amp; Workflow upgrade</v>
          </cell>
          <cell r="H9473">
            <v>5052061</v>
          </cell>
          <cell r="AK9473" t="str">
            <v>Samir Narale</v>
          </cell>
        </row>
        <row r="9474">
          <cell r="C9474" t="str">
            <v>Battle Bank System Integrator Extension - April - May 2024</v>
          </cell>
          <cell r="H9474">
            <v>5050428</v>
          </cell>
          <cell r="AK9474" t="str">
            <v>James Kane</v>
          </cell>
        </row>
        <row r="9475">
          <cell r="C9475" t="str">
            <v>Issue Mgmt MRA Role EXT (SA)</v>
          </cell>
          <cell r="H9475">
            <v>5051378</v>
          </cell>
          <cell r="AK9475" t="str">
            <v>Kalkidan Tedla</v>
          </cell>
        </row>
        <row r="9476">
          <cell r="C9476" t="str">
            <v>Popular / BPPR Complaint Migration Design and Rollout</v>
          </cell>
          <cell r="H9476">
            <v>5052206</v>
          </cell>
          <cell r="AK9476" t="str">
            <v>Brian Phillips</v>
          </cell>
        </row>
        <row r="9477">
          <cell r="C9477" t="str">
            <v>Valley Trust Compliance Review</v>
          </cell>
          <cell r="H9477">
            <v>5052113</v>
          </cell>
          <cell r="AK9477" t="str">
            <v>David Stalnaker</v>
          </cell>
        </row>
        <row r="9478">
          <cell r="C9478" t="str">
            <v>Popular Bank - RAS Addendum</v>
          </cell>
          <cell r="H9478">
            <v>5039544</v>
          </cell>
          <cell r="AK9478" t="str">
            <v>Diane Banks</v>
          </cell>
        </row>
        <row r="9479">
          <cell r="C9479" t="str">
            <v>CCB - CECL Model Validation</v>
          </cell>
          <cell r="H9479">
            <v>5052133</v>
          </cell>
          <cell r="AK9479" t="str">
            <v>Aiswarya Parameswaran</v>
          </cell>
        </row>
        <row r="9480">
          <cell r="C9480" t="str">
            <v>One Percent for America</v>
          </cell>
          <cell r="H9480">
            <v>5052097</v>
          </cell>
          <cell r="AK9480" t="str">
            <v>Jeanette Wampler</v>
          </cell>
        </row>
        <row r="9481">
          <cell r="C9481" t="str">
            <v>MS Ops Transformation Governance</v>
          </cell>
          <cell r="H9481">
            <v>5052046</v>
          </cell>
          <cell r="AK9481" t="str">
            <v>Lawrence Aggleton</v>
          </cell>
        </row>
        <row r="9482">
          <cell r="C9482" t="str">
            <v>MS_ISG_KYC CTB TOM [Michael Moshier]</v>
          </cell>
          <cell r="H9482">
            <v>5050706</v>
          </cell>
          <cell r="AK9482" t="str">
            <v>Ruben Sooriya</v>
          </cell>
        </row>
        <row r="9483">
          <cell r="C9483" t="str">
            <v>GRC Support Services 2025</v>
          </cell>
          <cell r="H9483">
            <v>5049309</v>
          </cell>
          <cell r="AK9483" t="str">
            <v>Tania Makuh</v>
          </cell>
        </row>
        <row r="9484">
          <cell r="C9484" t="str">
            <v>Comerica Bank - Data Feed</v>
          </cell>
          <cell r="H9484">
            <v>5049026</v>
          </cell>
          <cell r="AK9484" t="str">
            <v>Leah Robinson</v>
          </cell>
        </row>
        <row r="9485">
          <cell r="C9485" t="str">
            <v>ESSA Bank HMDA Reviews 2024</v>
          </cell>
          <cell r="H9485">
            <v>5052649</v>
          </cell>
          <cell r="AK9485" t="str">
            <v>Juan Pimentel</v>
          </cell>
        </row>
        <row r="9486">
          <cell r="C9486" t="str">
            <v>Jeff_Equity Swaps Tech PM Support</v>
          </cell>
          <cell r="H9486">
            <v>5052122</v>
          </cell>
          <cell r="AK9486" t="str">
            <v>Sri Nonabur Srinivasamurthy</v>
          </cell>
        </row>
        <row r="9487">
          <cell r="C9487" t="str">
            <v>nomura Quality Assurance onshore/offshore resources</v>
          </cell>
          <cell r="H9487">
            <v>5052067</v>
          </cell>
          <cell r="AK9487" t="str">
            <v>Salim Modi</v>
          </cell>
        </row>
        <row r="9488">
          <cell r="C9488" t="str">
            <v>Pru - GT - ILI Simplified Sol Tech Expansion</v>
          </cell>
          <cell r="H9488">
            <v>5050616</v>
          </cell>
          <cell r="AK9488" t="str">
            <v>Lauren Somma</v>
          </cell>
        </row>
        <row r="9489">
          <cell r="C9489" t="str">
            <v>Jeff ION CTB Developer Renewal Apr 2024 - Oct 2024</v>
          </cell>
          <cell r="H9489">
            <v>5052109</v>
          </cell>
          <cell r="AK9489" t="str">
            <v>Manal Ray</v>
          </cell>
        </row>
        <row r="9490">
          <cell r="C9490" t="str">
            <v>FMB - FARB Consulting Services</v>
          </cell>
          <cell r="H9490">
            <v>5052103</v>
          </cell>
          <cell r="AK9490" t="str">
            <v>Elanna Kooistra</v>
          </cell>
        </row>
        <row r="9491">
          <cell r="C9491" t="str">
            <v>Dime AML Analysts</v>
          </cell>
          <cell r="H9491">
            <v>5052123</v>
          </cell>
          <cell r="AK9491" t="str">
            <v>Anthony Abruzzo</v>
          </cell>
        </row>
        <row r="9492">
          <cell r="C9492" t="str">
            <v>Automation - Client Ops BAs [Will Zhang]</v>
          </cell>
          <cell r="H9492">
            <v>5051855</v>
          </cell>
          <cell r="AK9492" t="str">
            <v>Ruben Sooriya</v>
          </cell>
        </row>
        <row r="9493">
          <cell r="C9493" t="str">
            <v>Control Group Compliance (SR Role)</v>
          </cell>
          <cell r="H9493">
            <v>5052217</v>
          </cell>
          <cell r="AK9493" t="str">
            <v>Samuel Desta</v>
          </cell>
        </row>
        <row r="9494">
          <cell r="C9494" t="str">
            <v>USB_RMS Ext (Tiger Team)</v>
          </cell>
          <cell r="H9494">
            <v>5052142</v>
          </cell>
          <cell r="AK9494" t="str">
            <v>Samuel Awsumb</v>
          </cell>
        </row>
        <row r="9495">
          <cell r="C9495" t="str">
            <v>2U/NBH - Tech Modern Delivery Workshop</v>
          </cell>
          <cell r="H9495">
            <v>5052178</v>
          </cell>
          <cell r="AK9495" t="str">
            <v>Kelsey Popplewell</v>
          </cell>
        </row>
        <row r="9496">
          <cell r="C9496" t="str">
            <v>Unified Added RIsk Assessments and Review</v>
          </cell>
          <cell r="H9496">
            <v>5051212</v>
          </cell>
          <cell r="AK9496" t="str">
            <v>Kristina Slattery</v>
          </cell>
        </row>
        <row r="9497">
          <cell r="C9497" t="str">
            <v>SVB_LFI-CECL Reporting May24-Nov24</v>
          </cell>
          <cell r="H9497">
            <v>5051777</v>
          </cell>
          <cell r="AK9497" t="str">
            <v>Lance Rhodes</v>
          </cell>
        </row>
        <row r="9498">
          <cell r="C9498" t="str">
            <v>HSBC-GFP-DBS-OCC Remediation Extension</v>
          </cell>
          <cell r="H9498">
            <v>5044484</v>
          </cell>
          <cell r="AK9498" t="str">
            <v>Rahul Govada</v>
          </cell>
        </row>
        <row r="9499">
          <cell r="C9499" t="str">
            <v>Dime_BSA Officer</v>
          </cell>
          <cell r="H9499">
            <v>5052154</v>
          </cell>
          <cell r="AK9499" t="str">
            <v>Mark Davis</v>
          </cell>
        </row>
        <row r="9500">
          <cell r="C9500" t="str">
            <v>FrMc_Payment Modernization 6477-08</v>
          </cell>
          <cell r="H9500">
            <v>5051366</v>
          </cell>
          <cell r="AK9500" t="str">
            <v>Kalkidan Tedla</v>
          </cell>
        </row>
        <row r="9501">
          <cell r="C9501" t="str">
            <v>HSBC OCC - Negative sale</v>
          </cell>
          <cell r="H9501">
            <v>5044484</v>
          </cell>
          <cell r="AK9501" t="str">
            <v>Rahul Govada</v>
          </cell>
        </row>
        <row r="9502">
          <cell r="C9502" t="str">
            <v>Jeff_GEP 2024 Extension</v>
          </cell>
          <cell r="H9502">
            <v>5052232</v>
          </cell>
          <cell r="AK9502" t="str">
            <v>Conor Dowling</v>
          </cell>
        </row>
        <row r="9503">
          <cell r="C9503" t="str">
            <v>Upper Peninsula State Bank -2024 -2026- RAS</v>
          </cell>
          <cell r="H9503">
            <v>5052152</v>
          </cell>
          <cell r="AK9503" t="str">
            <v>Diane Banks</v>
          </cell>
        </row>
        <row r="9504">
          <cell r="C9504" t="str">
            <v>Recurring Peapack Gladstone Bank CMSO 2024</v>
          </cell>
          <cell r="H9504">
            <v>5052164</v>
          </cell>
          <cell r="AK9504" t="str">
            <v>Gail Rassler</v>
          </cell>
        </row>
        <row r="9505">
          <cell r="C9505" t="str">
            <v>UNFCU ARM Testing</v>
          </cell>
          <cell r="H9505">
            <v>5052371</v>
          </cell>
          <cell r="AK9505" t="str">
            <v>Alice Judd</v>
          </cell>
        </row>
        <row r="9506">
          <cell r="C9506" t="str">
            <v>Popular Bank - May Extension</v>
          </cell>
          <cell r="H9506">
            <v>5052163</v>
          </cell>
          <cell r="AK9506" t="str">
            <v>Kian Rahnejat</v>
          </cell>
        </row>
        <row r="9507">
          <cell r="C9507" t="str">
            <v>2U/NBH Team Extension - CO #6</v>
          </cell>
          <cell r="H9507">
            <v>5050472</v>
          </cell>
          <cell r="AK9507" t="str">
            <v>Adam Polson</v>
          </cell>
        </row>
        <row r="9508">
          <cell r="C9508" t="str">
            <v>HSBC 2024 Enhanced Business Processes program</v>
          </cell>
          <cell r="H9508">
            <v>5052239</v>
          </cell>
          <cell r="AK9508" t="str">
            <v>Rahul Govada</v>
          </cell>
        </row>
        <row r="9509">
          <cell r="C9509" t="str">
            <v>FAST: Implementation Partnership Phase 1 Extension #3</v>
          </cell>
          <cell r="H9509">
            <v>5049636</v>
          </cell>
          <cell r="AK9509" t="str">
            <v>Randy Love</v>
          </cell>
        </row>
        <row r="9510">
          <cell r="C9510" t="str">
            <v>CACIB - Cyber Incident Response</v>
          </cell>
          <cell r="H9510">
            <v>5052135</v>
          </cell>
          <cell r="AK9510" t="str">
            <v>Boris Mallet</v>
          </cell>
        </row>
        <row r="9511">
          <cell r="C9511" t="str">
            <v>Recurring Arthur State Bank CMS</v>
          </cell>
          <cell r="H9511">
            <v>5052151</v>
          </cell>
          <cell r="AK9511" t="str">
            <v>Eugene Collett</v>
          </cell>
        </row>
        <row r="9512">
          <cell r="C9512" t="str">
            <v>Pru - USB - RAS/Granite - Swathi Galireddy</v>
          </cell>
          <cell r="H9512">
            <v>5052331</v>
          </cell>
          <cell r="AK9512" t="str">
            <v>Luiz Abdo Junior</v>
          </cell>
        </row>
        <row r="9513">
          <cell r="C9513" t="str">
            <v>MECU TRID Refresher Training</v>
          </cell>
          <cell r="H9513">
            <v>5052383</v>
          </cell>
          <cell r="AK9513" t="str">
            <v>W. Annette Dredden</v>
          </cell>
        </row>
        <row r="9514">
          <cell r="C9514" t="str">
            <v>FXL PM Extension-Anthony Madej</v>
          </cell>
          <cell r="H9514">
            <v>5050681</v>
          </cell>
          <cell r="AK9514" t="str">
            <v>Anthony Madej</v>
          </cell>
        </row>
        <row r="9515">
          <cell r="C9515" t="str">
            <v>Jefferies - Tech Change Enablement FY24 Q2 Extension</v>
          </cell>
          <cell r="H9515">
            <v>5052212</v>
          </cell>
          <cell r="AK9515" t="str">
            <v>Imran Parekh</v>
          </cell>
        </row>
        <row r="9516">
          <cell r="C9516" t="str">
            <v>Jefferies Eq Compliance BA Ext</v>
          </cell>
          <cell r="H9516">
            <v>5052229</v>
          </cell>
          <cell r="AK9516" t="str">
            <v>Sri Nonabur Srinivasamurthy</v>
          </cell>
        </row>
        <row r="9517">
          <cell r="C9517" t="str">
            <v>RECURRING-PSECU-Compliance RA</v>
          </cell>
          <cell r="H9517">
            <v>5051657</v>
          </cell>
          <cell r="AK9517" t="str">
            <v>Gail Rassler</v>
          </cell>
        </row>
        <row r="9518">
          <cell r="C9518" t="str">
            <v>Newton Federal Bank_RAS_2024</v>
          </cell>
          <cell r="H9518">
            <v>5040354</v>
          </cell>
          <cell r="AK9518" t="str">
            <v>Diane Banks</v>
          </cell>
        </row>
        <row r="9519">
          <cell r="C9519" t="str">
            <v>Pennsylvania State Employe_RAS_2024</v>
          </cell>
          <cell r="H9519">
            <v>5039540</v>
          </cell>
          <cell r="AK9519" t="str">
            <v>Diane Banks</v>
          </cell>
        </row>
        <row r="9520">
          <cell r="C9520" t="str">
            <v>Pathward,NationalAssociati_RAS_2024</v>
          </cell>
          <cell r="H9520">
            <v>5039526</v>
          </cell>
          <cell r="AK9520" t="str">
            <v>Diane Banks</v>
          </cell>
        </row>
        <row r="9521">
          <cell r="C9521" t="str">
            <v>Clinton Savings Bank_2024</v>
          </cell>
          <cell r="H9521">
            <v>5039614</v>
          </cell>
          <cell r="AK9521" t="str">
            <v>Diane Banks</v>
          </cell>
        </row>
        <row r="9522">
          <cell r="C9522" t="str">
            <v>United Mississippi Bank_RAS_2024</v>
          </cell>
          <cell r="H9522">
            <v>5039740</v>
          </cell>
          <cell r="AK9522" t="str">
            <v>Diane Banks</v>
          </cell>
        </row>
        <row r="9523">
          <cell r="C9523" t="str">
            <v>Arthur State Bank Compliance Management extension</v>
          </cell>
          <cell r="H9523">
            <v>5051464</v>
          </cell>
          <cell r="AK9523" t="str">
            <v>Amanda Pickering</v>
          </cell>
        </row>
        <row r="9524">
          <cell r="C9524" t="str">
            <v>Unity Bank of Mississippi_RAS_2024</v>
          </cell>
          <cell r="H9524">
            <v>5045525</v>
          </cell>
          <cell r="AK9524" t="str">
            <v>Diane Banks</v>
          </cell>
        </row>
        <row r="9525">
          <cell r="C9525" t="str">
            <v>Cross County Bank_RAS_2024</v>
          </cell>
          <cell r="H9525">
            <v>5039620</v>
          </cell>
          <cell r="AK9525" t="str">
            <v>Diane Banks</v>
          </cell>
        </row>
        <row r="9526">
          <cell r="C9526" t="str">
            <v>FCB_Product Risk Assessment L-SVB</v>
          </cell>
          <cell r="H9526">
            <v>5052145</v>
          </cell>
          <cell r="AK9526" t="str">
            <v>Marisa DeVincentis</v>
          </cell>
        </row>
        <row r="9527">
          <cell r="C9527" t="str">
            <v>Jefferies Equities PM/BA Ext 2</v>
          </cell>
          <cell r="H9527">
            <v>5052262</v>
          </cell>
          <cell r="AK9527" t="str">
            <v>Sri Nonabur Srinivasamurthy</v>
          </cell>
        </row>
        <row r="9528">
          <cell r="C9528" t="str">
            <v>SMBC-Manubank SOC II Assessment</v>
          </cell>
          <cell r="H9528">
            <v>5052204</v>
          </cell>
          <cell r="AK9528" t="str">
            <v>Ajay Kumar Upadhyay</v>
          </cell>
        </row>
        <row r="9529">
          <cell r="C9529" t="str">
            <v>SVB_ISO Tech PM Ph2</v>
          </cell>
          <cell r="H9529">
            <v>5052205</v>
          </cell>
          <cell r="AK9529" t="str">
            <v>Samuel Awsumb</v>
          </cell>
        </row>
        <row r="9530">
          <cell r="C9530" t="str">
            <v>Pru - PGIM - BA for AEM Replatforming - Karen O'boyle</v>
          </cell>
          <cell r="H9530">
            <v>5052218</v>
          </cell>
          <cell r="AK9530" t="str">
            <v>Diego Sarai</v>
          </cell>
        </row>
        <row r="9531">
          <cell r="C9531" t="str">
            <v>RECURRING Enterprise - FLRA FLSA</v>
          </cell>
          <cell r="H9531">
            <v>5052186</v>
          </cell>
          <cell r="AK9531" t="str">
            <v>Leigh Tribou</v>
          </cell>
        </row>
        <row r="9532">
          <cell r="C9532" t="str">
            <v>Flow Monitor Designer/PM</v>
          </cell>
          <cell r="H9532">
            <v>5052215</v>
          </cell>
          <cell r="AK9532" t="str">
            <v>Irina Szilagyi</v>
          </cell>
        </row>
        <row r="9533">
          <cell r="C9533" t="str">
            <v>NT reporting conversion P3</v>
          </cell>
          <cell r="H9533">
            <v>5051693</v>
          </cell>
          <cell r="AK9533" t="str">
            <v>Grzegorz Walukanis</v>
          </cell>
        </row>
        <row r="9534">
          <cell r="C9534" t="str">
            <v>Voyager Discoverability Product Owner</v>
          </cell>
          <cell r="H9534">
            <v>5052230</v>
          </cell>
          <cell r="AK9534" t="str">
            <v>Aoife Hogan</v>
          </cell>
        </row>
        <row r="9535">
          <cell r="C9535" t="str">
            <v>Members 1st CU - Board Training and ERM Advisory</v>
          </cell>
          <cell r="H9535">
            <v>5052274</v>
          </cell>
          <cell r="AK9535" t="str">
            <v>Denise Rinear</v>
          </cell>
        </row>
        <row r="9536">
          <cell r="C9536" t="str">
            <v>Nomura QA Offshore Resources</v>
          </cell>
          <cell r="H9536">
            <v>5052241</v>
          </cell>
          <cell r="AK9536" t="str">
            <v>Salim Modi</v>
          </cell>
        </row>
        <row r="9537">
          <cell r="C9537" t="str">
            <v>Oncourse Project Management</v>
          </cell>
          <cell r="H9537">
            <v>5052250</v>
          </cell>
          <cell r="AK9537" t="str">
            <v>Ilya Klimenko</v>
          </cell>
        </row>
        <row r="9538">
          <cell r="C9538" t="str">
            <v>BOKF Two-Point Conversion (Planning Phase)</v>
          </cell>
          <cell r="H9538">
            <v>5052187</v>
          </cell>
          <cell r="AK9538" t="str">
            <v>Kevin Miologos</v>
          </cell>
        </row>
        <row r="9539">
          <cell r="C9539" t="str">
            <v>Pru - ILI - Distribution Journey</v>
          </cell>
          <cell r="H9539">
            <v>5052289</v>
          </cell>
          <cell r="AK9539" t="str">
            <v>Luiz Abdo Junior</v>
          </cell>
        </row>
        <row r="9540">
          <cell r="C9540" t="str">
            <v>Pru - ILI Tech - NB Underwriting Tech Delivery</v>
          </cell>
          <cell r="H9540">
            <v>5052361</v>
          </cell>
          <cell r="AK9540" t="str">
            <v>Lewis Levenberg</v>
          </cell>
        </row>
        <row r="9541">
          <cell r="C9541" t="str">
            <v>MS_ISG_ BSA/AML &amp; OFAC Testing Support {Quick Bid}</v>
          </cell>
          <cell r="H9541">
            <v>5052311</v>
          </cell>
          <cell r="AK9541" t="str">
            <v>Ruben Sooriya</v>
          </cell>
        </row>
        <row r="9542">
          <cell r="C9542" t="str">
            <v>MS_ISG_ BSA/AML &amp; OFAC Testing Support {Quick Bid}</v>
          </cell>
          <cell r="H9542">
            <v>5052311</v>
          </cell>
          <cell r="AK9542" t="str">
            <v>Ruben Sooriya</v>
          </cell>
        </row>
        <row r="9543">
          <cell r="C9543" t="str">
            <v>Computershare - Shareholder Remediation Extension (Customer First)</v>
          </cell>
          <cell r="H9543">
            <v>5052228</v>
          </cell>
          <cell r="AK9543" t="str">
            <v>Louisa Butler</v>
          </cell>
        </row>
        <row r="9544">
          <cell r="C9544" t="str">
            <v>Risk Mgmt. BA/PM Ext.</v>
          </cell>
          <cell r="H9544">
            <v>5052263</v>
          </cell>
          <cell r="AK9544" t="str">
            <v>Matthew Rodgers</v>
          </cell>
        </row>
        <row r="9545">
          <cell r="C9545" t="str">
            <v>Compliance Targeted Reviews/Testing</v>
          </cell>
          <cell r="H9545">
            <v>5052259</v>
          </cell>
          <cell r="AK9545" t="str">
            <v>Eric Van Epps</v>
          </cell>
        </row>
        <row r="9546">
          <cell r="C9546" t="str">
            <v>BanQLinQ, LLC- RAS</v>
          </cell>
          <cell r="H9546">
            <v>5052202</v>
          </cell>
          <cell r="AK9546" t="str">
            <v>Diane Banks</v>
          </cell>
        </row>
        <row r="9547">
          <cell r="C9547" t="str">
            <v>Federal Deposit Insurance Corporation-RAS</v>
          </cell>
          <cell r="H9547">
            <v>5039630</v>
          </cell>
          <cell r="AK9547" t="str">
            <v>Diane Banks</v>
          </cell>
        </row>
        <row r="9548">
          <cell r="C9548" t="str">
            <v>Hanscom Federal CU_RAS_2024</v>
          </cell>
          <cell r="H9548">
            <v>5045717</v>
          </cell>
          <cell r="AK9548" t="str">
            <v>Diane Banks</v>
          </cell>
        </row>
        <row r="9549">
          <cell r="C9549" t="str">
            <v>The American National Bank of Texas</v>
          </cell>
          <cell r="H9549">
            <v>5052312</v>
          </cell>
          <cell r="AK9549" t="str">
            <v>Elanna Kooistra</v>
          </cell>
        </row>
        <row r="9550">
          <cell r="C9550" t="str">
            <v>Pru - USB - Distribution Domain Tech Delivery</v>
          </cell>
          <cell r="H9550">
            <v>5052288</v>
          </cell>
          <cell r="AK9550" t="str">
            <v>Luiz Abdo Junior</v>
          </cell>
        </row>
        <row r="9551">
          <cell r="C9551" t="str">
            <v>Jefferies RegIM PM Extension</v>
          </cell>
          <cell r="H9551">
            <v>5052287</v>
          </cell>
          <cell r="AK9551" t="str">
            <v>Julia Simmons</v>
          </cell>
        </row>
        <row r="9552">
          <cell r="C9552" t="str">
            <v>UK ION Support End Of May Extension</v>
          </cell>
          <cell r="H9552">
            <v>5052190</v>
          </cell>
          <cell r="AK9552" t="str">
            <v>John McCaffrey</v>
          </cell>
        </row>
        <row r="9553">
          <cell r="C9553" t="str">
            <v>Citi_CDO MRD Surge Support Amendment #4</v>
          </cell>
          <cell r="H9553">
            <v>5052512</v>
          </cell>
          <cell r="AK9553" t="str">
            <v>George Georgiou</v>
          </cell>
        </row>
        <row r="9554">
          <cell r="C9554" t="str">
            <v>GS India_Change Management PMs</v>
          </cell>
          <cell r="H9554">
            <v>5050613</v>
          </cell>
          <cell r="AK9554" t="str">
            <v>Rahul Govada</v>
          </cell>
        </row>
        <row r="9555">
          <cell r="C9555" t="str">
            <v>Battle Bank System Integrator Extension - May - June 2024</v>
          </cell>
          <cell r="H9555">
            <v>5050428</v>
          </cell>
          <cell r="AK9555" t="str">
            <v>James Kane</v>
          </cell>
        </row>
        <row r="9556">
          <cell r="C9556" t="str">
            <v>Citi_CDO Data Lineage DCRM_US Team Expansion</v>
          </cell>
          <cell r="H9556">
            <v>5052303</v>
          </cell>
          <cell r="AK9556" t="str">
            <v>Ifeoluwa Ajelabi</v>
          </cell>
        </row>
        <row r="9557">
          <cell r="C9557" t="str">
            <v>Jefferies Risk Transformation PMO and Governance Support</v>
          </cell>
          <cell r="H9557">
            <v>5052260</v>
          </cell>
          <cell r="AK9557" t="str">
            <v>Michael Rappaport</v>
          </cell>
        </row>
        <row r="9558">
          <cell r="C9558" t="str">
            <v>Jefferies Automation Program FY24 H2 - Extension</v>
          </cell>
          <cell r="H9558">
            <v>5052323</v>
          </cell>
          <cell r="AK9558" t="str">
            <v>Imran Parekh</v>
          </cell>
        </row>
        <row r="9559">
          <cell r="C9559" t="str">
            <v>Pru - PGIM - AEM Assets Lead / DAM Strategist</v>
          </cell>
          <cell r="H9559">
            <v>5052326</v>
          </cell>
          <cell r="AK9559" t="str">
            <v>Nick Kerzman</v>
          </cell>
        </row>
        <row r="9560">
          <cell r="C9560" t="str">
            <v>MS WM Ops Business Transformation - Team Expansion</v>
          </cell>
          <cell r="H9560">
            <v>5051870</v>
          </cell>
          <cell r="AK9560" t="str">
            <v>Ruben Sooriya</v>
          </cell>
        </row>
        <row r="9561">
          <cell r="C9561" t="str">
            <v>FrMc_MF Program Role Extension (SA)</v>
          </cell>
          <cell r="H9561">
            <v>5044802</v>
          </cell>
          <cell r="AK9561" t="str">
            <v>Kalkidan Tedla</v>
          </cell>
        </row>
        <row r="9562">
          <cell r="C9562" t="str">
            <v>SEIU_CLC EA Project Support Ph13</v>
          </cell>
          <cell r="H9562">
            <v>5041705</v>
          </cell>
          <cell r="AK9562" t="str">
            <v>Eric Fairchild</v>
          </cell>
        </row>
        <row r="9563">
          <cell r="C9563" t="str">
            <v>HSBC-GFP-DBS-OCC Remediation Extension 5</v>
          </cell>
          <cell r="H9563">
            <v>5044484</v>
          </cell>
          <cell r="AK9563" t="str">
            <v>Rahul Govada</v>
          </cell>
        </row>
        <row r="9564">
          <cell r="C9564" t="str">
            <v>Jefferies_Managed Service Legal Support</v>
          </cell>
          <cell r="H9564">
            <v>5052374</v>
          </cell>
          <cell r="AK9564" t="str">
            <v>Samuel Desta</v>
          </cell>
        </row>
        <row r="9565">
          <cell r="C9565" t="str">
            <v>Jefferies GIS Role - Thomas F Extension FY24 2H</v>
          </cell>
          <cell r="H9565">
            <v>5050984</v>
          </cell>
          <cell r="AK9565" t="str">
            <v>Imran Parekh</v>
          </cell>
        </row>
        <row r="9566">
          <cell r="C9566" t="str">
            <v>Grand Savings Bank_RAS_2024</v>
          </cell>
          <cell r="H9566">
            <v>5042458</v>
          </cell>
          <cell r="AK9566" t="str">
            <v>Rebecca Breland</v>
          </cell>
        </row>
        <row r="9567">
          <cell r="C9567" t="str">
            <v>Sunrise Bank_RAS_2024</v>
          </cell>
          <cell r="H9567">
            <v>5039556</v>
          </cell>
          <cell r="AK9567" t="str">
            <v>Diane Banks</v>
          </cell>
        </row>
        <row r="9568">
          <cell r="C9568" t="str">
            <v>Academy Mortgage Corporation_2024</v>
          </cell>
          <cell r="H9568">
            <v>5039576</v>
          </cell>
          <cell r="AK9568" t="str">
            <v>Rebecca Breland</v>
          </cell>
        </row>
        <row r="9569">
          <cell r="C9569" t="str">
            <v>City First Bank / Digital Banking Risk Assessment</v>
          </cell>
          <cell r="H9569">
            <v>5052213</v>
          </cell>
          <cell r="AK9569" t="str">
            <v>Robert Farmer</v>
          </cell>
        </row>
        <row r="9570">
          <cell r="C9570" t="str">
            <v>Chain Bridge Bank Fair Lending Audit</v>
          </cell>
          <cell r="H9570">
            <v>5052198</v>
          </cell>
          <cell r="AK9570" t="str">
            <v>W. Annette Dredden</v>
          </cell>
        </row>
        <row r="9571">
          <cell r="C9571" t="str">
            <v>Jefferies Infra Op Model &amp; Cloud Innovation &amp; Manager Extn 2H FY24</v>
          </cell>
          <cell r="H9571">
            <v>5052372</v>
          </cell>
          <cell r="AK9571" t="str">
            <v>Imran Parekh</v>
          </cell>
        </row>
        <row r="9572">
          <cell r="C9572" t="str">
            <v>Valley Bank of Kalispell_RAS_2024</v>
          </cell>
          <cell r="H9572">
            <v>5040146</v>
          </cell>
          <cell r="AK9572" t="str">
            <v>Diane Banks</v>
          </cell>
        </row>
        <row r="9573">
          <cell r="C9573" t="str">
            <v>Fed Res Bank Phila Library_RAS_2024</v>
          </cell>
          <cell r="H9573">
            <v>5040122</v>
          </cell>
          <cell r="AK9573" t="str">
            <v>Diane Banks</v>
          </cell>
        </row>
        <row r="9574">
          <cell r="C9574" t="str">
            <v>Jefferies Madison PMO - Role Extension FY24 2H</v>
          </cell>
          <cell r="H9574">
            <v>5050960</v>
          </cell>
          <cell r="AK9574" t="str">
            <v>Imran Parekh</v>
          </cell>
        </row>
        <row r="9575">
          <cell r="C9575" t="str">
            <v>Farmers Bank (CO) -RAS</v>
          </cell>
          <cell r="H9575">
            <v>5040154</v>
          </cell>
          <cell r="AK9575" t="str">
            <v>Diane Banks</v>
          </cell>
        </row>
        <row r="9576">
          <cell r="C9576" t="str">
            <v>Citizens St Bank&amp;Trust Co_RAS_2024</v>
          </cell>
          <cell r="H9576">
            <v>5040116</v>
          </cell>
          <cell r="AK9576" t="str">
            <v>Diane Banks</v>
          </cell>
        </row>
        <row r="9577">
          <cell r="C9577" t="str">
            <v>Iron Workers Bank - Technology Risk Assessments</v>
          </cell>
          <cell r="H9577">
            <v>5051295</v>
          </cell>
          <cell r="AK9577" t="str">
            <v>Robert Farmer</v>
          </cell>
        </row>
        <row r="9578">
          <cell r="C9578" t="str">
            <v>Jefferies Infra Project Role - Tony C Extension FY24 2H Jun-Aug</v>
          </cell>
          <cell r="H9578">
            <v>5050925</v>
          </cell>
          <cell r="AK9578" t="str">
            <v>Imran Parekh</v>
          </cell>
        </row>
        <row r="9579">
          <cell r="C9579" t="str">
            <v>Bellwether Community Credi_RAS_2024</v>
          </cell>
          <cell r="H9579">
            <v>5039598</v>
          </cell>
          <cell r="AK9579" t="str">
            <v>Diane Banks</v>
          </cell>
        </row>
        <row r="9580">
          <cell r="C9580" t="str">
            <v>P&amp;GMEFCU / IT Risk Assessments</v>
          </cell>
          <cell r="H9580">
            <v>5051321</v>
          </cell>
          <cell r="AK9580" t="str">
            <v>Robert Farmer</v>
          </cell>
        </row>
        <row r="9581">
          <cell r="C9581" t="str">
            <v>Parkside Financial Bank &amp; _RAS_2024</v>
          </cell>
          <cell r="H9581">
            <v>5039536</v>
          </cell>
          <cell r="AK9581" t="str">
            <v>Diane Banks</v>
          </cell>
        </row>
        <row r="9582">
          <cell r="C9582" t="str">
            <v>KEB Hana Bank USA_RAS_2024</v>
          </cell>
          <cell r="H9582">
            <v>5045892</v>
          </cell>
          <cell r="AK9582" t="str">
            <v>Diane Banks</v>
          </cell>
        </row>
        <row r="9583">
          <cell r="C9583" t="str">
            <v>All America Bank_RAS_2024</v>
          </cell>
          <cell r="H9583">
            <v>5040153</v>
          </cell>
          <cell r="AK9583" t="str">
            <v>Travis Peraza</v>
          </cell>
        </row>
        <row r="9584">
          <cell r="C9584" t="str">
            <v>MCB_IAM and PROD Security Ext</v>
          </cell>
          <cell r="H9584">
            <v>5047074</v>
          </cell>
          <cell r="AK9584" t="str">
            <v>Ridha Mesli</v>
          </cell>
        </row>
        <row r="9585">
          <cell r="C9585" t="str">
            <v>ESSA Bank Website Reviews</v>
          </cell>
          <cell r="H9585">
            <v>5052295</v>
          </cell>
          <cell r="AK9585" t="str">
            <v>Mariana Dumanovsky</v>
          </cell>
        </row>
        <row r="9586">
          <cell r="C9586" t="str">
            <v>United Fidelity Bank_RAS_2024</v>
          </cell>
          <cell r="H9586">
            <v>5040145</v>
          </cell>
          <cell r="AK9586" t="str">
            <v>Diane Banks</v>
          </cell>
        </row>
        <row r="9587">
          <cell r="C9587" t="str">
            <v>Jefferies Compliance PM - FY24 2H Extension</v>
          </cell>
          <cell r="H9587">
            <v>5050862</v>
          </cell>
          <cell r="AK9587" t="str">
            <v>Imran Parekh</v>
          </cell>
        </row>
        <row r="9588">
          <cell r="C9588" t="str">
            <v>First Community Bank - MI_RAS_2024</v>
          </cell>
          <cell r="H9588">
            <v>5039636</v>
          </cell>
          <cell r="AK9588" t="str">
            <v>Travis Peraza</v>
          </cell>
        </row>
        <row r="9589">
          <cell r="C9589" t="str">
            <v>Middlesex Federal Savings _RAS_2024</v>
          </cell>
          <cell r="H9589">
            <v>5039527</v>
          </cell>
          <cell r="AK9589" t="str">
            <v>Diane Banks</v>
          </cell>
        </row>
        <row r="9590">
          <cell r="C9590" t="str">
            <v>SPM Program Extension</v>
          </cell>
          <cell r="H9590">
            <v>5051721</v>
          </cell>
          <cell r="AK9590" t="str">
            <v>Imran Parekh</v>
          </cell>
        </row>
        <row r="9591">
          <cell r="C9591" t="str">
            <v>Primebank_RAS_2024</v>
          </cell>
          <cell r="H9591">
            <v>5040140</v>
          </cell>
          <cell r="AK9591" t="str">
            <v>Travis Peraza</v>
          </cell>
        </row>
        <row r="9592">
          <cell r="C9592" t="str">
            <v>Cyber Playbook Development Ext</v>
          </cell>
          <cell r="H9592">
            <v>5051838</v>
          </cell>
          <cell r="AK9592" t="str">
            <v>Boris Mallet</v>
          </cell>
        </row>
        <row r="9593">
          <cell r="C9593" t="str">
            <v>Magnolia State Bank - GA_RAS_2024</v>
          </cell>
          <cell r="H9593">
            <v>5040192</v>
          </cell>
          <cell r="AK9593" t="str">
            <v>Diane Banks</v>
          </cell>
        </row>
        <row r="9594">
          <cell r="C9594" t="str">
            <v>Global Wealth Tech PMO Extension</v>
          </cell>
          <cell r="H9594">
            <v>5050593</v>
          </cell>
          <cell r="AK9594" t="str">
            <v>Raymond Ortiz II</v>
          </cell>
        </row>
        <row r="9595">
          <cell r="C9595" t="str">
            <v>Magnolia Bank_RAS_2024</v>
          </cell>
          <cell r="H9595">
            <v>5039680</v>
          </cell>
          <cell r="AK9595" t="str">
            <v>Travis Peraza</v>
          </cell>
        </row>
        <row r="9596">
          <cell r="C9596" t="str">
            <v>Community FNB_RAS_2024</v>
          </cell>
          <cell r="H9596">
            <v>5040119</v>
          </cell>
          <cell r="AK9596" t="str">
            <v>Travis Peraza</v>
          </cell>
        </row>
        <row r="9597">
          <cell r="C9597" t="str">
            <v>The Chiba Bank NY Branch Part 504.3 Validation</v>
          </cell>
          <cell r="H9597">
            <v>5052454</v>
          </cell>
          <cell r="AK9597" t="str">
            <v>Mary Louise Radley</v>
          </cell>
        </row>
        <row r="9598">
          <cell r="C9598" t="str">
            <v>Jefferies_Managed Service - Transaction Monitoring</v>
          </cell>
          <cell r="H9598">
            <v>5052378</v>
          </cell>
          <cell r="AK9598" t="str">
            <v>Samuel Desta</v>
          </cell>
        </row>
        <row r="9599">
          <cell r="C9599" t="str">
            <v>Jefferies_ProdSupport_CS_SakinaR_Extension - FY24 H2</v>
          </cell>
          <cell r="H9599">
            <v>5052373</v>
          </cell>
          <cell r="AK9599" t="str">
            <v>Imran Parekh</v>
          </cell>
        </row>
        <row r="9600">
          <cell r="C9600" t="str">
            <v>HUECU / IT Security Risk Assessment</v>
          </cell>
          <cell r="H9600">
            <v>5051395</v>
          </cell>
          <cell r="AK9600" t="str">
            <v>Robert Farmer</v>
          </cell>
        </row>
        <row r="9601">
          <cell r="C9601" t="str">
            <v>Popular Bank - June-EoY Extension</v>
          </cell>
          <cell r="H9601">
            <v>5052386</v>
          </cell>
          <cell r="AK9601" t="str">
            <v>Eugene Collett</v>
          </cell>
        </row>
        <row r="9602">
          <cell r="C9602" t="str">
            <v>City First Bank / ACH Risk Assessment</v>
          </cell>
          <cell r="H9602">
            <v>5052214</v>
          </cell>
          <cell r="AK9602" t="str">
            <v>Robert Farmer</v>
          </cell>
        </row>
        <row r="9603">
          <cell r="C9603" t="str">
            <v>DB-CAO-AFC-BC-AFC T&amp;R Opp- Affiliate Testing Program Support</v>
          </cell>
          <cell r="H9603">
            <v>5052760</v>
          </cell>
          <cell r="AK9603" t="str">
            <v>Ruby Cherian</v>
          </cell>
        </row>
        <row r="9604">
          <cell r="C9604" t="str">
            <v>Yellow Hammer Validation and Tuning</v>
          </cell>
          <cell r="H9604">
            <v>5052293</v>
          </cell>
          <cell r="AK9604" t="str">
            <v>William Sachs</v>
          </cell>
        </row>
        <row r="9605">
          <cell r="C9605" t="str">
            <v>Lennar - BSA Independent Testing</v>
          </cell>
          <cell r="H9605">
            <v>5051689</v>
          </cell>
          <cell r="AK9605" t="str">
            <v>Charles Lynn Piper</v>
          </cell>
        </row>
        <row r="9606">
          <cell r="C9606" t="str">
            <v>Truist_Cloud Security Program Extension</v>
          </cell>
          <cell r="H9606">
            <v>5052220</v>
          </cell>
          <cell r="AK9606" t="str">
            <v>Kaitlin Cohen</v>
          </cell>
        </row>
        <row r="9607">
          <cell r="C9607" t="str">
            <v>Hatch Bank</v>
          </cell>
          <cell r="H9607">
            <v>5052379</v>
          </cell>
          <cell r="AK9607" t="str">
            <v>Alice Judd</v>
          </cell>
        </row>
        <row r="9608">
          <cell r="C9608" t="str">
            <v>Transcend PM Support 3M Jun-Aug</v>
          </cell>
          <cell r="H9608">
            <v>5052368</v>
          </cell>
          <cell r="AK9608" t="str">
            <v>Matthew Rodgers</v>
          </cell>
        </row>
        <row r="9609">
          <cell r="C9609" t="str">
            <v>USB_Offshore Business Bank POs</v>
          </cell>
          <cell r="H9609">
            <v>5052330</v>
          </cell>
          <cell r="AK9609" t="str">
            <v>Samuel Awsumb</v>
          </cell>
        </row>
        <row r="9610">
          <cell r="C9610" t="str">
            <v>MS_MAP Delivery Effectiveness [Joanne Pan]</v>
          </cell>
          <cell r="H9610">
            <v>5052495</v>
          </cell>
          <cell r="AK9610" t="str">
            <v>Erik Johnson</v>
          </cell>
        </row>
        <row r="9611">
          <cell r="C9611" t="str">
            <v>FEG Investment Advisors - Business Process Review</v>
          </cell>
          <cell r="H9611">
            <v>5052314</v>
          </cell>
          <cell r="AK9611" t="str">
            <v>Matthew Berkowitz</v>
          </cell>
        </row>
        <row r="9612">
          <cell r="C9612" t="str">
            <v>Fannie Mae Contractor Hire-Sarah Sheehy</v>
          </cell>
          <cell r="H9612">
            <v>5052453</v>
          </cell>
          <cell r="AK9612" t="str">
            <v>Nitin Raju</v>
          </cell>
        </row>
        <row r="9613">
          <cell r="C9613" t="str">
            <v>Jeff Compliance BA India H2 Extension</v>
          </cell>
          <cell r="H9613">
            <v>5052359</v>
          </cell>
          <cell r="AK9613" t="str">
            <v>Nikin Karunakaran Nambiar</v>
          </cell>
        </row>
        <row r="9614">
          <cell r="C9614" t="str">
            <v>Jefferies Eq Compliance BA Ext to Nov 24</v>
          </cell>
          <cell r="H9614">
            <v>5052360</v>
          </cell>
          <cell r="AK9614" t="str">
            <v>Sri Nonabur Srinivasamurthy</v>
          </cell>
        </row>
        <row r="9615">
          <cell r="C9615" t="str">
            <v>HSBC-GFP-PROC-Procurement Systems Integration - 2024</v>
          </cell>
          <cell r="H9615">
            <v>5050613</v>
          </cell>
          <cell r="AK9615" t="str">
            <v>Rahul Govada</v>
          </cell>
        </row>
        <row r="9616">
          <cell r="C9616" t="str">
            <v>HSBC-WSB-GPS Canadian Dollar Card Program</v>
          </cell>
          <cell r="H9616">
            <v>5052375</v>
          </cell>
          <cell r="AK9616" t="str">
            <v>James Kane</v>
          </cell>
        </row>
        <row r="9617">
          <cell r="C9617" t="str">
            <v>MS_ISG Mumbai_FY25 [part 2]</v>
          </cell>
          <cell r="H9617">
            <v>5051889</v>
          </cell>
          <cell r="AK9617" t="str">
            <v>Ruben Sooriya</v>
          </cell>
        </row>
        <row r="9618">
          <cell r="C9618" t="str">
            <v>Jefferies SD Compliance_extension</v>
          </cell>
          <cell r="H9618">
            <v>5052357</v>
          </cell>
          <cell r="AK9618" t="str">
            <v>Julia Simmons</v>
          </cell>
        </row>
        <row r="9619">
          <cell r="C9619" t="str">
            <v>Jefferies_Managed Service - Adverse News Reviews Extension 1</v>
          </cell>
          <cell r="H9619">
            <v>5052396</v>
          </cell>
          <cell r="AK9619" t="str">
            <v>Samuel Desta</v>
          </cell>
        </row>
        <row r="9620">
          <cell r="C9620" t="str">
            <v>Jeff_IT Problem Management Team</v>
          </cell>
          <cell r="H9620">
            <v>5052353</v>
          </cell>
          <cell r="AK9620" t="str">
            <v>John McCaffrey</v>
          </cell>
        </row>
        <row r="9621">
          <cell r="C9621" t="str">
            <v>Truist_SOW#14 CO#1 Cyber Remediation</v>
          </cell>
          <cell r="H9621">
            <v>5051850</v>
          </cell>
          <cell r="AK9621" t="str">
            <v>Christopher Tecchio</v>
          </cell>
        </row>
        <row r="9622">
          <cell r="C9622" t="str">
            <v>Jefferies_Compliance and KYC Managed Service Annuity 2</v>
          </cell>
          <cell r="H9622">
            <v>5052447</v>
          </cell>
          <cell r="AK9622" t="str">
            <v>Chelsea Mattias</v>
          </cell>
        </row>
        <row r="9623">
          <cell r="C9623" t="str">
            <v>MS_ISG_ BSA/AML &amp; OFAC Testing Support [Part 2]</v>
          </cell>
          <cell r="H9623">
            <v>5052311</v>
          </cell>
          <cell r="AK9623" t="str">
            <v>Ruben Sooriya</v>
          </cell>
        </row>
        <row r="9624">
          <cell r="C9624" t="str">
            <v>CC Capital Denovo Annuity Co Ph 1</v>
          </cell>
          <cell r="H9624">
            <v>5052479</v>
          </cell>
          <cell r="AK9624" t="str">
            <v>Randy Love</v>
          </cell>
        </row>
        <row r="9625">
          <cell r="C9625" t="str">
            <v>Woodforest Bank_FDIC 360.9 and 370 Assessment</v>
          </cell>
          <cell r="H9625">
            <v>5052385</v>
          </cell>
          <cell r="AK9625" t="str">
            <v>Cody Jenkins</v>
          </cell>
        </row>
        <row r="9626">
          <cell r="C9626" t="str">
            <v>Citi_Data Lineage Team H2 2024 Extension - AMENDMENT#5</v>
          </cell>
          <cell r="H9626">
            <v>5050893</v>
          </cell>
          <cell r="AK9626" t="str">
            <v>Hayden McMurrey</v>
          </cell>
        </row>
        <row r="9627">
          <cell r="C9627" t="str">
            <v>FrMc_Issue Management MRA (SA) Ext</v>
          </cell>
          <cell r="H9627">
            <v>5052346</v>
          </cell>
          <cell r="AK9627" t="str">
            <v>Kalkidan Tedla</v>
          </cell>
        </row>
        <row r="9628">
          <cell r="C9628" t="str">
            <v>2U NBH Delivery Organization Change</v>
          </cell>
          <cell r="H9628">
            <v>5052418</v>
          </cell>
          <cell r="AK9628" t="str">
            <v>Ervinas Janavicius</v>
          </cell>
        </row>
        <row r="9629">
          <cell r="C9629" t="str">
            <v>FCB_Expanded ITAM Remediation Support</v>
          </cell>
          <cell r="H9629">
            <v>5052452</v>
          </cell>
          <cell r="AK9629" t="str">
            <v>Souma Basu</v>
          </cell>
        </row>
        <row r="9630">
          <cell r="C9630" t="str">
            <v>FCB Phase 3 Project Management Program Support Training</v>
          </cell>
          <cell r="H9630">
            <v>5052480</v>
          </cell>
          <cell r="AK9630" t="str">
            <v>Susan Stevenson</v>
          </cell>
        </row>
        <row r="9631">
          <cell r="C9631" t="str">
            <v>FrMc_I&amp;CM Role Ext (SA)</v>
          </cell>
          <cell r="H9631">
            <v>5052346</v>
          </cell>
          <cell r="AK9631" t="str">
            <v>Kalkidan Tedla</v>
          </cell>
        </row>
        <row r="9632">
          <cell r="C9632" t="str">
            <v>WTB CMS Support</v>
          </cell>
          <cell r="H9632">
            <v>5052417</v>
          </cell>
          <cell r="AK9632" t="str">
            <v>Mary Louise Radley</v>
          </cell>
        </row>
        <row r="9633">
          <cell r="C9633" t="str">
            <v>Plains Commerce Bank - Targeted FLSA</v>
          </cell>
          <cell r="H9633">
            <v>5051841</v>
          </cell>
          <cell r="AK9633" t="str">
            <v>Leigh Tribou</v>
          </cell>
        </row>
        <row r="9634">
          <cell r="C9634" t="str">
            <v>Albany Bank and Trust Company</v>
          </cell>
          <cell r="H9634">
            <v>5052413</v>
          </cell>
          <cell r="AK9634" t="str">
            <v>Alice Judd</v>
          </cell>
        </row>
        <row r="9635">
          <cell r="C9635" t="str">
            <v>Pru - ILI Tech - Distribution ILI API Dev (BR)</v>
          </cell>
          <cell r="H9635">
            <v>5052289</v>
          </cell>
          <cell r="AK9635" t="str">
            <v>Luiz Abdo Junior</v>
          </cell>
        </row>
        <row r="9636">
          <cell r="C9636" t="str">
            <v>Leader Bank - Targeted FLSA</v>
          </cell>
          <cell r="H9636">
            <v>5051766</v>
          </cell>
          <cell r="AK9636" t="str">
            <v>Leigh Tribou</v>
          </cell>
        </row>
        <row r="9637">
          <cell r="C9637" t="str">
            <v>Jefferies Wealth Phase 3 Extension</v>
          </cell>
          <cell r="H9637">
            <v>5052506</v>
          </cell>
          <cell r="AK9637" t="str">
            <v>Shruti Vashist</v>
          </cell>
        </row>
        <row r="9638">
          <cell r="C9638" t="str">
            <v>Pru - USB - Salesforce Team Expansion (Swathi + 1)</v>
          </cell>
          <cell r="H9638">
            <v>5052331</v>
          </cell>
          <cell r="AK9638" t="str">
            <v>Luiz Abdo Junior</v>
          </cell>
        </row>
        <row r="9639">
          <cell r="C9639" t="str">
            <v>Peapack Gladstone KYC Account Revie</v>
          </cell>
          <cell r="H9639">
            <v>5052494</v>
          </cell>
          <cell r="AK9639" t="str">
            <v>David Stalnaker</v>
          </cell>
        </row>
        <row r="9640">
          <cell r="C9640" t="str">
            <v>MS_ISG Mumbai_FY25 [part 3]</v>
          </cell>
          <cell r="H9640">
            <v>5051889</v>
          </cell>
          <cell r="AK9640" t="str">
            <v>Ruben Sooriya</v>
          </cell>
        </row>
        <row r="9641">
          <cell r="C9641" t="str">
            <v>Pru - Assurance - Commissions to Fabric</v>
          </cell>
          <cell r="H9641">
            <v>5052513</v>
          </cell>
          <cell r="AK9641" t="str">
            <v>Eric Fairchild</v>
          </cell>
        </row>
        <row r="9642">
          <cell r="C9642" t="str">
            <v>TD Managed Services - Transaction Monitoring</v>
          </cell>
          <cell r="H9642">
            <v>5052523</v>
          </cell>
          <cell r="AK9642" t="str">
            <v>Charles Lynn Piper</v>
          </cell>
        </row>
        <row r="9643">
          <cell r="C9643" t="str">
            <v>Bethpage FCU - Compliance Control Framework Development</v>
          </cell>
          <cell r="H9643">
            <v>5052813</v>
          </cell>
          <cell r="AK9643" t="str">
            <v>Tania Makuh</v>
          </cell>
        </row>
        <row r="9644">
          <cell r="C9644" t="str">
            <v>GLIC Transformation Services TCV Correction</v>
          </cell>
          <cell r="H9644">
            <v>5051484</v>
          </cell>
          <cell r="AK9644" t="str">
            <v>Michelle Rosen</v>
          </cell>
        </row>
        <row r="9645">
          <cell r="C9645" t="str">
            <v>Jefferies Infrastructure COS - JuliaG Extension FY24 Q2 Jun-Jul</v>
          </cell>
          <cell r="H9645">
            <v>5052535</v>
          </cell>
          <cell r="AK9645" t="str">
            <v>Imran Parekh</v>
          </cell>
        </row>
        <row r="9646">
          <cell r="C9646" t="str">
            <v>MS WM Ops Business Transformation - Team Expansion pt2</v>
          </cell>
          <cell r="H9646">
            <v>5051870</v>
          </cell>
          <cell r="AK9646" t="str">
            <v>Ruben Sooriya</v>
          </cell>
        </row>
        <row r="9647">
          <cell r="C9647" t="str">
            <v>FMB - FARB Consulting Services</v>
          </cell>
          <cell r="H9647">
            <v>5052536</v>
          </cell>
          <cell r="AK9647" t="str">
            <v>Juan Pimentel</v>
          </cell>
        </row>
        <row r="9648">
          <cell r="C9648" t="str">
            <v>Verition Fund Management Trading Platform</v>
          </cell>
          <cell r="H9648">
            <v>5052518</v>
          </cell>
          <cell r="AK9648" t="str">
            <v>Stephane Ritz</v>
          </cell>
        </row>
        <row r="9649">
          <cell r="C9649" t="str">
            <v>Alight Extension</v>
          </cell>
          <cell r="H9649">
            <v>5048724</v>
          </cell>
          <cell r="AK9649" t="str">
            <v>Helen Person</v>
          </cell>
        </row>
        <row r="9650">
          <cell r="C9650" t="str">
            <v>MVO June_July Bridge</v>
          </cell>
          <cell r="H9650">
            <v>5051651</v>
          </cell>
          <cell r="AK9650" t="str">
            <v>Conor Dowling</v>
          </cell>
        </row>
        <row r="9651">
          <cell r="C9651" t="str">
            <v>Computershare - Service First Employee Experience SME</v>
          </cell>
          <cell r="H9651">
            <v>5052577</v>
          </cell>
          <cell r="AK9651" t="str">
            <v>Louisa Butler</v>
          </cell>
        </row>
        <row r="9652">
          <cell r="C9652" t="str">
            <v>MS ORM Application - Control Vulnerability Scoring Customizations</v>
          </cell>
          <cell r="H9652">
            <v>5052812</v>
          </cell>
          <cell r="AK9652" t="str">
            <v>Tania Makuh</v>
          </cell>
        </row>
        <row r="9653">
          <cell r="C9653" t="str">
            <v>SVB_CMX_Senior Product Designer</v>
          </cell>
          <cell r="H9653">
            <v>5052642</v>
          </cell>
          <cell r="AK9653" t="str">
            <v>Louisa Butler</v>
          </cell>
        </row>
        <row r="9654">
          <cell r="C9654" t="str">
            <v>Citi CDO Markets Surge (UK Only) Amendment #4</v>
          </cell>
          <cell r="H9654">
            <v>5052512</v>
          </cell>
          <cell r="AK9654" t="str">
            <v>George Georgiou</v>
          </cell>
        </row>
        <row r="9655">
          <cell r="C9655" t="str">
            <v>MS_ISG Ops Bangalore_FY25 [part 2]</v>
          </cell>
          <cell r="H9655">
            <v>5051890</v>
          </cell>
          <cell r="AK9655" t="str">
            <v>Ruben Sooriya</v>
          </cell>
        </row>
        <row r="9656">
          <cell r="C9656" t="str">
            <v>MS_WM Operations FY25 [part 2]</v>
          </cell>
          <cell r="H9656">
            <v>5051870</v>
          </cell>
          <cell r="AK9656" t="str">
            <v>Ruben Sooriya</v>
          </cell>
        </row>
        <row r="9657">
          <cell r="C9657" t="str">
            <v>MS_WM Technology FY25 [Part 2]</v>
          </cell>
          <cell r="H9657">
            <v>5051802</v>
          </cell>
          <cell r="AK9657" t="str">
            <v>Dan Schutzman</v>
          </cell>
        </row>
        <row r="9658">
          <cell r="C9658" t="str">
            <v>Truist_SOW #19_NYDFS Remediation Core Team</v>
          </cell>
          <cell r="H9658">
            <v>5052737</v>
          </cell>
          <cell r="AK9658" t="str">
            <v>Eric Johnson</v>
          </cell>
        </row>
        <row r="9659">
          <cell r="C9659" t="str">
            <v>Peapack Gladstone Bank MQC</v>
          </cell>
          <cell r="H9659">
            <v>5046224</v>
          </cell>
          <cell r="AK9659" t="str">
            <v>Christian Maier</v>
          </cell>
        </row>
        <row r="9660">
          <cell r="C9660" t="str">
            <v>CACIB - Conor Rate Increase</v>
          </cell>
          <cell r="H9660">
            <v>5051542</v>
          </cell>
          <cell r="AK9660" t="str">
            <v>Garry Harvey</v>
          </cell>
        </row>
        <row r="9661">
          <cell r="C9661" t="str">
            <v>First United Bank_RAS_2024</v>
          </cell>
          <cell r="H9661">
            <v>5040128</v>
          </cell>
          <cell r="AK9661" t="str">
            <v>Diane Banks</v>
          </cell>
        </row>
        <row r="9662">
          <cell r="C9662" t="str">
            <v>5040189 - Community Bank - TN_RAS_2024</v>
          </cell>
          <cell r="H9662">
            <v>5040189</v>
          </cell>
          <cell r="AK9662" t="str">
            <v>Rebecca Breland</v>
          </cell>
        </row>
        <row r="9663">
          <cell r="C9663" t="str">
            <v>Community Bank NA - NY_RAS-2024</v>
          </cell>
          <cell r="H9663">
            <v>5040158</v>
          </cell>
          <cell r="AK9663" t="str">
            <v>Diane Banks</v>
          </cell>
        </row>
        <row r="9664">
          <cell r="C9664" t="str">
            <v>WF RCSA UK QA</v>
          </cell>
          <cell r="H9664">
            <v>5050225</v>
          </cell>
          <cell r="AK9664" t="str">
            <v>Eugene Collett</v>
          </cell>
        </row>
        <row r="9665">
          <cell r="C9665" t="str">
            <v>First Community Bank of Cullman - RAS</v>
          </cell>
          <cell r="H9665">
            <v>5039638</v>
          </cell>
          <cell r="AK9665" t="str">
            <v>Rebecca Breland</v>
          </cell>
        </row>
        <row r="9666">
          <cell r="C9666" t="str">
            <v>Nomura QA Resource Offshore</v>
          </cell>
          <cell r="H9666">
            <v>5052241</v>
          </cell>
          <cell r="AK9666" t="str">
            <v>Salim Modi</v>
          </cell>
        </row>
        <row r="9667">
          <cell r="C9667" t="str">
            <v>Santander_Horizon GRC H2</v>
          </cell>
          <cell r="H9667">
            <v>5049756</v>
          </cell>
          <cell r="AK9667" t="str">
            <v>Caroline Teunissen</v>
          </cell>
        </row>
        <row r="9668">
          <cell r="C9668" t="str">
            <v>Target RedCard CO#3</v>
          </cell>
          <cell r="H9668">
            <v>5049312</v>
          </cell>
          <cell r="AK9668" t="str">
            <v>Ryan Keller</v>
          </cell>
        </row>
        <row r="9669">
          <cell r="C9669" t="str">
            <v>Pru - PGIM - AEM Content Strategy CHANGE ORDER</v>
          </cell>
          <cell r="H9669">
            <v>5052035</v>
          </cell>
          <cell r="AK9669" t="str">
            <v>Mark Mountan</v>
          </cell>
        </row>
        <row r="9670">
          <cell r="C9670" t="str">
            <v>The Napoleon State Bank_RAS_2024</v>
          </cell>
          <cell r="H9670">
            <v>5040135</v>
          </cell>
          <cell r="AK9670" t="str">
            <v>Travis Peraza</v>
          </cell>
        </row>
        <row r="9671">
          <cell r="C9671" t="str">
            <v>National Cap Bank of Wash_RAS_2024</v>
          </cell>
          <cell r="H9671">
            <v>5049855</v>
          </cell>
          <cell r="AK9671" t="str">
            <v>Diane Banks</v>
          </cell>
        </row>
        <row r="9672">
          <cell r="C9672" t="str">
            <v>Battle Bank System Integrator Extension - Phase 10</v>
          </cell>
          <cell r="H9672">
            <v>5050428</v>
          </cell>
          <cell r="AK9672" t="str">
            <v>James Kane</v>
          </cell>
        </row>
        <row r="9673">
          <cell r="C9673" t="str">
            <v>Summit Financial Group In_RAS</v>
          </cell>
          <cell r="H9673">
            <v>5039554</v>
          </cell>
          <cell r="AK9673" t="str">
            <v>Rebecca Breland</v>
          </cell>
        </row>
        <row r="9674">
          <cell r="C9674" t="str">
            <v>SEIU PMO PM Staff Aug 2 Pt 2</v>
          </cell>
          <cell r="H9674">
            <v>5051869</v>
          </cell>
          <cell r="AK9674" t="str">
            <v>Eric Fairchild</v>
          </cell>
        </row>
        <row r="9675">
          <cell r="C9675" t="str">
            <v>NT rptg conv MP ext</v>
          </cell>
          <cell r="H9675">
            <v>5051693</v>
          </cell>
          <cell r="AK9675" t="str">
            <v>Grzegorz Walukanis</v>
          </cell>
        </row>
        <row r="9676">
          <cell r="C9676" t="str">
            <v>Jefferies Madison PMO Analyst Extension - July</v>
          </cell>
          <cell r="H9676">
            <v>5050960</v>
          </cell>
          <cell r="AK9676" t="str">
            <v>Imran Parekh</v>
          </cell>
        </row>
        <row r="9677">
          <cell r="C9677" t="str">
            <v>FrMc_Data Modernization Principals (DMG) Knowledge Graph</v>
          </cell>
          <cell r="H9677">
            <v>5052732</v>
          </cell>
          <cell r="AK9677" t="str">
            <v>Michael Mathew</v>
          </cell>
        </row>
        <row r="9678">
          <cell r="C9678" t="str">
            <v>Pru - PGIM - AEM Replatforming Team Extension CY H2 2024</v>
          </cell>
          <cell r="H9678">
            <v>5049647</v>
          </cell>
          <cell r="AK9678" t="str">
            <v>Diego Sarai</v>
          </cell>
        </row>
        <row r="9679">
          <cell r="C9679" t="str">
            <v>FXL Jul-Aug Ext</v>
          </cell>
          <cell r="H9679">
            <v>5052749</v>
          </cell>
          <cell r="AK9679" t="str">
            <v>Anthony Madej</v>
          </cell>
        </row>
        <row r="9680">
          <cell r="C9680" t="str">
            <v>Truist_SOW#16 Account Reconciliation System Replacement PM</v>
          </cell>
          <cell r="H9680">
            <v>5052608</v>
          </cell>
          <cell r="AK9680" t="str">
            <v>Jori Heikkinen</v>
          </cell>
        </row>
        <row r="9681">
          <cell r="C9681" t="str">
            <v>SVB_BP Reg Reporting H2 24</v>
          </cell>
          <cell r="H9681">
            <v>5052704</v>
          </cell>
          <cell r="AK9681" t="str">
            <v>Joseph Brunell</v>
          </cell>
        </row>
        <row r="9682">
          <cell r="C9682" t="str">
            <v>Cross Keys Bank_RAS-2024</v>
          </cell>
          <cell r="H9682">
            <v>5039475</v>
          </cell>
          <cell r="AK9682" t="str">
            <v>Rebecca Breland</v>
          </cell>
        </row>
        <row r="9683">
          <cell r="C9683" t="str">
            <v>Juniata Valley Bank- RAS</v>
          </cell>
          <cell r="H9683">
            <v>5052607</v>
          </cell>
          <cell r="AK9683" t="str">
            <v>Diane Banks</v>
          </cell>
        </row>
        <row r="9684">
          <cell r="C9684" t="str">
            <v>Charles Schwab &amp; Co  Inc_RAS_2024</v>
          </cell>
          <cell r="H9684">
            <v>5042740</v>
          </cell>
          <cell r="AK9684" t="str">
            <v>Diane Banks</v>
          </cell>
        </row>
        <row r="9685">
          <cell r="C9685" t="str">
            <v>Savers Bank_RAS_2024</v>
          </cell>
          <cell r="H9685">
            <v>5042887</v>
          </cell>
          <cell r="AK9685" t="str">
            <v>Diane Banks</v>
          </cell>
        </row>
        <row r="9686">
          <cell r="C9686" t="str">
            <v>F &amp; M Bank_RAS_2024</v>
          </cell>
          <cell r="H9686">
            <v>5040120</v>
          </cell>
          <cell r="AK9686" t="str">
            <v>Diane Banks</v>
          </cell>
        </row>
        <row r="9687">
          <cell r="C9687" t="str">
            <v>Grand Valley Bank_RAS</v>
          </cell>
          <cell r="H9687">
            <v>5039666</v>
          </cell>
          <cell r="AK9687" t="str">
            <v>Diane Banks</v>
          </cell>
        </row>
        <row r="9688">
          <cell r="C9688" t="str">
            <v>Computershare Voyager Surge Resourcing</v>
          </cell>
          <cell r="H9688">
            <v>5052930</v>
          </cell>
          <cell r="AK9688" t="str">
            <v>Aoife Hogan</v>
          </cell>
        </row>
        <row r="9689">
          <cell r="C9689" t="str">
            <v>Minster Bank_RAS-2024</v>
          </cell>
          <cell r="H9689">
            <v>5040161</v>
          </cell>
          <cell r="AK9689" t="str">
            <v>Rebecca Breland</v>
          </cell>
        </row>
        <row r="9690">
          <cell r="C9690" t="str">
            <v>Brotherhood CU_RAS</v>
          </cell>
          <cell r="H9690">
            <v>5040204</v>
          </cell>
          <cell r="AK9690" t="str">
            <v>Diane Banks</v>
          </cell>
        </row>
        <row r="9691">
          <cell r="C9691" t="str">
            <v>SVB_Data Program Extension H2 2024</v>
          </cell>
          <cell r="H9691">
            <v>5052578</v>
          </cell>
          <cell r="AK9691" t="str">
            <v>Jessica Seifer</v>
          </cell>
        </row>
        <row r="9692">
          <cell r="C9692" t="str">
            <v>FrMc_I&amp;CM Role Ext (SA)</v>
          </cell>
          <cell r="H9692">
            <v>5052346</v>
          </cell>
          <cell r="AK9692" t="str">
            <v>Kalkidan Tedla</v>
          </cell>
        </row>
        <row r="9693">
          <cell r="C9693" t="str">
            <v>Target Audience Marketing Insights and Service Design Blueprint</v>
          </cell>
          <cell r="H9693">
            <v>5052648</v>
          </cell>
          <cell r="AK9693" t="str">
            <v>Allison Duffee</v>
          </cell>
        </row>
        <row r="9694">
          <cell r="C9694" t="str">
            <v>Bank of Hancock County_RAS_2024</v>
          </cell>
          <cell r="H9694">
            <v>5040101</v>
          </cell>
          <cell r="AK9694" t="str">
            <v>Diane Banks</v>
          </cell>
        </row>
        <row r="9695">
          <cell r="C9695" t="str">
            <v>HNB_Debit Modernization &amp; Family Banking</v>
          </cell>
          <cell r="H9695">
            <v>5052698</v>
          </cell>
          <cell r="AK9695" t="str">
            <v>Spencer Feuer</v>
          </cell>
        </row>
        <row r="9696">
          <cell r="C9696" t="str">
            <v>FrMc_EOT PM Role Ext (SA)</v>
          </cell>
          <cell r="H9696">
            <v>5052346</v>
          </cell>
          <cell r="AK9696" t="str">
            <v>Kalkidan Tedla</v>
          </cell>
        </row>
        <row r="9697">
          <cell r="C9697" t="str">
            <v>SVB_Data Governance and Policy Extension H2 2024</v>
          </cell>
          <cell r="H9697">
            <v>5052599</v>
          </cell>
          <cell r="AK9697" t="str">
            <v>Jessica Seifer</v>
          </cell>
        </row>
        <row r="9698">
          <cell r="C9698" t="str">
            <v>HNB CBO CY24H2</v>
          </cell>
          <cell r="H9698">
            <v>5051185</v>
          </cell>
          <cell r="AK9698" t="str">
            <v>Imran Aquil</v>
          </cell>
        </row>
        <row r="9699">
          <cell r="C9699" t="str">
            <v>Metropolitan Commercial Bank</v>
          </cell>
          <cell r="H9699">
            <v>5051874</v>
          </cell>
          <cell r="AK9699" t="str">
            <v>Leigh Tribou</v>
          </cell>
        </row>
        <row r="9700">
          <cell r="C9700" t="str">
            <v>FNB South_RAS_2024</v>
          </cell>
          <cell r="H9700">
            <v>5039661</v>
          </cell>
          <cell r="AK9700" t="str">
            <v>Diane Banks</v>
          </cell>
        </row>
        <row r="9701">
          <cell r="C9701" t="str">
            <v>Bank of Hawaii #306_RAS_2024</v>
          </cell>
          <cell r="H9701">
            <v>5039591</v>
          </cell>
          <cell r="AK9701" t="str">
            <v>Diane Banks</v>
          </cell>
        </row>
        <row r="9702">
          <cell r="C9702" t="str">
            <v>Mastercard_Shalom Extn</v>
          </cell>
          <cell r="H9702">
            <v>5051290</v>
          </cell>
          <cell r="AK9702" t="str">
            <v>Nitin Raju</v>
          </cell>
        </row>
        <row r="9703">
          <cell r="C9703" t="str">
            <v>5039739 - United Business Bank_RAS</v>
          </cell>
          <cell r="H9703">
            <v>5039739</v>
          </cell>
          <cell r="AK9703" t="str">
            <v>Diane Banks</v>
          </cell>
        </row>
        <row r="9704">
          <cell r="C9704" t="str">
            <v>Citizens Bank &amp; Trust - LA_RAS_2024</v>
          </cell>
          <cell r="H9704">
            <v>5040114</v>
          </cell>
          <cell r="AK9704" t="str">
            <v>Rebecca Breland</v>
          </cell>
        </row>
        <row r="9705">
          <cell r="C9705" t="str">
            <v>FCB Banks_RAS_2024</v>
          </cell>
          <cell r="H9705">
            <v>5039486</v>
          </cell>
          <cell r="AK9705" t="str">
            <v>Diane Banks</v>
          </cell>
        </row>
        <row r="9706">
          <cell r="C9706" t="str">
            <v>Pru - PGIM - AEM Team UX Design Extension</v>
          </cell>
          <cell r="H9706">
            <v>5051896</v>
          </cell>
          <cell r="AK9706" t="str">
            <v>Diego Sarai</v>
          </cell>
        </row>
        <row r="9707">
          <cell r="C9707" t="str">
            <v>Marsh BlueStream Training &amp; Support - Q3 2024</v>
          </cell>
          <cell r="H9707">
            <v>5052548</v>
          </cell>
          <cell r="AK9707" t="str">
            <v>Christine Garrard</v>
          </cell>
        </row>
        <row r="9708">
          <cell r="C9708" t="str">
            <v>First Community Bank - BSA Audit</v>
          </cell>
          <cell r="H9708">
            <v>5052412</v>
          </cell>
          <cell r="AK9708" t="str">
            <v>Mary Louise Radley</v>
          </cell>
        </row>
        <row r="9709">
          <cell r="C9709" t="str">
            <v>Pru - USB - Contract Domain Payments Discovery</v>
          </cell>
          <cell r="H9709">
            <v>5052575</v>
          </cell>
          <cell r="AK9709" t="str">
            <v>Seth Berman</v>
          </cell>
        </row>
        <row r="9710">
          <cell r="C9710" t="str">
            <v>NET CU Compliance Reviews</v>
          </cell>
          <cell r="H9710">
            <v>5052645</v>
          </cell>
          <cell r="AK9710" t="str">
            <v>Gail Rassler</v>
          </cell>
        </row>
        <row r="9711">
          <cell r="C9711" t="str">
            <v>Pru - PGIM - AEM Discovery Heavy Hitters Team Extension</v>
          </cell>
          <cell r="H9711">
            <v>5052619</v>
          </cell>
          <cell r="AK9711" t="str">
            <v>Nick Kerzman</v>
          </cell>
        </row>
        <row r="9712">
          <cell r="C9712" t="str">
            <v>Shinkin CB BSA Independent Test</v>
          </cell>
          <cell r="H9712">
            <v>5052667</v>
          </cell>
          <cell r="AK9712" t="str">
            <v>William Sachs</v>
          </cell>
        </row>
        <row r="9713">
          <cell r="C9713" t="str">
            <v>Jeff_Flow Monitor Developer 2024 Extension</v>
          </cell>
          <cell r="H9713">
            <v>5052560</v>
          </cell>
          <cell r="AK9713" t="str">
            <v>Irina Szilagyi</v>
          </cell>
        </row>
        <row r="9714">
          <cell r="C9714" t="str">
            <v>BlackStone Recon Breaks - Managed Services (Phase 1)</v>
          </cell>
          <cell r="H9714">
            <v>5052605</v>
          </cell>
          <cell r="AK9714" t="str">
            <v>Raymond Ortiz</v>
          </cell>
        </row>
        <row r="9715">
          <cell r="C9715" t="str">
            <v>MVB Bank - RDC Risk Assessment</v>
          </cell>
          <cell r="H9715">
            <v>5051852</v>
          </cell>
          <cell r="AK9715" t="str">
            <v>Robert Farmer</v>
          </cell>
        </row>
        <row r="9716">
          <cell r="C9716" t="str">
            <v>Voyager - Operations Value Stream Capacity Extension</v>
          </cell>
          <cell r="H9716">
            <v>5052618</v>
          </cell>
          <cell r="AK9716" t="str">
            <v>Aoife Hogan</v>
          </cell>
        </row>
        <row r="9717">
          <cell r="C9717" t="str">
            <v>CDO - Surge Expansion (Ronnie + Chris)  Amendment #6 (US Only)</v>
          </cell>
          <cell r="H9717">
            <v>5052966</v>
          </cell>
          <cell r="AK9717" t="str">
            <v>George Georgiou</v>
          </cell>
        </row>
        <row r="9718">
          <cell r="C9718" t="str">
            <v>Computershare -  Service First Strategic Delivery</v>
          </cell>
          <cell r="H9718">
            <v>5052933</v>
          </cell>
          <cell r="AK9718" t="str">
            <v>Louisa Butler</v>
          </cell>
        </row>
        <row r="9719">
          <cell r="C9719" t="str">
            <v>LifeStore Bank_RAS_2024</v>
          </cell>
          <cell r="H9719">
            <v>5040181</v>
          </cell>
          <cell r="AK9719" t="str">
            <v>Diane Banks</v>
          </cell>
        </row>
        <row r="9720">
          <cell r="C9720" t="str">
            <v>Jefferies Risk IT Environment Team H2 2024</v>
          </cell>
          <cell r="H9720">
            <v>5052766</v>
          </cell>
          <cell r="AK9720" t="str">
            <v>John McCaffrey</v>
          </cell>
        </row>
        <row r="9721">
          <cell r="C9721" t="str">
            <v>Jefferies Global Technical Operations 2024</v>
          </cell>
          <cell r="H9721">
            <v>5052744</v>
          </cell>
          <cell r="AK9721" t="str">
            <v>John McCaffrey</v>
          </cell>
        </row>
        <row r="9722">
          <cell r="C9722" t="str">
            <v>Natixis Cybersecurity Program - Phase 2</v>
          </cell>
          <cell r="H9722">
            <v>5052803</v>
          </cell>
          <cell r="AK9722" t="str">
            <v>Boris Mallet</v>
          </cell>
        </row>
        <row r="9723">
          <cell r="C9723" t="str">
            <v>T+1 QA extension - Offshore</v>
          </cell>
          <cell r="H9723">
            <v>5052842</v>
          </cell>
          <cell r="AK9723" t="str">
            <v>John McCaffrey</v>
          </cell>
        </row>
        <row r="9724">
          <cell r="C9724" t="str">
            <v>FCB_ ITAM Support H2 2024</v>
          </cell>
          <cell r="H9724">
            <v>5050113</v>
          </cell>
          <cell r="AK9724" t="str">
            <v>Souma Basu</v>
          </cell>
        </row>
        <row r="9725">
          <cell r="C9725" t="str">
            <v>Computershare Voyager Strategic Delivery Digitizing Journeys Jul 24 to Mar 25</v>
          </cell>
          <cell r="H9725">
            <v>5052932</v>
          </cell>
          <cell r="AK9725" t="str">
            <v>Aoife Hogan</v>
          </cell>
        </row>
        <row r="9726">
          <cell r="C9726" t="str">
            <v>CCU / Digital Banking Risk Assessment</v>
          </cell>
          <cell r="H9726">
            <v>5051903</v>
          </cell>
          <cell r="AK9726" t="str">
            <v>Robert Farmer</v>
          </cell>
        </row>
        <row r="9727">
          <cell r="C9727" t="str">
            <v>Mortgage Solutions of Colo_RAS</v>
          </cell>
          <cell r="H9727">
            <v>5046650</v>
          </cell>
          <cell r="AK9727" t="str">
            <v>Diane Banks</v>
          </cell>
        </row>
        <row r="9728">
          <cell r="C9728" t="str">
            <v>Pru - USB - CTO IAM Platform Support Extension (Aaron Murphy)</v>
          </cell>
          <cell r="H9728">
            <v>5050947</v>
          </cell>
          <cell r="AK9728" t="str">
            <v>Bharath Chikkamaranahalli Bhaskar</v>
          </cell>
        </row>
        <row r="9729">
          <cell r="C9729" t="str">
            <v>Discoverability Product Owner Extension</v>
          </cell>
          <cell r="H9729">
            <v>5052600</v>
          </cell>
          <cell r="AK9729" t="str">
            <v>Aoife Hogan</v>
          </cell>
        </row>
        <row r="9730">
          <cell r="C9730" t="str">
            <v>First Community Bank - BSA Model Val</v>
          </cell>
          <cell r="H9730">
            <v>5052534</v>
          </cell>
          <cell r="AK9730" t="str">
            <v>Aiswarya Parameswaran</v>
          </cell>
        </row>
        <row r="9731">
          <cell r="C9731" t="str">
            <v>Computershare Doug Ext 2 - Change &amp; Transformation</v>
          </cell>
          <cell r="H9731">
            <v>5052579</v>
          </cell>
          <cell r="AK9731" t="str">
            <v>Louisa Butler</v>
          </cell>
        </row>
        <row r="9732">
          <cell r="C9732" t="str">
            <v>Woodforest National Bank - RAS</v>
          </cell>
          <cell r="H9732">
            <v>5052826</v>
          </cell>
          <cell r="AK9732" t="str">
            <v>Diane Banks</v>
          </cell>
        </row>
        <row r="9733">
          <cell r="C9733" t="str">
            <v>Natixis - VPM Program Q2 FY2025</v>
          </cell>
          <cell r="H9733">
            <v>5049370</v>
          </cell>
          <cell r="AK9733" t="str">
            <v>Boris Mallet</v>
          </cell>
        </row>
        <row r="9734">
          <cell r="C9734" t="str">
            <v>BCBank / ACH RA &amp; ACH Rules Audit</v>
          </cell>
          <cell r="H9734">
            <v>5052292</v>
          </cell>
          <cell r="AK9734" t="str">
            <v>Robert Farmer</v>
          </cell>
        </row>
        <row r="9735">
          <cell r="C9735" t="str">
            <v>Marsh US/C Change &amp; Training Support H2 2024</v>
          </cell>
          <cell r="H9735">
            <v>5052397</v>
          </cell>
          <cell r="AK9735" t="str">
            <v>Lucy Geringer</v>
          </cell>
        </row>
        <row r="9736">
          <cell r="C9736" t="str">
            <v>Jeff_Legal &amp; Compliance Ext. H2 2024</v>
          </cell>
          <cell r="H9736">
            <v>5052647</v>
          </cell>
          <cell r="AK9736" t="str">
            <v>Conor Dowling</v>
          </cell>
        </row>
        <row r="9737">
          <cell r="C9737" t="str">
            <v>MCB - Cloud Security / Azure/AD</v>
          </cell>
          <cell r="H9737">
            <v>5052692</v>
          </cell>
          <cell r="AK9737" t="str">
            <v>Luke Penca</v>
          </cell>
        </row>
        <row r="9738">
          <cell r="C9738" t="str">
            <v>Gen AI Adoption &amp; Enablement Lead</v>
          </cell>
          <cell r="H9738">
            <v>5052752</v>
          </cell>
          <cell r="AK9738" t="str">
            <v>Chinmoy Bhatiya</v>
          </cell>
        </row>
        <row r="9739">
          <cell r="C9739" t="str">
            <v>Pru - USB - ILI Acquisition Platform - Business Capabilities Definition</v>
          </cell>
          <cell r="H9739">
            <v>5052703</v>
          </cell>
          <cell r="AK9739" t="str">
            <v>Tedd Patel</v>
          </cell>
        </row>
        <row r="9740">
          <cell r="C9740" t="str">
            <v>RBC_CNB Payment Rail Assessment</v>
          </cell>
          <cell r="H9740">
            <v>5052643</v>
          </cell>
          <cell r="AK9740" t="str">
            <v>Brian Reed</v>
          </cell>
        </row>
        <row r="9741">
          <cell r="C9741" t="str">
            <v>HNB_Core Mod API Development Extension_Q2 FY 2025</v>
          </cell>
          <cell r="H9741">
            <v>5051189</v>
          </cell>
          <cell r="AK9741" t="str">
            <v>Chris Murray</v>
          </cell>
        </row>
        <row r="9742">
          <cell r="C9742" t="str">
            <v>Primary Bank-Compliance/CMS Consulting</v>
          </cell>
          <cell r="H9742">
            <v>5052786</v>
          </cell>
          <cell r="AK9742" t="str">
            <v>Pamela Acciardo</v>
          </cell>
        </row>
        <row r="9743">
          <cell r="C9743" t="str">
            <v>Primary Bank-CRA Consulting</v>
          </cell>
          <cell r="H9743">
            <v>5052785</v>
          </cell>
          <cell r="AK9743" t="str">
            <v>Pamela Acciardo</v>
          </cell>
        </row>
        <row r="9744">
          <cell r="C9744" t="str">
            <v>MS_WMT Advisory Tech India_FY25 Part 2</v>
          </cell>
          <cell r="H9744">
            <v>5051829</v>
          </cell>
          <cell r="AK9744" t="str">
            <v>Dan Schutzman</v>
          </cell>
        </row>
        <row r="9745">
          <cell r="C9745" t="str">
            <v>Woodforest - Data Feed</v>
          </cell>
          <cell r="H9745">
            <v>5052847</v>
          </cell>
          <cell r="AK9745" t="str">
            <v>Leah Robinson</v>
          </cell>
        </row>
        <row r="9746">
          <cell r="C9746" t="str">
            <v>PGB - BSA Pre-launch review and model validation</v>
          </cell>
          <cell r="H9746">
            <v>5052580</v>
          </cell>
          <cell r="AK9746" t="str">
            <v>Aiswarya Parameswaran</v>
          </cell>
        </row>
        <row r="9747">
          <cell r="C9747" t="str">
            <v>Standard - Bridge work till RFP</v>
          </cell>
          <cell r="H9747">
            <v>5052779</v>
          </cell>
          <cell r="AK9747" t="str">
            <v>Randy Love</v>
          </cell>
        </row>
        <row r="9748">
          <cell r="C9748" t="str">
            <v>CC Capital Denovo Annuity Co Ph 2</v>
          </cell>
          <cell r="H9748">
            <v>5052844</v>
          </cell>
          <cell r="AK9748" t="str">
            <v>Randy Love</v>
          </cell>
        </row>
        <row r="9749">
          <cell r="C9749" t="str">
            <v>Peapack Gladstone Addendum KYC Reviews</v>
          </cell>
          <cell r="H9749">
            <v>5052494</v>
          </cell>
          <cell r="AK9749" t="str">
            <v>David Stalnaker</v>
          </cell>
        </row>
        <row r="9750">
          <cell r="C9750" t="str">
            <v>FrMc Tech (SA) Role</v>
          </cell>
          <cell r="H9750">
            <v>5052346</v>
          </cell>
          <cell r="AK9750" t="str">
            <v>Kalkidan Tedla</v>
          </cell>
        </row>
        <row r="9751">
          <cell r="C9751" t="str">
            <v>CC Capital Denovo Ph2 TCV Correction</v>
          </cell>
          <cell r="H9751">
            <v>5052844</v>
          </cell>
          <cell r="AK9751" t="str">
            <v>Randy Love</v>
          </cell>
        </row>
        <row r="9752">
          <cell r="C9752" t="str">
            <v>Truist_SOW#18 Evidence Quality Assurance</v>
          </cell>
          <cell r="H9752">
            <v>5052736</v>
          </cell>
          <cell r="AK9752" t="str">
            <v>Eric Johnson</v>
          </cell>
        </row>
        <row r="9753">
          <cell r="C9753" t="str">
            <v>Standard TCV Correction</v>
          </cell>
          <cell r="H9753">
            <v>5052779</v>
          </cell>
          <cell r="AK9753" t="str">
            <v>Randy Love</v>
          </cell>
        </row>
        <row r="9754">
          <cell r="C9754" t="str">
            <v>Northrim Bank - BSA/AML &amp; OFAC Risk Assessments</v>
          </cell>
          <cell r="H9754">
            <v>5052787</v>
          </cell>
          <cell r="AK9754" t="str">
            <v>Pamela Acciardo</v>
          </cell>
        </row>
        <row r="9755">
          <cell r="C9755" t="str">
            <v>MVO Phase 3</v>
          </cell>
          <cell r="H9755">
            <v>5051651</v>
          </cell>
          <cell r="AK9755" t="str">
            <v>Conor Dowling</v>
          </cell>
        </row>
        <row r="9756">
          <cell r="C9756" t="str">
            <v>Thomasville National Bank_RAS</v>
          </cell>
          <cell r="H9756">
            <v>5052852</v>
          </cell>
          <cell r="AK9756" t="str">
            <v>Diane Banks</v>
          </cell>
        </row>
        <row r="9757">
          <cell r="C9757" t="str">
            <v>MSWM_IP_Strategic UAT Support PM {Brandon S.}</v>
          </cell>
          <cell r="H9757">
            <v>5051832</v>
          </cell>
          <cell r="AK9757" t="str">
            <v>Dan Schutzman</v>
          </cell>
        </row>
        <row r="9758">
          <cell r="C9758" t="str">
            <v>Citi Data Lineage Team H2 2024 Expansion (UK Only) Amendment #5</v>
          </cell>
          <cell r="H9758">
            <v>5050893</v>
          </cell>
          <cell r="AK9758" t="str">
            <v>Hayden McMurrey</v>
          </cell>
        </row>
        <row r="9759">
          <cell r="C9759" t="str">
            <v>FCB_Tech PM_ITAM Remediation</v>
          </cell>
          <cell r="H9759">
            <v>5052854</v>
          </cell>
          <cell r="AK9759" t="str">
            <v>Souma Basu</v>
          </cell>
        </row>
        <row r="9760">
          <cell r="C9760" t="str">
            <v>Citi Data Lineage Team H2 2024 Expansion (US Only) Amendment #5</v>
          </cell>
          <cell r="H9760">
            <v>5050893</v>
          </cell>
          <cell r="AK9760" t="str">
            <v>Hayden McMurrey</v>
          </cell>
        </row>
        <row r="9761">
          <cell r="C9761" t="str">
            <v>Sunrise Bank Private Flood Insurance Policy Reviews</v>
          </cell>
          <cell r="H9761">
            <v>5052811</v>
          </cell>
          <cell r="AK9761" t="str">
            <v>David Belfer</v>
          </cell>
        </row>
        <row r="9762">
          <cell r="C9762" t="str">
            <v>Pru - GI - Mobile App Pod 1</v>
          </cell>
          <cell r="H9762">
            <v>5052841</v>
          </cell>
          <cell r="AK9762" t="str">
            <v>Deb Nelis</v>
          </cell>
        </row>
        <row r="9763">
          <cell r="C9763" t="str">
            <v>nCino - Compliance Consulting</v>
          </cell>
          <cell r="H9763">
            <v>5052893</v>
          </cell>
          <cell r="AK9763" t="str">
            <v>Pamela Acciardo</v>
          </cell>
        </row>
        <row r="9764">
          <cell r="C9764" t="str">
            <v>MSWM_IP_Cross Platform PMO Support {Greta Post}</v>
          </cell>
          <cell r="H9764">
            <v>5051832</v>
          </cell>
          <cell r="AK9764" t="str">
            <v>Dan Schutzman</v>
          </cell>
        </row>
        <row r="9765">
          <cell r="C9765" t="str">
            <v>Customers Bank VDD 24</v>
          </cell>
          <cell r="H9765">
            <v>5052777</v>
          </cell>
          <cell r="AK9765" t="str">
            <v>Gregg Henzel</v>
          </cell>
        </row>
        <row r="9766">
          <cell r="C9766" t="str">
            <v>Park City Credit Union_RAS</v>
          </cell>
          <cell r="H9766">
            <v>5052825</v>
          </cell>
          <cell r="AK9766" t="str">
            <v>Diane Banks</v>
          </cell>
        </row>
        <row r="9767">
          <cell r="C9767" t="str">
            <v>WF QA/QC Extension July - Aug 30</v>
          </cell>
          <cell r="H9767">
            <v>5051059</v>
          </cell>
          <cell r="AK9767" t="str">
            <v>Pranay Kalra</v>
          </cell>
        </row>
        <row r="9768">
          <cell r="C9768" t="str">
            <v>TP ICAP - SEF PM Extension</v>
          </cell>
          <cell r="H9768">
            <v>5051524</v>
          </cell>
          <cell r="AK9768" t="str">
            <v>Kirby Pulver</v>
          </cell>
        </row>
        <row r="9769">
          <cell r="C9769" t="str">
            <v>Horizon - Channel and Transformation - Phase 7 - 2024</v>
          </cell>
          <cell r="H9769">
            <v>5045590</v>
          </cell>
          <cell r="AK9769" t="str">
            <v>Dana Schwaeber</v>
          </cell>
        </row>
        <row r="9770">
          <cell r="C9770" t="str">
            <v>Santander - Horizon Rebranding</v>
          </cell>
          <cell r="H9770">
            <v>5052829</v>
          </cell>
          <cell r="AK9770" t="str">
            <v>Anna Stawowy</v>
          </cell>
        </row>
        <row r="9771">
          <cell r="C9771" t="str">
            <v>WF ServiceNow OCM</v>
          </cell>
          <cell r="H9771">
            <v>5052831</v>
          </cell>
          <cell r="AK9771" t="str">
            <v>Adam Rogers</v>
          </cell>
        </row>
        <row r="9772">
          <cell r="C9772" t="str">
            <v>Lazard - Social Media Security Tabletop Exercise</v>
          </cell>
          <cell r="H9772">
            <v>5051618</v>
          </cell>
          <cell r="AK9772" t="str">
            <v>Andy Soodek</v>
          </cell>
        </row>
        <row r="9773">
          <cell r="C9773" t="str">
            <v>Equity Swaps Global Project Manager Ext Jan 2025</v>
          </cell>
          <cell r="H9773">
            <v>5052886</v>
          </cell>
          <cell r="AK9773" t="str">
            <v>Sri Nonabur Srinivasamurthy</v>
          </cell>
        </row>
        <row r="9774">
          <cell r="C9774" t="str">
            <v>CDO - Data Tracing (Roger Barnes) Amendment #7 (US ONLY)</v>
          </cell>
          <cell r="H9774">
            <v>5052974</v>
          </cell>
          <cell r="AK9774" t="str">
            <v>Ambika Kutty</v>
          </cell>
        </row>
        <row r="9775">
          <cell r="C9775" t="str">
            <v>UVA Contact Center Analysis Phase</v>
          </cell>
          <cell r="H9775">
            <v>5052899</v>
          </cell>
          <cell r="AK9775" t="str">
            <v>Henry Loosmore</v>
          </cell>
        </row>
        <row r="9776">
          <cell r="C9776" t="str">
            <v>MS_ISG Operations_FY25 [Part 2]</v>
          </cell>
          <cell r="H9776">
            <v>5051855</v>
          </cell>
          <cell r="AK9776" t="str">
            <v>Ruben Sooriya</v>
          </cell>
        </row>
        <row r="9777">
          <cell r="C9777" t="str">
            <v>Truist_SOW#17 Cyber Security Standards Refresh</v>
          </cell>
          <cell r="H9777">
            <v>5052900</v>
          </cell>
          <cell r="AK9777" t="str">
            <v>Kaitlin Cohen</v>
          </cell>
        </row>
        <row r="9778">
          <cell r="C9778" t="str">
            <v>Target DevOps/Testing Model</v>
          </cell>
          <cell r="H9778">
            <v>5052860</v>
          </cell>
          <cell r="AK9778" t="str">
            <v>Atul Shivraj</v>
          </cell>
        </row>
        <row r="9779">
          <cell r="C9779" t="str">
            <v>Citi Wealth - Process Optimization - Account Opening, Money Movement, and SBL</v>
          </cell>
          <cell r="H9779">
            <v>5052909</v>
          </cell>
          <cell r="AK9779" t="str">
            <v>Raymond Ortiz II</v>
          </cell>
        </row>
        <row r="9780">
          <cell r="C9780" t="str">
            <v>PSECU-UDAAP RA</v>
          </cell>
          <cell r="H9780">
            <v>5051656</v>
          </cell>
          <cell r="AK9780" t="str">
            <v>Gail Rassler</v>
          </cell>
        </row>
        <row r="9781">
          <cell r="C9781" t="str">
            <v>Bank of San Francisco Annual BSA Risk Assessment 2024</v>
          </cell>
          <cell r="H9781">
            <v>5052684</v>
          </cell>
          <cell r="AK9781" t="str">
            <v>Patrice Nye</v>
          </cell>
        </row>
        <row r="9782">
          <cell r="C9782" t="str">
            <v>Jefferies TCE Support - Maddie E Extension - 2H</v>
          </cell>
          <cell r="H9782">
            <v>5052212</v>
          </cell>
          <cell r="AK9782" t="str">
            <v>Imran Parekh</v>
          </cell>
        </row>
        <row r="9783">
          <cell r="C9783" t="str">
            <v>Bank of Walker County_RAS_2024</v>
          </cell>
          <cell r="H9783">
            <v>5039594</v>
          </cell>
          <cell r="AK9783" t="str">
            <v>Diane Banks</v>
          </cell>
        </row>
        <row r="9784">
          <cell r="C9784" t="str">
            <v>NCB CMS Extension</v>
          </cell>
          <cell r="H9784">
            <v>5052938</v>
          </cell>
          <cell r="AK9784" t="str">
            <v>Eugene Collett</v>
          </cell>
        </row>
        <row r="9785">
          <cell r="C9785" t="str">
            <v>Preferred Bank Mortgage Operations &amp; Compliance Audit</v>
          </cell>
          <cell r="H9785">
            <v>5052064</v>
          </cell>
          <cell r="AK9785" t="str">
            <v>Mary Louise Radley</v>
          </cell>
        </row>
        <row r="9786">
          <cell r="C9786" t="str">
            <v>Chesapeake B&amp;T / Risk Assessments</v>
          </cell>
          <cell r="H9786">
            <v>5052683</v>
          </cell>
          <cell r="AK9786" t="str">
            <v>Robert Farmer</v>
          </cell>
        </row>
        <row r="9787">
          <cell r="C9787" t="str">
            <v>FWBank_RAS_2024</v>
          </cell>
          <cell r="H9787">
            <v>5043191</v>
          </cell>
          <cell r="AK9787" t="str">
            <v>Rebecca Breland</v>
          </cell>
        </row>
        <row r="9788">
          <cell r="C9788" t="str">
            <v>Seacoast National Bank_RAS_2024</v>
          </cell>
          <cell r="H9788">
            <v>5039722</v>
          </cell>
          <cell r="AK9788" t="str">
            <v>Diane Banks</v>
          </cell>
        </row>
        <row r="9789">
          <cell r="C9789" t="str">
            <v>BMO Bank NA - Marketing Technology Strategy and Roadmap</v>
          </cell>
          <cell r="H9789">
            <v>5052937</v>
          </cell>
          <cell r="AK9789" t="str">
            <v>Mark Mountan</v>
          </cell>
        </row>
        <row r="9790">
          <cell r="C9790" t="str">
            <v>Jefferies TCE Support Grace K - FY24 H2 Extension</v>
          </cell>
          <cell r="H9790">
            <v>5052914</v>
          </cell>
          <cell r="AK9790" t="str">
            <v>Imran Parekh</v>
          </cell>
        </row>
        <row r="9791">
          <cell r="C9791" t="str">
            <v>MCB_ThirdPartyCompromise-BCP-DR-Testing</v>
          </cell>
          <cell r="H9791">
            <v>5052853</v>
          </cell>
          <cell r="AK9791" t="str">
            <v>Luke Penca</v>
          </cell>
        </row>
        <row r="9792">
          <cell r="C9792" t="str">
            <v>BPPR HMDA Staff Training</v>
          </cell>
          <cell r="H9792">
            <v>5052968</v>
          </cell>
          <cell r="AK9792" t="str">
            <v>Juan Pimentel</v>
          </cell>
        </row>
        <row r="9793">
          <cell r="C9793" t="str">
            <v>Jefferies Sec. Financing QA</v>
          </cell>
          <cell r="H9793">
            <v>5052975</v>
          </cell>
          <cell r="AK9793" t="str">
            <v>Nikin Karunakaran Nambiar</v>
          </cell>
        </row>
        <row r="9794">
          <cell r="C9794" t="str">
            <v>Recurring_City First Bank CMS 2024 - 2025</v>
          </cell>
          <cell r="H9794">
            <v>5053022</v>
          </cell>
          <cell r="AK9794" t="str">
            <v>W. Annette Dredden</v>
          </cell>
        </row>
        <row r="9795">
          <cell r="C9795" t="str">
            <v>GRC Training</v>
          </cell>
          <cell r="H9795">
            <v>5052714</v>
          </cell>
          <cell r="AK9795" t="str">
            <v>Tania Makuh</v>
          </cell>
        </row>
        <row r="9796">
          <cell r="C9796" t="str">
            <v>Preferred Bank Compliance Audit</v>
          </cell>
          <cell r="H9796">
            <v>5052076</v>
          </cell>
          <cell r="AK9796" t="str">
            <v>Mary Louise Radley</v>
          </cell>
        </row>
        <row r="9797">
          <cell r="C9797" t="str">
            <v>Northfield Bank-FLRA</v>
          </cell>
          <cell r="H9797">
            <v>5053098</v>
          </cell>
          <cell r="AK9797" t="str">
            <v>Leigh Tribou</v>
          </cell>
        </row>
        <row r="9798">
          <cell r="C9798" t="str">
            <v>Harford Bank CRA Evaluation</v>
          </cell>
          <cell r="H9798">
            <v>5052325</v>
          </cell>
          <cell r="AK9798" t="str">
            <v>W. Annette Dredden</v>
          </cell>
        </row>
        <row r="9799">
          <cell r="C9799" t="str">
            <v>Oncourse Homes PM Support Expansion</v>
          </cell>
          <cell r="H9799">
            <v>5052928</v>
          </cell>
          <cell r="AK9799" t="str">
            <v>Ilya Klimenko</v>
          </cell>
        </row>
        <row r="9800">
          <cell r="C9800" t="str">
            <v>Dime QA Support</v>
          </cell>
          <cell r="H9800">
            <v>5052830</v>
          </cell>
          <cell r="AK9800" t="str">
            <v>Sara Sanchez</v>
          </cell>
        </row>
        <row r="9801">
          <cell r="C9801" t="str">
            <v>Recurring TBB BSA Officer Support</v>
          </cell>
          <cell r="H9801">
            <v>5052788</v>
          </cell>
          <cell r="AK9801" t="str">
            <v>William Sachs</v>
          </cell>
        </row>
        <row r="9802">
          <cell r="C9802" t="str">
            <v>Dime - BSA Compliance Support</v>
          </cell>
          <cell r="H9802">
            <v>5052882</v>
          </cell>
          <cell r="AK9802" t="str">
            <v>Sara Sanchez</v>
          </cell>
        </row>
        <row r="9803">
          <cell r="C9803" t="str">
            <v>Mer Rouge State Bank_RAS_2024</v>
          </cell>
          <cell r="H9803">
            <v>5040157</v>
          </cell>
          <cell r="AK9803" t="str">
            <v>Rebecca Breland</v>
          </cell>
        </row>
        <row r="9804">
          <cell r="C9804" t="str">
            <v>Dime - BSA Compliance Support Revised SOW</v>
          </cell>
          <cell r="H9804">
            <v>5052882</v>
          </cell>
          <cell r="AK9804" t="str">
            <v>Sara Sanchez</v>
          </cell>
        </row>
        <row r="9805">
          <cell r="C9805" t="str">
            <v>MSIM_Strategic Initiatives_PM [Alok Singh]</v>
          </cell>
          <cell r="H9805">
            <v>5051791</v>
          </cell>
          <cell r="AK9805" t="str">
            <v>Dan Schutzman</v>
          </cell>
        </row>
        <row r="9806">
          <cell r="C9806" t="str">
            <v>5046649 - Citizens Trust Bank_RAS</v>
          </cell>
          <cell r="H9806">
            <v>5046649</v>
          </cell>
          <cell r="AK9806" t="str">
            <v>Diane Banks</v>
          </cell>
        </row>
        <row r="9807">
          <cell r="C9807" t="str">
            <v>Vermilion Bank &amp; Trust Co._RAS_2024</v>
          </cell>
          <cell r="H9807">
            <v>5040201</v>
          </cell>
          <cell r="AK9807" t="str">
            <v>Diane Banks</v>
          </cell>
        </row>
        <row r="9808">
          <cell r="C9808" t="str">
            <v>Central Bank - TN_RAS_2024</v>
          </cell>
          <cell r="H9808">
            <v>5040113</v>
          </cell>
          <cell r="AK9808" t="str">
            <v>Diane Banks</v>
          </cell>
        </row>
        <row r="9809">
          <cell r="C9809" t="str">
            <v>Sawyer Savings Bank_RAS_2024</v>
          </cell>
          <cell r="H9809">
            <v>5040196</v>
          </cell>
          <cell r="AK9809" t="str">
            <v>Diane Banks</v>
          </cell>
        </row>
        <row r="9810">
          <cell r="C9810" t="str">
            <v>Fremont Bank_RAS_2024</v>
          </cell>
          <cell r="H9810">
            <v>5039663</v>
          </cell>
          <cell r="AK9810" t="str">
            <v>Diane Banks</v>
          </cell>
        </row>
        <row r="9811">
          <cell r="C9811" t="str">
            <v>Woodforest National Bank_RAS_2024</v>
          </cell>
          <cell r="H9811">
            <v>5039573</v>
          </cell>
          <cell r="AK9811" t="str">
            <v>Rebecca Breland</v>
          </cell>
        </row>
        <row r="9812">
          <cell r="C9812" t="str">
            <v>Finxact Battle Bank Implementation Sprints Extension 8 CO#7</v>
          </cell>
          <cell r="H9812">
            <v>5050611</v>
          </cell>
          <cell r="AK9812" t="str">
            <v>James Kane</v>
          </cell>
        </row>
        <row r="9813">
          <cell r="C9813" t="str">
            <v>5042823 - SNB Bank  NA_RAS</v>
          </cell>
          <cell r="H9813">
            <v>5042823</v>
          </cell>
          <cell r="AK9813" t="str">
            <v>Diane Banks</v>
          </cell>
        </row>
        <row r="9814">
          <cell r="C9814" t="str">
            <v>TrustCo Bank_RAS_2024</v>
          </cell>
          <cell r="H9814">
            <v>5040198</v>
          </cell>
          <cell r="AK9814" t="str">
            <v>Diane Banks</v>
          </cell>
        </row>
        <row r="9815">
          <cell r="C9815" t="str">
            <v>Ames National Corporation_RAS</v>
          </cell>
          <cell r="H9815">
            <v>5040191</v>
          </cell>
          <cell r="AK9815" t="str">
            <v>Rebecca Breland</v>
          </cell>
        </row>
        <row r="9816">
          <cell r="C9816" t="str">
            <v>Northfield Bank_RAS_2024</v>
          </cell>
          <cell r="H9816">
            <v>5039695</v>
          </cell>
          <cell r="AK9816" t="str">
            <v>Diane Banks</v>
          </cell>
        </row>
        <row r="9817">
          <cell r="C9817" t="str">
            <v>Adirondack Bank_RAS_2024</v>
          </cell>
          <cell r="H9817">
            <v>5039437</v>
          </cell>
          <cell r="AK9817" t="str">
            <v>Diane Banks</v>
          </cell>
        </row>
        <row r="9818">
          <cell r="C9818" t="str">
            <v>Blue Ocean Solutions PRLLC_RAS_2024</v>
          </cell>
          <cell r="H9818">
            <v>5042741</v>
          </cell>
          <cell r="AK9818" t="str">
            <v>Rebecca Breland</v>
          </cell>
        </row>
        <row r="9819">
          <cell r="C9819" t="str">
            <v>MS_MSIM FY25 [Part 2]</v>
          </cell>
          <cell r="H9819">
            <v>5051791</v>
          </cell>
          <cell r="AK9819" t="str">
            <v>Dan Schutzman</v>
          </cell>
        </row>
        <row r="9820">
          <cell r="C9820" t="str">
            <v>Focus Bank_RAS_2024</v>
          </cell>
          <cell r="H9820">
            <v>5040179</v>
          </cell>
          <cell r="AK9820" t="str">
            <v>Diane Banks</v>
          </cell>
        </row>
        <row r="9821">
          <cell r="C9821" t="str">
            <v>Southeastern Bank_RAS_2024</v>
          </cell>
          <cell r="H9821">
            <v>5039551</v>
          </cell>
          <cell r="AK9821" t="str">
            <v>Rebecca Breland</v>
          </cell>
        </row>
        <row r="9822">
          <cell r="C9822" t="str">
            <v>Modern Bank, NA_RAS_2024</v>
          </cell>
          <cell r="H9822">
            <v>5040355</v>
          </cell>
          <cell r="AK9822" t="str">
            <v>Diane Banks</v>
          </cell>
        </row>
        <row r="9823">
          <cell r="C9823" t="str">
            <v>MS_WM Business FY25 [Part 2]</v>
          </cell>
          <cell r="H9823">
            <v>5051832</v>
          </cell>
          <cell r="AK9823" t="str">
            <v>Dan Schutzman</v>
          </cell>
        </row>
        <row r="9824">
          <cell r="C9824" t="str">
            <v>Farmers and Merchants Bank MQC</v>
          </cell>
          <cell r="H9824">
            <v>5051087</v>
          </cell>
          <cell r="AK9824" t="str">
            <v>Christian Maier</v>
          </cell>
        </row>
        <row r="9825">
          <cell r="C9825" t="str">
            <v>SSFCU_RAS_2024</v>
          </cell>
          <cell r="H9825">
            <v>5040197</v>
          </cell>
          <cell r="AK9825" t="str">
            <v>Diane Banks</v>
          </cell>
        </row>
        <row r="9826">
          <cell r="C9826" t="str">
            <v>Towne Bank_RAS_2024</v>
          </cell>
          <cell r="H9826">
            <v>5040199</v>
          </cell>
          <cell r="AK9826" t="str">
            <v>Diane Banks</v>
          </cell>
        </row>
        <row r="9827">
          <cell r="C9827" t="str">
            <v>Movement Bank_RAS_2024</v>
          </cell>
          <cell r="H9827">
            <v>5040134</v>
          </cell>
          <cell r="AK9827" t="str">
            <v>Diane Banks</v>
          </cell>
        </row>
        <row r="9828">
          <cell r="C9828" t="str">
            <v>MSWM_IP_UDP PMO Support {Hannah Cohen}</v>
          </cell>
          <cell r="H9828">
            <v>5051832</v>
          </cell>
          <cell r="AK9828" t="str">
            <v>Dan Schutzman</v>
          </cell>
        </row>
        <row r="9829">
          <cell r="C9829" t="str">
            <v>Pru - USB - Distributor Domain - PO + Developer</v>
          </cell>
          <cell r="H9829">
            <v>5052288</v>
          </cell>
          <cell r="AK9829" t="str">
            <v>Luiz Abdo Junior</v>
          </cell>
        </row>
        <row r="9830">
          <cell r="C9830" t="str">
            <v>5Star Bank_RAS_2024</v>
          </cell>
          <cell r="H9830">
            <v>5040102</v>
          </cell>
          <cell r="AK9830" t="str">
            <v>Rebecca Breland</v>
          </cell>
        </row>
        <row r="9831">
          <cell r="C9831" t="str">
            <v>Jefferies New Business Projects Support</v>
          </cell>
          <cell r="H9831">
            <v>5052943</v>
          </cell>
          <cell r="AK9831" t="str">
            <v>Julia Simmons</v>
          </cell>
        </row>
        <row r="9832">
          <cell r="C9832" t="str">
            <v>Jeff_Compliance BA Ext 3</v>
          </cell>
          <cell r="H9832">
            <v>5052929</v>
          </cell>
          <cell r="AK9832" t="str">
            <v>Sri Nonabur Srinivasamurthy</v>
          </cell>
        </row>
        <row r="9833">
          <cell r="C9833" t="str">
            <v>Battle Bank System Integrator Extension - Phase 11</v>
          </cell>
          <cell r="H9833">
            <v>5050428</v>
          </cell>
          <cell r="AK9833" t="str">
            <v>James Kane</v>
          </cell>
        </row>
        <row r="9834">
          <cell r="C9834" t="str">
            <v>FrMc_CDT Phase 3</v>
          </cell>
          <cell r="H9834">
            <v>5051994</v>
          </cell>
          <cell r="AK9834" t="str">
            <v>Jeffrey Diaz Vega</v>
          </cell>
        </row>
        <row r="9835">
          <cell r="C9835" t="str">
            <v>FrMc_DMP Ext</v>
          </cell>
          <cell r="H9835">
            <v>5052732</v>
          </cell>
          <cell r="AK9835" t="str">
            <v>Michael Mathew</v>
          </cell>
        </row>
        <row r="9836">
          <cell r="C9836" t="str">
            <v>Vendor Risk Assessment</v>
          </cell>
          <cell r="H9836">
            <v>5053081</v>
          </cell>
          <cell r="AK9836" t="str">
            <v>Eugene Collett</v>
          </cell>
        </row>
        <row r="9837">
          <cell r="C9837" t="str">
            <v>Popular - Mystery Shopping</v>
          </cell>
          <cell r="H9837">
            <v>5053146</v>
          </cell>
          <cell r="AK9837" t="str">
            <v>Eugene Collett</v>
          </cell>
        </row>
        <row r="9838">
          <cell r="C9838" t="str">
            <v>Jefferies_Managed Service - Adverse News Reviews Extension 2</v>
          </cell>
          <cell r="H9838">
            <v>5052396</v>
          </cell>
          <cell r="AK9838" t="str">
            <v>Samuel Desta</v>
          </cell>
        </row>
        <row r="9839">
          <cell r="C9839" t="str">
            <v>USB_RMS Quad Squad Execution</v>
          </cell>
          <cell r="H9839">
            <v>5052936</v>
          </cell>
          <cell r="AK9839" t="str">
            <v>Samuel Awsumb</v>
          </cell>
        </row>
        <row r="9840">
          <cell r="C9840" t="str">
            <v>MS_ISG Mumbai Amd 3_FY25</v>
          </cell>
          <cell r="H9840">
            <v>5051889</v>
          </cell>
          <cell r="AK9840" t="str">
            <v>Ruben Sooriya</v>
          </cell>
        </row>
        <row r="9841">
          <cell r="C9841" t="str">
            <v>Popular Bank - BPPR HMDA/CRA 2021-23 FY Reviews</v>
          </cell>
          <cell r="H9841">
            <v>5052969</v>
          </cell>
          <cell r="AK9841" t="str">
            <v>Juan Pimentel</v>
          </cell>
        </row>
        <row r="9842">
          <cell r="C9842" t="str">
            <v>Jefferies Senior Datamart Developer London</v>
          </cell>
          <cell r="H9842">
            <v>5052978</v>
          </cell>
          <cell r="AK9842" t="str">
            <v>Chris Johnston</v>
          </cell>
        </row>
        <row r="9843">
          <cell r="C9843" t="str">
            <v>Columbia Bank Monitoring Reviews</v>
          </cell>
          <cell r="H9843">
            <v>5052959</v>
          </cell>
          <cell r="AK9843" t="str">
            <v>Alice Judd</v>
          </cell>
        </row>
        <row r="9844">
          <cell r="C9844" t="str">
            <v>MS_FDO_Arch_Pod Owner_Scrum {Micah}</v>
          </cell>
          <cell r="H9844">
            <v>5051790</v>
          </cell>
          <cell r="AK9844" t="str">
            <v>Erik Johnson</v>
          </cell>
        </row>
        <row r="9845">
          <cell r="C9845" t="str">
            <v>2U/NBH - Delivery Extension - CO#8</v>
          </cell>
          <cell r="H9845">
            <v>5050472</v>
          </cell>
          <cell r="AK9845" t="str">
            <v>Adam Polson</v>
          </cell>
        </row>
        <row r="9846">
          <cell r="C9846" t="str">
            <v>MS_FDO_PM [Derrick Wang]</v>
          </cell>
          <cell r="H9846">
            <v>5051790</v>
          </cell>
          <cell r="AK9846" t="str">
            <v>Erik Johnson</v>
          </cell>
        </row>
        <row r="9847">
          <cell r="C9847" t="str">
            <v>Popular Bank - Mi Banco 4.0 Compliance Support</v>
          </cell>
          <cell r="H9847">
            <v>5052990</v>
          </cell>
          <cell r="AK9847" t="str">
            <v>Mike McCarty</v>
          </cell>
        </row>
        <row r="9848">
          <cell r="C9848" t="str">
            <v>Blackstone PMI Strategy Playbook</v>
          </cell>
          <cell r="H9848">
            <v>5052888</v>
          </cell>
          <cell r="AK9848" t="str">
            <v>Matthew Berkowitz</v>
          </cell>
        </row>
        <row r="9849">
          <cell r="C9849" t="str">
            <v>Pru - Assurance - Commissions to Fabric SFTP</v>
          </cell>
          <cell r="H9849">
            <v>5052513</v>
          </cell>
          <cell r="AK9849" t="str">
            <v>Eric Fairchild</v>
          </cell>
        </row>
        <row r="9850">
          <cell r="C9850" t="str">
            <v>BHI USA - Compliance Consulting</v>
          </cell>
          <cell r="H9850">
            <v>5052954</v>
          </cell>
          <cell r="AK9850" t="str">
            <v>Eric Van Epps</v>
          </cell>
        </row>
        <row r="9851">
          <cell r="C9851" t="str">
            <v>BOKF Onside Kick - Project Priceless (Execution Phase)</v>
          </cell>
          <cell r="H9851">
            <v>5052955</v>
          </cell>
          <cell r="AK9851" t="str">
            <v>Anna Stawowy</v>
          </cell>
        </row>
        <row r="9852">
          <cell r="C9852" t="str">
            <v>AEM BA Backfill - Added TCV from Mark Heydt Backfill</v>
          </cell>
          <cell r="H9852">
            <v>5052218</v>
          </cell>
          <cell r="AK9852" t="str">
            <v>Diego Sarai</v>
          </cell>
        </row>
        <row r="9853">
          <cell r="C9853" t="str">
            <v>Citi Data Tracing (UK Roles) Amend #7</v>
          </cell>
          <cell r="H9853">
            <v>5052974</v>
          </cell>
          <cell r="AK9853" t="str">
            <v>Ambika Kutty</v>
          </cell>
        </row>
        <row r="9854">
          <cell r="C9854" t="str">
            <v>Flow Monitor Design &amp; PM</v>
          </cell>
          <cell r="H9854">
            <v>5052215</v>
          </cell>
          <cell r="AK9854" t="str">
            <v>Irina Szilagyi</v>
          </cell>
        </row>
        <row r="9855">
          <cell r="C9855" t="str">
            <v>First Bank UDAAP Risk Assessment</v>
          </cell>
          <cell r="H9855">
            <v>5052294</v>
          </cell>
          <cell r="AK9855" t="str">
            <v>Alice Judd</v>
          </cell>
        </row>
        <row r="9856">
          <cell r="C9856" t="str">
            <v>First National Bank in Sioux Falls</v>
          </cell>
          <cell r="H9856">
            <v>5052047</v>
          </cell>
          <cell r="AK9856" t="str">
            <v>Leigh Tribou</v>
          </cell>
        </row>
        <row r="9857">
          <cell r="C9857" t="str">
            <v>Columbia Bank_RAS Ad Compliance Reviews_2024-2025</v>
          </cell>
          <cell r="H9857">
            <v>5052958</v>
          </cell>
          <cell r="AK9857" t="str">
            <v>Diane Banks</v>
          </cell>
        </row>
        <row r="9858">
          <cell r="C9858" t="str">
            <v>Extension of Data Governance FY25 H2</v>
          </cell>
          <cell r="H9858">
            <v>5051534</v>
          </cell>
          <cell r="AK9858" t="str">
            <v>Grzegorz Walukanis</v>
          </cell>
        </row>
        <row r="9859">
          <cell r="C9859" t="str">
            <v>WF _ Card Control Procedure Support Phase 1</v>
          </cell>
          <cell r="H9859">
            <v>5052982</v>
          </cell>
          <cell r="AK9859" t="str">
            <v>Alberto Michelazzi</v>
          </cell>
        </row>
        <row r="9860">
          <cell r="C9860" t="str">
            <v>Sabadell Compliance Consulting</v>
          </cell>
          <cell r="H9860">
            <v>5052947</v>
          </cell>
          <cell r="AK9860" t="str">
            <v>Robert Farmer</v>
          </cell>
        </row>
        <row r="9861">
          <cell r="C9861" t="str">
            <v>PGIM - AEP Campaign Execution and Target Op. Model</v>
          </cell>
          <cell r="H9861">
            <v>5052981</v>
          </cell>
          <cell r="AK9861" t="str">
            <v>John Gubala</v>
          </cell>
        </row>
        <row r="9862">
          <cell r="C9862" t="str">
            <v>Jeff_RTP Agile Program Management</v>
          </cell>
          <cell r="H9862">
            <v>5053036</v>
          </cell>
          <cell r="AK9862" t="str">
            <v>Michael Rappaport</v>
          </cell>
        </row>
        <row r="9863">
          <cell r="C9863" t="str">
            <v>Target Test Script Execution - Phase 1</v>
          </cell>
          <cell r="H9863">
            <v>5049312</v>
          </cell>
          <cell r="AK9863" t="str">
            <v>Ryan Keller</v>
          </cell>
        </row>
        <row r="9864">
          <cell r="C9864" t="str">
            <v>Pru - DMN - Contract Money-In Extension</v>
          </cell>
          <cell r="H9864">
            <v>5052987</v>
          </cell>
          <cell r="AK9864" t="str">
            <v>Seth Berman</v>
          </cell>
        </row>
        <row r="9865">
          <cell r="C9865" t="str">
            <v>Natixis_EOL Data Scrubbing</v>
          </cell>
          <cell r="H9865">
            <v>5053030</v>
          </cell>
          <cell r="AK9865" t="str">
            <v>Boris Mallet</v>
          </cell>
        </row>
        <row r="9866">
          <cell r="C9866" t="str">
            <v>Verition - Trade Lifecycle Support</v>
          </cell>
          <cell r="H9866">
            <v>5052986</v>
          </cell>
          <cell r="AK9866" t="str">
            <v>Stephane Ritz</v>
          </cell>
        </row>
        <row r="9867">
          <cell r="C9867" t="str">
            <v>SEIU_CLC EA Project Support Ph14</v>
          </cell>
          <cell r="H9867">
            <v>5041705</v>
          </cell>
          <cell r="AK9867" t="str">
            <v>Eric Fairchild</v>
          </cell>
        </row>
        <row r="9868">
          <cell r="C9868" t="str">
            <v>Jefferies Reporting Analytics Developer</v>
          </cell>
          <cell r="H9868">
            <v>5053108</v>
          </cell>
          <cell r="AK9868" t="str">
            <v>John McCaffrey</v>
          </cell>
        </row>
        <row r="9869">
          <cell r="C9869" t="str">
            <v>National Exchange B&amp;T_RAS_2024</v>
          </cell>
          <cell r="H9869">
            <v>5040165</v>
          </cell>
          <cell r="AK9869" t="str">
            <v>Diane Banks</v>
          </cell>
        </row>
        <row r="9870">
          <cell r="C9870" t="str">
            <v>Cape Cod 5 HMDA Reviews 2024</v>
          </cell>
          <cell r="H9870">
            <v>5053187</v>
          </cell>
          <cell r="AK9870" t="str">
            <v>Juan Pimentel</v>
          </cell>
        </row>
        <row r="9871">
          <cell r="C9871" t="str">
            <v>Tustin Community Bank_RAS-2024</v>
          </cell>
          <cell r="H9871">
            <v>5039737</v>
          </cell>
          <cell r="AK9871" t="str">
            <v>Rebecca Breland</v>
          </cell>
        </row>
        <row r="9872">
          <cell r="C9872" t="str">
            <v>Enterprise Bank &amp; Trust - Fair Lending Audit</v>
          </cell>
          <cell r="H9872">
            <v>5050692</v>
          </cell>
          <cell r="AK9872" t="str">
            <v>Anjel Bonner</v>
          </cell>
        </row>
        <row r="9873">
          <cell r="C9873" t="str">
            <v>Popular Inc -CRA Compliance Support</v>
          </cell>
          <cell r="H9873">
            <v>5053236</v>
          </cell>
          <cell r="AK9873" t="str">
            <v>Eugene Collett</v>
          </cell>
        </row>
        <row r="9874">
          <cell r="C9874" t="str">
            <v>5040155 - Great Oaks Bank_RAS_2024</v>
          </cell>
          <cell r="H9874">
            <v>5040155</v>
          </cell>
          <cell r="AK9874" t="str">
            <v>Diane Banks</v>
          </cell>
        </row>
        <row r="9875">
          <cell r="C9875" t="str">
            <v>RECURRING - Blue Foundry-FLSA</v>
          </cell>
          <cell r="H9875">
            <v>5051902</v>
          </cell>
          <cell r="AK9875" t="str">
            <v>Gail Rassler</v>
          </cell>
        </row>
        <row r="9876">
          <cell r="C9876" t="str">
            <v>First NB of Wakefield_RAS_2024</v>
          </cell>
          <cell r="H9876">
            <v>5040243</v>
          </cell>
          <cell r="AK9876" t="str">
            <v>Diane Banks</v>
          </cell>
        </row>
        <row r="9877">
          <cell r="C9877" t="str">
            <v>Recurring _BCBank Inc_CMS 2025</v>
          </cell>
          <cell r="H9877">
            <v>5053217</v>
          </cell>
          <cell r="AK9877" t="str">
            <v>Steve Manitzas</v>
          </cell>
        </row>
        <row r="9878">
          <cell r="C9878" t="str">
            <v>Harford Bank CRA Evaluation</v>
          </cell>
          <cell r="H9878">
            <v>5054108</v>
          </cell>
          <cell r="AK9878" t="str">
            <v>W. Annette Dredden</v>
          </cell>
        </row>
        <row r="9879">
          <cell r="C9879" t="str">
            <v>First Central Savings Bank_RAS_2024</v>
          </cell>
          <cell r="H9879">
            <v>5039634</v>
          </cell>
          <cell r="AK9879" t="str">
            <v>Rebecca Breland</v>
          </cell>
        </row>
        <row r="9880">
          <cell r="C9880" t="str">
            <v>Foresight Financial_RAS_2024</v>
          </cell>
          <cell r="H9880">
            <v>5040242</v>
          </cell>
          <cell r="AK9880" t="str">
            <v>Diane Banks</v>
          </cell>
        </row>
        <row r="9881">
          <cell r="C9881" t="str">
            <v>Recurring_Founders Bank BSA 24-25</v>
          </cell>
          <cell r="H9881">
            <v>5053144</v>
          </cell>
          <cell r="AK9881" t="str">
            <v>Alice Judd</v>
          </cell>
        </row>
        <row r="9882">
          <cell r="C9882" t="str">
            <v>NET Federal CU - FLSA</v>
          </cell>
          <cell r="H9882">
            <v>5053029</v>
          </cell>
          <cell r="AK9882" t="str">
            <v>Gail Rassler</v>
          </cell>
        </row>
        <row r="9883">
          <cell r="C9883" t="str">
            <v>FNBOE IA Risk Assessment</v>
          </cell>
          <cell r="H9883">
            <v>5051655</v>
          </cell>
          <cell r="AK9883" t="str">
            <v>Mary Louise Radley</v>
          </cell>
        </row>
        <row r="9884">
          <cell r="C9884" t="str">
            <v>Customer Bank Data Feed</v>
          </cell>
          <cell r="H9884">
            <v>5054597</v>
          </cell>
          <cell r="AK9884" t="str">
            <v>Leah Robinson</v>
          </cell>
        </row>
        <row r="9885">
          <cell r="C9885" t="str">
            <v>Pru - USB - Group Ins Mobile App - Lead and UX</v>
          </cell>
          <cell r="H9885">
            <v>5053092</v>
          </cell>
          <cell r="AK9885" t="str">
            <v>Deb Nelis</v>
          </cell>
        </row>
        <row r="9886">
          <cell r="C9886" t="str">
            <v>DB-CAO-AFC-BC-AFC Modelling Sep 2024 extension</v>
          </cell>
          <cell r="H9886">
            <v>5044647</v>
          </cell>
          <cell r="AK9886" t="str">
            <v>Ruby Cherian</v>
          </cell>
        </row>
        <row r="9887">
          <cell r="C9887" t="str">
            <v>Optum Financial_AI Product Advisory</v>
          </cell>
          <cell r="H9887">
            <v>5053179</v>
          </cell>
          <cell r="AK9887" t="str">
            <v>Michael Rappaport</v>
          </cell>
        </row>
        <row r="9888">
          <cell r="C9888" t="str">
            <v>5040180 - Isabella Bank_RAS_2024</v>
          </cell>
          <cell r="H9888">
            <v>5040180</v>
          </cell>
          <cell r="AK9888" t="str">
            <v>Diane Banks</v>
          </cell>
        </row>
        <row r="9889">
          <cell r="C9889" t="str">
            <v>Longview Capital Corporati_RAS_2024</v>
          </cell>
          <cell r="H9889">
            <v>5039679</v>
          </cell>
          <cell r="AK9889" t="str">
            <v>Diane Banks</v>
          </cell>
        </row>
        <row r="9890">
          <cell r="C9890" t="str">
            <v>5052958 - Columbia Bank_RAS</v>
          </cell>
          <cell r="H9890">
            <v>5052958</v>
          </cell>
          <cell r="AK9890" t="str">
            <v>Diane Banks</v>
          </cell>
        </row>
        <row r="9891">
          <cell r="C9891" t="str">
            <v>Blackstone Transformation Execution</v>
          </cell>
          <cell r="H9891">
            <v>5051806</v>
          </cell>
          <cell r="AK9891" t="str">
            <v>John McHugh</v>
          </cell>
        </row>
        <row r="9892">
          <cell r="C9892" t="str">
            <v>FXL Ext Sep</v>
          </cell>
          <cell r="H9892">
            <v>5052749</v>
          </cell>
          <cell r="AK9892" t="str">
            <v>Anthony Madej</v>
          </cell>
        </row>
        <row r="9893">
          <cell r="C9893" t="str">
            <v>Jefferies_Managed Services - Transaction Monitoring Ext 1</v>
          </cell>
          <cell r="H9893">
            <v>5052378</v>
          </cell>
          <cell r="AK9893" t="str">
            <v>Samuel Desta</v>
          </cell>
        </row>
        <row r="9894">
          <cell r="C9894" t="str">
            <v>Transcend Sep - Nov Ext 2024</v>
          </cell>
          <cell r="H9894">
            <v>5053119</v>
          </cell>
          <cell r="AK9894" t="str">
            <v>Matthew Rodgers</v>
          </cell>
        </row>
        <row r="9895">
          <cell r="C9895" t="str">
            <v>Jefferies Infra Op Model &amp; Cloud Innovation &amp; Manager Extn FY24 Q4</v>
          </cell>
          <cell r="H9895">
            <v>5053060</v>
          </cell>
          <cell r="AK9895" t="str">
            <v>Imran Parekh</v>
          </cell>
        </row>
        <row r="9896">
          <cell r="C9896" t="str">
            <v>Mastercard_Near Real Time (NRT 2.0)</v>
          </cell>
          <cell r="H9896">
            <v>5053025</v>
          </cell>
          <cell r="AK9896" t="str">
            <v>Shiv Kumar Raghuwanshi</v>
          </cell>
        </row>
        <row r="9897">
          <cell r="C9897" t="str">
            <v>Jeff_SPM Team - FY24 4Q</v>
          </cell>
          <cell r="H9897">
            <v>5051721</v>
          </cell>
          <cell r="AK9897" t="str">
            <v>Imran Parekh</v>
          </cell>
        </row>
        <row r="9898">
          <cell r="C9898" t="str">
            <v>Pru - PGIM - AEM Team UX Design Extension 2</v>
          </cell>
          <cell r="H9898">
            <v>5051896</v>
          </cell>
          <cell r="AK9898" t="str">
            <v>Diego Sarai</v>
          </cell>
        </row>
        <row r="9899">
          <cell r="C9899" t="str">
            <v>Cetera AI Studio</v>
          </cell>
          <cell r="H9899">
            <v>5053032</v>
          </cell>
          <cell r="AK9899" t="str">
            <v>Noah Brooks</v>
          </cell>
        </row>
        <row r="9900">
          <cell r="C9900" t="str">
            <v>Lazard - Security Awareness Campaign &amp; Website Redesign</v>
          </cell>
          <cell r="H9900">
            <v>5053104</v>
          </cell>
          <cell r="AK9900" t="str">
            <v>Danielle Theroux</v>
          </cell>
        </row>
        <row r="9901">
          <cell r="C9901" t="str">
            <v>Jeff_Managed Services-Mike Brown Ext #1</v>
          </cell>
          <cell r="H9901">
            <v>5052217</v>
          </cell>
          <cell r="AK9901" t="str">
            <v>Samuel Desta</v>
          </cell>
        </row>
        <row r="9902">
          <cell r="C9902" t="str">
            <v>Verition -  Reporting Support</v>
          </cell>
          <cell r="H9902">
            <v>5052980</v>
          </cell>
          <cell r="AK9902" t="str">
            <v>Stephane Ritz</v>
          </cell>
        </row>
        <row r="9903">
          <cell r="C9903" t="str">
            <v>Pru - Assurance - Commissions to Fabric Support</v>
          </cell>
          <cell r="H9903">
            <v>5053101</v>
          </cell>
          <cell r="AK9903" t="str">
            <v>Eric Fairchild</v>
          </cell>
        </row>
        <row r="9904">
          <cell r="C9904" t="str">
            <v>Pru - USB - ILI Acquisition Platform - Business Capabilities Ph 2</v>
          </cell>
          <cell r="H9904">
            <v>5053120</v>
          </cell>
          <cell r="AK9904" t="str">
            <v>Tedd Patel</v>
          </cell>
        </row>
        <row r="9905">
          <cell r="C9905" t="str">
            <v>Jefferies EQ Compliance BA Ext 4</v>
          </cell>
          <cell r="H9905">
            <v>5052929</v>
          </cell>
          <cell r="AK9905" t="str">
            <v>Sri Nonabur Srinivasamurthy</v>
          </cell>
        </row>
        <row r="9906">
          <cell r="C9906" t="str">
            <v>MS_ISG_KYC CTB [James Pedersen]</v>
          </cell>
          <cell r="H9906">
            <v>5053136</v>
          </cell>
          <cell r="AK9906" t="str">
            <v>Ruben Sooriya</v>
          </cell>
        </row>
        <row r="9907">
          <cell r="C9907" t="str">
            <v>Battle Bank System Integrator Extension - Phase 12</v>
          </cell>
          <cell r="H9907">
            <v>5050428</v>
          </cell>
          <cell r="AK9907" t="str">
            <v>James Kane</v>
          </cell>
        </row>
        <row r="9908">
          <cell r="C9908" t="str">
            <v>AB - US Retail Marketing Strategy</v>
          </cell>
          <cell r="H9908">
            <v>5053103</v>
          </cell>
          <cell r="AK9908" t="str">
            <v>Allison Duffee</v>
          </cell>
        </row>
        <row r="9909">
          <cell r="C9909" t="str">
            <v>MS BigID Team Increase</v>
          </cell>
          <cell r="H9909">
            <v>5051956</v>
          </cell>
          <cell r="AK9909" t="str">
            <v>Paul Laurent</v>
          </cell>
        </row>
        <row r="9910">
          <cell r="C9910" t="str">
            <v>Pru - GI - Technology Risk Mgmt Consultant</v>
          </cell>
          <cell r="H9910">
            <v>5053127</v>
          </cell>
          <cell r="AK9910" t="str">
            <v>Paul Laurent</v>
          </cell>
        </row>
        <row r="9911">
          <cell r="C9911" t="str">
            <v>Focus Bank_RAS</v>
          </cell>
          <cell r="H9911">
            <v>5040179</v>
          </cell>
          <cell r="AK9911" t="str">
            <v>Diane Banks</v>
          </cell>
        </row>
        <row r="9912">
          <cell r="C9912" t="str">
            <v>Natixis - VPM extension</v>
          </cell>
          <cell r="H9912">
            <v>5049370</v>
          </cell>
          <cell r="AK9912" t="str">
            <v>Boris Mallet</v>
          </cell>
        </row>
        <row r="9913">
          <cell r="C9913" t="str">
            <v>MSWM Business FY25 [Investment AOs]</v>
          </cell>
          <cell r="H9913">
            <v>5051832</v>
          </cell>
          <cell r="AK9913" t="str">
            <v>Dan Schutzman</v>
          </cell>
        </row>
        <row r="9914">
          <cell r="C9914" t="str">
            <v>FINRA_Exams Unit Content Writing Sep-Nov 24</v>
          </cell>
          <cell r="H9914">
            <v>5050888</v>
          </cell>
          <cell r="AK9914" t="str">
            <v>Danny Li</v>
          </cell>
        </row>
        <row r="9915">
          <cell r="C9915" t="str">
            <v>Seacoast Bank</v>
          </cell>
          <cell r="H9915">
            <v>5054527</v>
          </cell>
          <cell r="AK9915" t="str">
            <v>Leah Robinson</v>
          </cell>
        </row>
        <row r="9916">
          <cell r="C9916" t="str">
            <v>ERM Diagnostic - Oak View National Bank</v>
          </cell>
          <cell r="H9916">
            <v>5053160</v>
          </cell>
          <cell r="AK9916" t="str">
            <v>David Stalnaker</v>
          </cell>
        </row>
        <row r="9917">
          <cell r="C9917" t="str">
            <v>Hana Bank - Mortgage Lending Policies</v>
          </cell>
          <cell r="H9917">
            <v>5053145</v>
          </cell>
          <cell r="AK9917" t="str">
            <v>Brian Phillips</v>
          </cell>
        </row>
        <row r="9918">
          <cell r="C9918" t="str">
            <v>FrMc_MF Role Ext (SA)</v>
          </cell>
          <cell r="H9918">
            <v>5052346</v>
          </cell>
          <cell r="AK9918" t="str">
            <v>Kalkidan Tedla</v>
          </cell>
        </row>
        <row r="9919">
          <cell r="C9919" t="str">
            <v>MS_Project Diligent Surge Staffing_Config and Testing</v>
          </cell>
          <cell r="H9919">
            <v>5053188</v>
          </cell>
          <cell r="AK9919" t="str">
            <v>Brett Knickle</v>
          </cell>
        </row>
        <row r="9920">
          <cell r="C9920" t="str">
            <v>USB_RMS Quad Squad Execution</v>
          </cell>
          <cell r="H9920">
            <v>5052936</v>
          </cell>
          <cell r="AK9920" t="str">
            <v>Samuel Awsumb</v>
          </cell>
        </row>
        <row r="9921">
          <cell r="C9921" t="str">
            <v>ION Support India FY24 Q4</v>
          </cell>
          <cell r="H9921">
            <v>5053203</v>
          </cell>
          <cell r="AK9921" t="str">
            <v>Manal Ray</v>
          </cell>
        </row>
        <row r="9922">
          <cell r="C9922" t="str">
            <v>CNB WV Online Account Opening Review</v>
          </cell>
          <cell r="H9922">
            <v>5053218</v>
          </cell>
          <cell r="AK9922" t="str">
            <v>Kristina Slattery</v>
          </cell>
        </row>
        <row r="9923">
          <cell r="C9923" t="str">
            <v>TPPM_Technical BA_User Story Support [Sindhu]</v>
          </cell>
          <cell r="H9923">
            <v>5051792</v>
          </cell>
          <cell r="AK9923" t="str">
            <v>Dan Schutzman</v>
          </cell>
        </row>
        <row r="9924">
          <cell r="C9924" t="str">
            <v>Citi Data MRD Incremental AMENDMENT #6 (UK Only)</v>
          </cell>
          <cell r="H9924">
            <v>5052966</v>
          </cell>
          <cell r="AK9924" t="str">
            <v>George Georgiou</v>
          </cell>
        </row>
        <row r="9925">
          <cell r="C9925" t="str">
            <v>LOOP LLC_ERM Training</v>
          </cell>
          <cell r="H9925">
            <v>5053346</v>
          </cell>
          <cell r="AK9925" t="str">
            <v>Eric Holmquist</v>
          </cell>
        </row>
        <row r="9926">
          <cell r="C9926" t="str">
            <v>Prudential Granite FY25 Extension</v>
          </cell>
          <cell r="H9926">
            <v>5050520</v>
          </cell>
          <cell r="AK9926" t="str">
            <v>Gerhardt Scriven</v>
          </cell>
        </row>
        <row r="9927">
          <cell r="C9927" t="str">
            <v>SVB_Developers FY 25</v>
          </cell>
          <cell r="H9927">
            <v>5051148</v>
          </cell>
          <cell r="AK9927" t="str">
            <v>Souma Basu</v>
          </cell>
        </row>
        <row r="9928">
          <cell r="C9928" t="str">
            <v>Truist_SOW#20_NYDFS Remediation Expansion</v>
          </cell>
          <cell r="H9928">
            <v>5053235</v>
          </cell>
          <cell r="AK9928" t="str">
            <v>Jori Heikkinen</v>
          </cell>
        </row>
        <row r="9929">
          <cell r="C9929" t="str">
            <v>FCB_Developer Extension (JR)</v>
          </cell>
          <cell r="H9929">
            <v>5051148</v>
          </cell>
          <cell r="AK9929" t="str">
            <v>Souma Basu</v>
          </cell>
        </row>
        <row r="9930">
          <cell r="C9930" t="str">
            <v>HNB Debit Modernization - API Factory</v>
          </cell>
          <cell r="H9930">
            <v>5052698</v>
          </cell>
          <cell r="AK9930" t="str">
            <v>Spencer Feuer</v>
          </cell>
        </row>
        <row r="9931">
          <cell r="C9931" t="str">
            <v>HSBC-GFP-FIN-Magnus-ARIS Mapping</v>
          </cell>
          <cell r="H9931">
            <v>5053182</v>
          </cell>
          <cell r="AK9931" t="str">
            <v>Rahul Govada</v>
          </cell>
        </row>
        <row r="9932">
          <cell r="C9932" t="str">
            <v>MS_TPPM Business_FY25 [Part 2]</v>
          </cell>
          <cell r="H9932">
            <v>5051792</v>
          </cell>
          <cell r="AK9932" t="str">
            <v>Dan Schutzman</v>
          </cell>
        </row>
        <row r="9933">
          <cell r="C9933" t="str">
            <v>Toast Processing Services / Third-Party Sender ACH Audit</v>
          </cell>
          <cell r="H9933">
            <v>5053096</v>
          </cell>
          <cell r="AK9933" t="str">
            <v>Robert Farmer</v>
          </cell>
        </row>
        <row r="9934">
          <cell r="C9934" t="str">
            <v>RECURRING Citizens B&amp;T BSA Ind Test 2024</v>
          </cell>
          <cell r="H9934">
            <v>5051643</v>
          </cell>
          <cell r="AK9934" t="str">
            <v>Charles Lynn Piper</v>
          </cell>
        </row>
        <row r="9935">
          <cell r="C9935" t="str">
            <v>Goldman Sachs - India CTB PM - 2024 Ext 3</v>
          </cell>
          <cell r="H9935">
            <v>5052059</v>
          </cell>
          <cell r="AK9935" t="str">
            <v>Kashmira Sudhir Ajgaonkar</v>
          </cell>
        </row>
        <row r="9936">
          <cell r="C9936" t="str">
            <v>5039544 - Popular Bank_RAS-2024</v>
          </cell>
          <cell r="H9936">
            <v>5039544</v>
          </cell>
          <cell r="AK9936" t="str">
            <v>Diane Banks</v>
          </cell>
        </row>
        <row r="9937">
          <cell r="C9937" t="str">
            <v>Recurring BSA Independent Test</v>
          </cell>
          <cell r="H9937">
            <v>5053107</v>
          </cell>
          <cell r="AK9937" t="str">
            <v>William Sachs</v>
          </cell>
        </row>
        <row r="9938">
          <cell r="C9938" t="str">
            <v>FCB Data Policy Business Analyst Extension</v>
          </cell>
          <cell r="H9938">
            <v>5051710</v>
          </cell>
          <cell r="AK9938" t="str">
            <v>Jessica Seifer</v>
          </cell>
        </row>
        <row r="9939">
          <cell r="C9939" t="str">
            <v>Harford Bank ECOA Training</v>
          </cell>
          <cell r="H9939">
            <v>5053219</v>
          </cell>
          <cell r="AK9939" t="str">
            <v>W. Annette Dredden</v>
          </cell>
        </row>
        <row r="9940">
          <cell r="C9940" t="str">
            <v>5039498 - First Security Bank_RAS_2024</v>
          </cell>
          <cell r="H9940">
            <v>5039498</v>
          </cell>
          <cell r="AK9940" t="str">
            <v>Diane Banks</v>
          </cell>
        </row>
        <row r="9941">
          <cell r="C9941" t="str">
            <v>Nomura QA Offshore Resources 1month extension</v>
          </cell>
          <cell r="H9941">
            <v>5052241</v>
          </cell>
          <cell r="AK9941" t="str">
            <v>Salim Modi</v>
          </cell>
        </row>
        <row r="9942">
          <cell r="C9942" t="str">
            <v>Banesco USA_RAS</v>
          </cell>
          <cell r="H9942">
            <v>5039588</v>
          </cell>
          <cell r="AK9942" t="str">
            <v>Diane Banks</v>
          </cell>
        </row>
        <row r="9943">
          <cell r="C9943" t="str">
            <v>City First Bank of DC_RAS</v>
          </cell>
          <cell r="H9943">
            <v>5046748</v>
          </cell>
          <cell r="AK9943" t="str">
            <v>Diane Banks</v>
          </cell>
        </row>
        <row r="9944">
          <cell r="C9944" t="str">
            <v>5039652 - First Piedmont Federal Sav_RAS-2024</v>
          </cell>
          <cell r="H9944">
            <v>5039652</v>
          </cell>
          <cell r="AK9944" t="str">
            <v>Diane Banks</v>
          </cell>
        </row>
        <row r="9945">
          <cell r="C9945" t="str">
            <v>5039691 - Murphy Bank_RAS_2024</v>
          </cell>
          <cell r="H9945">
            <v>5039691</v>
          </cell>
          <cell r="AK9945" t="str">
            <v>Diane Banks</v>
          </cell>
        </row>
        <row r="9946">
          <cell r="C9946" t="str">
            <v>Jeff_Managed Service - Adverse News Reviews Extension 2</v>
          </cell>
          <cell r="H9946">
            <v>5052396</v>
          </cell>
          <cell r="AK9946" t="str">
            <v>Samuel Desta</v>
          </cell>
        </row>
        <row r="9947">
          <cell r="C9947" t="str">
            <v>Adirondack ATC Compliance Monitoring Consulting</v>
          </cell>
          <cell r="H9947">
            <v>5053207</v>
          </cell>
          <cell r="AK9947" t="str">
            <v>W. Annette Dredden</v>
          </cell>
        </row>
        <row r="9948">
          <cell r="C9948" t="str">
            <v>Tomahawk Community Bank_RAS</v>
          </cell>
          <cell r="H9948">
            <v>5039734</v>
          </cell>
          <cell r="AK9948" t="str">
            <v>Rebecca Breland</v>
          </cell>
        </row>
        <row r="9949">
          <cell r="C9949" t="str">
            <v>Simplified Solutions Q4 Extension</v>
          </cell>
          <cell r="H9949">
            <v>5050616</v>
          </cell>
          <cell r="AK9949" t="str">
            <v>Lauren Somma</v>
          </cell>
        </row>
        <row r="9950">
          <cell r="C9950" t="str">
            <v>South Shore Dedham BSA Staff Aug</v>
          </cell>
          <cell r="H9950">
            <v>5053231</v>
          </cell>
          <cell r="AK9950" t="str">
            <v>Alice Judd</v>
          </cell>
        </row>
        <row r="9951">
          <cell r="C9951" t="str">
            <v>Navy Federal SCRA</v>
          </cell>
          <cell r="H9951">
            <v>5053204</v>
          </cell>
          <cell r="AK9951" t="str">
            <v>Cristina Arechaga</v>
          </cell>
        </row>
        <row r="9952">
          <cell r="C9952" t="str">
            <v>NET CU - Information Security RA</v>
          </cell>
          <cell r="H9952">
            <v>5051399</v>
          </cell>
          <cell r="AK9952" t="str">
            <v>Robert Farmer</v>
          </cell>
        </row>
        <row r="9953">
          <cell r="C9953" t="str">
            <v>Sabal Trust - annual fiduciary and AML audits 2024</v>
          </cell>
          <cell r="H9953">
            <v>5053054</v>
          </cell>
          <cell r="AK9953" t="str">
            <v>David Stalnaker</v>
          </cell>
        </row>
        <row r="9954">
          <cell r="C9954" t="str">
            <v>MSIM FY 25 [Chris Senackerib]</v>
          </cell>
          <cell r="H9954">
            <v>5051791</v>
          </cell>
          <cell r="AK9954" t="str">
            <v>Dan Schutzman</v>
          </cell>
        </row>
        <row r="9955">
          <cell r="C9955" t="str">
            <v>South Shore Dedham BSA Staff Aug</v>
          </cell>
          <cell r="H9955">
            <v>5053231</v>
          </cell>
          <cell r="AK9955" t="str">
            <v>Alice Judd</v>
          </cell>
        </row>
        <row r="9956">
          <cell r="C9956" t="str">
            <v>HNB Dig Lob Credit Mod CY24-Q4</v>
          </cell>
          <cell r="H9956">
            <v>5051940</v>
          </cell>
          <cell r="AK9956" t="str">
            <v>Bemo Itoe</v>
          </cell>
        </row>
        <row r="9957">
          <cell r="C9957" t="str">
            <v>Hatch Bank Fraud Risk Assessment</v>
          </cell>
          <cell r="H9957">
            <v>5053259</v>
          </cell>
          <cell r="AK9957" t="str">
            <v>David Stalnaker</v>
          </cell>
        </row>
        <row r="9958">
          <cell r="C9958" t="str">
            <v>BMO Marketing Roadmap Extension</v>
          </cell>
          <cell r="H9958">
            <v>5053278</v>
          </cell>
          <cell r="AK9958" t="str">
            <v>Mark Mountan</v>
          </cell>
        </row>
        <row r="9959">
          <cell r="C9959" t="str">
            <v>Jeff_Transcend Expansion</v>
          </cell>
          <cell r="H9959">
            <v>5053265</v>
          </cell>
          <cell r="AK9959" t="str">
            <v>John McCaffrey</v>
          </cell>
        </row>
        <row r="9960">
          <cell r="C9960" t="str">
            <v>5047110 - BayVanguard Bank_RAS_2024</v>
          </cell>
          <cell r="H9960">
            <v>5047110</v>
          </cell>
          <cell r="AK9960" t="str">
            <v>Diane Banks</v>
          </cell>
        </row>
        <row r="9961">
          <cell r="C9961" t="str">
            <v>National Bank of Malvern / GLBA Info Sec RA</v>
          </cell>
          <cell r="H9961">
            <v>5051872</v>
          </cell>
          <cell r="AK9961" t="str">
            <v>Robert Farmer</v>
          </cell>
        </row>
        <row r="9962">
          <cell r="C9962" t="str">
            <v>Jeff_10C-1 Impact Assessment</v>
          </cell>
          <cell r="H9962">
            <v>5053262</v>
          </cell>
          <cell r="AK9962" t="str">
            <v>Matthew Rodgers</v>
          </cell>
        </row>
        <row r="9963">
          <cell r="C9963" t="str">
            <v>Toast Processing Services Annual BSA AML Audit</v>
          </cell>
          <cell r="H9963">
            <v>5052946</v>
          </cell>
          <cell r="AK9963" t="str">
            <v>Mary Louise Radley</v>
          </cell>
        </row>
        <row r="9964">
          <cell r="C9964" t="str">
            <v>5039470 - Commerce Bank_RAS_2024</v>
          </cell>
          <cell r="H9964">
            <v>5039470</v>
          </cell>
          <cell r="AK9964" t="str">
            <v>Rebecca Breland</v>
          </cell>
        </row>
        <row r="9965">
          <cell r="C9965" t="str">
            <v>5039628 - Farmers&amp;Merchants Bank_AL_RAS-2024</v>
          </cell>
          <cell r="H9965">
            <v>5039628</v>
          </cell>
          <cell r="AK9965" t="str">
            <v>Diane Banks</v>
          </cell>
        </row>
        <row r="9966">
          <cell r="C9966" t="str">
            <v>5039706 - PrimeSouth Bank_RAS</v>
          </cell>
          <cell r="H9966">
            <v>5039706</v>
          </cell>
          <cell r="AK9966" t="str">
            <v>Rebecca Breland</v>
          </cell>
        </row>
        <row r="9967">
          <cell r="C9967" t="str">
            <v>Amerant Reviews</v>
          </cell>
          <cell r="H9967">
            <v>5052094</v>
          </cell>
          <cell r="AK9967" t="str">
            <v>Juan Pimentel</v>
          </cell>
        </row>
        <row r="9968">
          <cell r="C9968" t="str">
            <v>Premier Bank - Compliance Targeted Reviews Expansion</v>
          </cell>
          <cell r="H9968">
            <v>5052259</v>
          </cell>
          <cell r="AK9968" t="str">
            <v>Eric Van Epps</v>
          </cell>
        </row>
        <row r="9969">
          <cell r="C9969" t="str">
            <v>WF_HMDA_LAR</v>
          </cell>
          <cell r="H9969">
            <v>5053208</v>
          </cell>
          <cell r="AK9969" t="str">
            <v>Juan Pimentel</v>
          </cell>
        </row>
        <row r="9970">
          <cell r="C9970" t="str">
            <v>FrMc_MF (SA) Role Extension</v>
          </cell>
          <cell r="H9970">
            <v>5052346</v>
          </cell>
          <cell r="AK9970" t="str">
            <v>Kalkidan Tedla</v>
          </cell>
        </row>
        <row r="9971">
          <cell r="C9971" t="str">
            <v>MS Data [Joanne Pan T&amp;M extension]</v>
          </cell>
          <cell r="H9971">
            <v>5051790</v>
          </cell>
          <cell r="AK9971" t="str">
            <v>Erik Johnson</v>
          </cell>
        </row>
        <row r="9972">
          <cell r="C9972" t="str">
            <v>5039673 - Jersey State Bank_RAS</v>
          </cell>
          <cell r="H9972">
            <v>5039673</v>
          </cell>
          <cell r="AK9972" t="str">
            <v>Diane Banks</v>
          </cell>
        </row>
        <row r="9973">
          <cell r="C9973" t="str">
            <v>5039726 - St Landry Bank &amp; Trust Co_RAS_2024</v>
          </cell>
          <cell r="H9973">
            <v>5039726</v>
          </cell>
          <cell r="AK9973" t="str">
            <v>Diane Banks</v>
          </cell>
        </row>
        <row r="9974">
          <cell r="C9974" t="str">
            <v>Jeff_Managed Services_Mike Brown Extension #2</v>
          </cell>
          <cell r="H9974">
            <v>5052217</v>
          </cell>
          <cell r="AK9974" t="str">
            <v>Samuel Desta</v>
          </cell>
        </row>
        <row r="9975">
          <cell r="C9975" t="str">
            <v>Capital Bank NationalAsso_RAS</v>
          </cell>
          <cell r="H9975">
            <v>5039603</v>
          </cell>
          <cell r="AK9975" t="str">
            <v>Diane Banks</v>
          </cell>
        </row>
        <row r="9976">
          <cell r="C9976" t="str">
            <v>International Finance Bank_RAS</v>
          </cell>
          <cell r="H9976">
            <v>5053382</v>
          </cell>
          <cell r="AK9976" t="str">
            <v>Diane Banks</v>
          </cell>
        </row>
        <row r="9977">
          <cell r="C9977" t="str">
            <v>Amendment #8 CDO Ops 3 Weeks Bridge US</v>
          </cell>
          <cell r="H9977">
            <v>5053277</v>
          </cell>
          <cell r="AK9977" t="str">
            <v>Ifeoluwa Ajelabi</v>
          </cell>
        </row>
        <row r="9978">
          <cell r="C9978" t="str">
            <v>BBA HMDA Reviews 2024</v>
          </cell>
          <cell r="H9978">
            <v>5052008</v>
          </cell>
          <cell r="AK9978" t="str">
            <v>Juan Pimentel</v>
          </cell>
        </row>
        <row r="9979">
          <cell r="C9979" t="str">
            <v>Amendment #8 - Citi CDO Ops Expansion 2 (UK Roles) 3 weeks Bridge</v>
          </cell>
          <cell r="H9979">
            <v>5053277</v>
          </cell>
          <cell r="AK9979" t="str">
            <v>Ifeoluwa Ajelabi</v>
          </cell>
        </row>
        <row r="9980">
          <cell r="C9980" t="str">
            <v>ANBTX 2024 hmda reviews</v>
          </cell>
          <cell r="H9980">
            <v>5052194</v>
          </cell>
          <cell r="AK9980" t="str">
            <v>Juan Pimentel</v>
          </cell>
        </row>
        <row r="9981">
          <cell r="C9981" t="str">
            <v>Jeff_Managed Services SharePoint Extension (M. Read)</v>
          </cell>
          <cell r="H9981">
            <v>5052374</v>
          </cell>
          <cell r="AK9981" t="str">
            <v>Samuel Desta</v>
          </cell>
        </row>
        <row r="9982">
          <cell r="C9982" t="str">
            <v>CMB Data Feed Ext CY24Q4</v>
          </cell>
          <cell r="H9982">
            <v>5053667</v>
          </cell>
          <cell r="AK9982" t="str">
            <v>Leah Robinson</v>
          </cell>
        </row>
        <row r="9983">
          <cell r="C9983" t="str">
            <v>Empire State Bank (ESB) CIP Support</v>
          </cell>
          <cell r="H9983">
            <v>5053274</v>
          </cell>
          <cell r="AK9983" t="str">
            <v>Mariana Dumanovsky</v>
          </cell>
        </row>
        <row r="9984">
          <cell r="C9984" t="str">
            <v>MCB-CRA Services</v>
          </cell>
          <cell r="H9984">
            <v>5053323</v>
          </cell>
          <cell r="AK9984" t="str">
            <v>Leigh Tribou</v>
          </cell>
        </row>
        <row r="9985">
          <cell r="C9985" t="str">
            <v>Computershare / Surge Resourcing Ext Call Ctr</v>
          </cell>
          <cell r="H9985">
            <v>5053373</v>
          </cell>
          <cell r="AK9985" t="str">
            <v>Kari Raimondi</v>
          </cell>
        </row>
        <row r="9986">
          <cell r="C9986" t="str">
            <v>HMDA Scrub Sourcing</v>
          </cell>
          <cell r="H9986">
            <v>5054006</v>
          </cell>
          <cell r="AK9986" t="str">
            <v>Susan Stevenson</v>
          </cell>
        </row>
        <row r="9987">
          <cell r="C9987" t="str">
            <v>Jefferies_Managed Services_US Surveillance Lead</v>
          </cell>
          <cell r="H9987">
            <v>5053300</v>
          </cell>
          <cell r="AK9987" t="str">
            <v>Samuel Desta</v>
          </cell>
        </row>
        <row r="9988">
          <cell r="C9988" t="str">
            <v>Fixed Income Content Strategy</v>
          </cell>
          <cell r="H9988">
            <v>5053302</v>
          </cell>
          <cell r="AK9988" t="str">
            <v>Allison Duffee</v>
          </cell>
        </row>
        <row r="9989">
          <cell r="C9989" t="str">
            <v>Oppenheimer Co. AML Independent Testing</v>
          </cell>
          <cell r="H9989">
            <v>5053295</v>
          </cell>
          <cell r="AK9989" t="str">
            <v>Mary Louise Radley</v>
          </cell>
        </row>
        <row r="9990">
          <cell r="C9990" t="str">
            <v>FrMc_MF (SA) EXT Roles</v>
          </cell>
          <cell r="H9990">
            <v>5052346</v>
          </cell>
          <cell r="AK9990" t="str">
            <v>Kalkidan Tedla</v>
          </cell>
        </row>
        <row r="9991">
          <cell r="C9991" t="str">
            <v>Oppenheimer Co. AML Independent Testing</v>
          </cell>
          <cell r="H9991">
            <v>5053295</v>
          </cell>
          <cell r="AK9991" t="str">
            <v>Mary Louise Radley</v>
          </cell>
        </row>
        <row r="9992">
          <cell r="C9992" t="str">
            <v>Jeff_Risk Program Tech Support</v>
          </cell>
          <cell r="H9992">
            <v>5053327</v>
          </cell>
          <cell r="AK9992" t="str">
            <v>Imran Parekh</v>
          </cell>
        </row>
        <row r="9993">
          <cell r="C9993" t="str">
            <v>Recurring CFG Compliance Reivews</v>
          </cell>
          <cell r="H9993">
            <v>5053433</v>
          </cell>
          <cell r="AK9993" t="str">
            <v>David Stalnaker</v>
          </cell>
        </row>
        <row r="9994">
          <cell r="C9994" t="str">
            <v>John Marshall Bank 1071 and New CRA Training</v>
          </cell>
          <cell r="H9994">
            <v>5053433</v>
          </cell>
          <cell r="AK9994" t="str">
            <v>David Stalnaker</v>
          </cell>
        </row>
        <row r="9995">
          <cell r="C9995" t="str">
            <v>BMO AI Translation Service Design Support</v>
          </cell>
          <cell r="H9995">
            <v>5053385</v>
          </cell>
          <cell r="AK9995" t="str">
            <v>Kari Raimondi</v>
          </cell>
        </row>
        <row r="9996">
          <cell r="C9996" t="str">
            <v>HSBC-GFP-DBS-OCC Business &amp; Function BAU</v>
          </cell>
          <cell r="H9996">
            <v>5044484</v>
          </cell>
          <cell r="AK9996" t="str">
            <v>Rahul Govada</v>
          </cell>
        </row>
        <row r="9997">
          <cell r="C9997" t="str">
            <v>FrMc_DMP Continuation</v>
          </cell>
          <cell r="H9997">
            <v>5052732</v>
          </cell>
          <cell r="AK9997" t="str">
            <v>Michael Mathew</v>
          </cell>
        </row>
        <row r="9998">
          <cell r="C9998" t="str">
            <v>Extension - DAM Strategist (Laura Langford) and Product Owner Backfill (Rick Miller)</v>
          </cell>
          <cell r="H9998">
            <v>5052326</v>
          </cell>
          <cell r="AK9998" t="str">
            <v>Nick Kerzman</v>
          </cell>
        </row>
        <row r="9999">
          <cell r="C9999" t="str">
            <v>Battle Bank System Integrator Extension- Phase 13</v>
          </cell>
          <cell r="H9999">
            <v>5050428</v>
          </cell>
          <cell r="AK9999" t="str">
            <v>James Kane</v>
          </cell>
        </row>
        <row r="10000">
          <cell r="C10000" t="str">
            <v>FrMcICM Payment Modernization AMD</v>
          </cell>
          <cell r="H10000">
            <v>5051366</v>
          </cell>
          <cell r="AK10000" t="str">
            <v>Kalkidan Tedla</v>
          </cell>
        </row>
        <row r="10001">
          <cell r="C10001" t="str">
            <v>FCRM Validation</v>
          </cell>
          <cell r="H10001">
            <v>5053308</v>
          </cell>
          <cell r="AK10001" t="str">
            <v>William Sachs</v>
          </cell>
        </row>
        <row r="10002">
          <cell r="C10002" t="str">
            <v>BOKF_Deposit Growth Strategy</v>
          </cell>
          <cell r="H10002">
            <v>5053341</v>
          </cell>
          <cell r="AK10002" t="str">
            <v>John McHugh</v>
          </cell>
        </row>
        <row r="10003">
          <cell r="C10003" t="str">
            <v>Svenska Broker Dealer Co-Sourced Audit</v>
          </cell>
          <cell r="H10003">
            <v>5053434</v>
          </cell>
          <cell r="AK10003" t="str">
            <v>William Sachs</v>
          </cell>
        </row>
        <row r="10004">
          <cell r="C10004" t="str">
            <v>MS Data Science / Analytics Team - Part 1</v>
          </cell>
          <cell r="H10004">
            <v>5053459</v>
          </cell>
          <cell r="AK10004" t="str">
            <v>Erik Johnson</v>
          </cell>
        </row>
        <row r="10005">
          <cell r="C10005" t="str">
            <v>HSBC-GFP-DAT-WIPRO BigID USA</v>
          </cell>
          <cell r="H10005">
            <v>5053520</v>
          </cell>
          <cell r="AK10005" t="str">
            <v>Prasana Kumar Parthasarathy</v>
          </cell>
        </row>
        <row r="10006">
          <cell r="C10006" t="str">
            <v>CC Capital Denovo Annuity Co Ph 3</v>
          </cell>
          <cell r="H10006">
            <v>5053340</v>
          </cell>
          <cell r="AK10006" t="str">
            <v>Randy Love</v>
          </cell>
        </row>
        <row r="10007">
          <cell r="C10007" t="str">
            <v>M+A Staffing UK Acquisition</v>
          </cell>
          <cell r="H10007">
            <v>5053263</v>
          </cell>
          <cell r="AK10007" t="str">
            <v>Nitin Raju</v>
          </cell>
        </row>
        <row r="10008">
          <cell r="C10008" t="str">
            <v>Recurring - Svenska Handelsbanken</v>
          </cell>
          <cell r="H10008">
            <v>5053435</v>
          </cell>
          <cell r="AK10008" t="str">
            <v>William Sachs</v>
          </cell>
        </row>
        <row r="10009">
          <cell r="C10009" t="str">
            <v>SVB_ISO Tech PM Ph2 Ext1</v>
          </cell>
          <cell r="H10009">
            <v>5052205</v>
          </cell>
          <cell r="AK10009" t="str">
            <v>Samuel Awsumb</v>
          </cell>
        </row>
        <row r="10010">
          <cell r="C10010" t="str">
            <v>Popular Bank - CRA SB Phase 2</v>
          </cell>
          <cell r="H10010">
            <v>5051147</v>
          </cell>
          <cell r="AK10010" t="str">
            <v>Juan Pimentel</v>
          </cell>
        </row>
        <row r="10011">
          <cell r="C10011" t="str">
            <v>Customers Bank VDD 24 Extension</v>
          </cell>
          <cell r="H10011">
            <v>5053371</v>
          </cell>
          <cell r="AK10011" t="str">
            <v>Eugene Collett</v>
          </cell>
        </row>
        <row r="10012">
          <cell r="C10012" t="str">
            <v>SoLo Funds - BSA/AML Audit</v>
          </cell>
          <cell r="H10012">
            <v>5053372</v>
          </cell>
          <cell r="AK10012" t="str">
            <v>Mary Louise Radley</v>
          </cell>
        </row>
        <row r="10013">
          <cell r="C10013" t="str">
            <v>BCP Program Enhancement</v>
          </cell>
          <cell r="H10013">
            <v>5053401</v>
          </cell>
          <cell r="AK10013" t="str">
            <v>Robert Farmer</v>
          </cell>
        </row>
        <row r="10014">
          <cell r="C10014" t="str">
            <v>Arthur State Bank</v>
          </cell>
          <cell r="H10014">
            <v>5053428</v>
          </cell>
          <cell r="AK10014" t="str">
            <v>Amanda Pickering</v>
          </cell>
        </row>
        <row r="10015">
          <cell r="C10015" t="str">
            <v>USB_RMS Quad Squad Execution</v>
          </cell>
          <cell r="H10015">
            <v>5052936</v>
          </cell>
          <cell r="AK10015" t="str">
            <v>Samuel Awsumb</v>
          </cell>
        </row>
        <row r="10016">
          <cell r="C10016" t="str">
            <v>USB_RMS Quad Squad Execution</v>
          </cell>
          <cell r="H10016">
            <v>5052936</v>
          </cell>
          <cell r="AK10016" t="str">
            <v>Samuel Awsumb</v>
          </cell>
        </row>
        <row r="10017">
          <cell r="C10017" t="str">
            <v>USB_RMS Quad Squad Execution</v>
          </cell>
          <cell r="H10017">
            <v>5052936</v>
          </cell>
          <cell r="AK10017" t="str">
            <v>Samuel Awsumb</v>
          </cell>
        </row>
        <row r="10018">
          <cell r="C10018" t="str">
            <v>USB_RMS Quad Squad Execution</v>
          </cell>
          <cell r="H10018">
            <v>5052936</v>
          </cell>
          <cell r="AK10018" t="str">
            <v>Samuel Awsumb</v>
          </cell>
        </row>
        <row r="10019">
          <cell r="C10019" t="str">
            <v>MS Data Science / Analytics Team - Part 2</v>
          </cell>
          <cell r="H10019">
            <v>5053396</v>
          </cell>
          <cell r="AK10019" t="str">
            <v>Erik Johnson</v>
          </cell>
        </row>
        <row r="10020">
          <cell r="C10020" t="str">
            <v>Pru - Cloud Engineering Advisory and Hands On Stewardship</v>
          </cell>
          <cell r="H10020">
            <v>5053425</v>
          </cell>
          <cell r="AK10020" t="str">
            <v>James Fischer</v>
          </cell>
        </row>
        <row r="10021">
          <cell r="C10021" t="str">
            <v>NEIL (Nuclear Electric Insurance Limited) Business Architecture</v>
          </cell>
          <cell r="H10021">
            <v>5053395</v>
          </cell>
          <cell r="AK10021" t="str">
            <v>Raj Mohanty</v>
          </cell>
        </row>
        <row r="10022">
          <cell r="C10022" t="str">
            <v>Antares - Data Governance Internal Audit Remediation</v>
          </cell>
          <cell r="H10022">
            <v>5053337</v>
          </cell>
          <cell r="AK10022" t="str">
            <v>Kirby Pulver</v>
          </cell>
        </row>
        <row r="10023">
          <cell r="C10023" t="str">
            <v>Nomura Data Lineage, CFTC Completeness and SEC Accuracy</v>
          </cell>
          <cell r="H10023">
            <v>5052067</v>
          </cell>
          <cell r="AK10023" t="str">
            <v>Salim Modi</v>
          </cell>
        </row>
        <row r="10024">
          <cell r="C10024" t="str">
            <v>Antares Program Mgt Extension</v>
          </cell>
          <cell r="H10024">
            <v>5051694</v>
          </cell>
          <cell r="AK10024" t="str">
            <v>Kirby Pulver</v>
          </cell>
        </row>
        <row r="10025">
          <cell r="C10025" t="str">
            <v>American Equity: Fraud Prevention &amp; Controls Assessment</v>
          </cell>
          <cell r="H10025">
            <v>5053310</v>
          </cell>
          <cell r="AK10025" t="str">
            <v>Gregg Henzel</v>
          </cell>
        </row>
        <row r="10026">
          <cell r="C10026" t="str">
            <v>Target Test Script Execution - Phase 2</v>
          </cell>
          <cell r="H10026">
            <v>5049312</v>
          </cell>
          <cell r="AK10026" t="str">
            <v>Ryan Keller</v>
          </cell>
        </row>
        <row r="10027">
          <cell r="C10027" t="str">
            <v>Valley Trust Compliance Review and Trust Risk Assessment</v>
          </cell>
          <cell r="H10027">
            <v>5053364</v>
          </cell>
          <cell r="AK10027" t="str">
            <v>David Stalnaker</v>
          </cell>
        </row>
        <row r="10028">
          <cell r="C10028" t="str">
            <v>Santander - Horizon Rebranding - T&amp;E to Fees</v>
          </cell>
          <cell r="H10028">
            <v>5052829</v>
          </cell>
          <cell r="AK10028" t="str">
            <v>Anna Stawowy</v>
          </cell>
        </row>
        <row r="10029">
          <cell r="C10029" t="str">
            <v>Horizon - Channel and Transformation - T&amp;E to Fees</v>
          </cell>
          <cell r="H10029">
            <v>5045590</v>
          </cell>
          <cell r="AK10029" t="str">
            <v>Dana Schwaeber</v>
          </cell>
        </row>
        <row r="10030">
          <cell r="C10030" t="str">
            <v>Wealth 2024 Extension SBL, MM &amp; AO Extension</v>
          </cell>
          <cell r="H10030">
            <v>5052909</v>
          </cell>
          <cell r="AK10030" t="str">
            <v>Raymond Ortiz II</v>
          </cell>
        </row>
        <row r="10031">
          <cell r="C10031" t="str">
            <v>Enterprise Bank &amp; Trust - CFRs and File Reviews</v>
          </cell>
          <cell r="H10031">
            <v>5053458</v>
          </cell>
          <cell r="AK10031" t="str">
            <v>Leigh Tribou</v>
          </cell>
        </row>
        <row r="10032">
          <cell r="C10032" t="str">
            <v>Navy Federal CU - KYC Framework Development &amp; Implementation</v>
          </cell>
          <cell r="H10032">
            <v>5053436</v>
          </cell>
          <cell r="AK10032" t="str">
            <v>Daniel Outcalt</v>
          </cell>
        </row>
        <row r="10033">
          <cell r="C10033" t="str">
            <v>Amendment #8 - CDO Ops Expansion 2 (US Roles)</v>
          </cell>
          <cell r="H10033">
            <v>5053277</v>
          </cell>
          <cell r="AK10033" t="str">
            <v>Ifeoluwa Ajelabi</v>
          </cell>
        </row>
        <row r="10034">
          <cell r="C10034" t="str">
            <v>WF HL Procedure Control Support</v>
          </cell>
          <cell r="H10034">
            <v>5053420</v>
          </cell>
          <cell r="AK10034" t="str">
            <v>Alberto Michelazzi</v>
          </cell>
        </row>
        <row r="10035">
          <cell r="C10035" t="str">
            <v>MCB_IAM Cloud and Infrastructure Ext</v>
          </cell>
          <cell r="H10035">
            <v>5047383</v>
          </cell>
          <cell r="AK10035" t="str">
            <v>Luke Penca</v>
          </cell>
        </row>
        <row r="10036">
          <cell r="C10036" t="str">
            <v>1st Colonial Community Bank MQC</v>
          </cell>
          <cell r="H10036">
            <v>5053499</v>
          </cell>
          <cell r="AK10036" t="str">
            <v>Christian Maier</v>
          </cell>
        </row>
        <row r="10037">
          <cell r="C10037" t="str">
            <v>FLoD Gap Analysis and Roadmap</v>
          </cell>
          <cell r="H10037">
            <v>5053512</v>
          </cell>
          <cell r="AK10037" t="str">
            <v>Eric Holmquist</v>
          </cell>
        </row>
        <row r="10038">
          <cell r="C10038" t="str">
            <v>Pru - USB - Project Star Devs</v>
          </cell>
          <cell r="H10038">
            <v>5053456</v>
          </cell>
          <cell r="AK10038" t="str">
            <v>Walter Piza</v>
          </cell>
        </row>
        <row r="10039">
          <cell r="C10039" t="str">
            <v>Santander - Horizon Rebranding Extension</v>
          </cell>
          <cell r="H10039">
            <v>5052829</v>
          </cell>
          <cell r="AK10039" t="str">
            <v>Anna Stawowy</v>
          </cell>
        </row>
        <row r="10040">
          <cell r="C10040" t="str">
            <v>MS Finance - Broker Dealer Set Up PMO</v>
          </cell>
          <cell r="H10040">
            <v>5053411</v>
          </cell>
          <cell r="AK10040" t="str">
            <v>Ruben Sooriya</v>
          </cell>
        </row>
        <row r="10041">
          <cell r="C10041" t="str">
            <v>Pru - DMN - Contract Money-In - Payments Implementation Pod Work</v>
          </cell>
          <cell r="H10041">
            <v>5052987</v>
          </cell>
          <cell r="AK10041" t="str">
            <v>Seth Berman</v>
          </cell>
        </row>
        <row r="10042">
          <cell r="C10042" t="str">
            <v>2U/NBH - Delivery Support Extension</v>
          </cell>
          <cell r="H10042">
            <v>5050472</v>
          </cell>
          <cell r="AK10042" t="str">
            <v>Adam Polson</v>
          </cell>
        </row>
        <row r="10043">
          <cell r="C10043" t="str">
            <v>CACIB - Fedline assessment</v>
          </cell>
          <cell r="H10043">
            <v>5053336</v>
          </cell>
          <cell r="AK10043" t="str">
            <v>Boris Mallet</v>
          </cell>
        </row>
        <row r="10044">
          <cell r="C10044" t="str">
            <v>Santander Horizon Operations Support</v>
          </cell>
          <cell r="H10044">
            <v>5053446</v>
          </cell>
          <cell r="AK10044" t="str">
            <v>Dana Schwaeber</v>
          </cell>
        </row>
        <row r="10045">
          <cell r="C10045" t="str">
            <v>Bravera Bank MQC</v>
          </cell>
          <cell r="H10045">
            <v>5053669</v>
          </cell>
          <cell r="AK10045" t="str">
            <v>Christian Maier</v>
          </cell>
        </row>
        <row r="10046">
          <cell r="C10046" t="str">
            <v>Strive Wealth Management - WM Advisory</v>
          </cell>
          <cell r="H10046">
            <v>5053473</v>
          </cell>
          <cell r="AK10046" t="str">
            <v>Matthew Berkowitz</v>
          </cell>
        </row>
        <row r="10047">
          <cell r="C10047" t="str">
            <v>Popular Bank HMDA 2023-2024 negative sale</v>
          </cell>
          <cell r="H10047">
            <v>5051147</v>
          </cell>
          <cell r="AK10047" t="str">
            <v>Juan Pimentel</v>
          </cell>
        </row>
        <row r="10048">
          <cell r="C10048" t="str">
            <v>Negative - ESSA Bank Website Reviews</v>
          </cell>
          <cell r="H10048">
            <v>5052295</v>
          </cell>
          <cell r="AK10048" t="str">
            <v>Mariana Dumanovsky</v>
          </cell>
        </row>
        <row r="10049">
          <cell r="C10049" t="str">
            <v>Negative - Compliance Targeted Reviews/Testing</v>
          </cell>
          <cell r="H10049">
            <v>5052259</v>
          </cell>
          <cell r="AK10049" t="str">
            <v>Eric Van Epps</v>
          </cell>
        </row>
        <row r="10050">
          <cell r="C10050" t="str">
            <v>Negative - WTB CMS Support</v>
          </cell>
          <cell r="H10050">
            <v>5052417</v>
          </cell>
          <cell r="AK10050" t="str">
            <v>Mary Louise Radley</v>
          </cell>
        </row>
        <row r="10051">
          <cell r="C10051" t="str">
            <v>Brotherhood Credit Union Negative Sale</v>
          </cell>
          <cell r="H10051">
            <v>5050840</v>
          </cell>
          <cell r="AK10051" t="str">
            <v>Louvera Walden</v>
          </cell>
        </row>
        <row r="10052">
          <cell r="C10052" t="str">
            <v>Negative - BBA Mortgage Reviews</v>
          </cell>
          <cell r="H10052">
            <v>5052203</v>
          </cell>
          <cell r="AK10052" t="str">
            <v>Juan Pimentel</v>
          </cell>
        </row>
        <row r="10053">
          <cell r="C10053" t="str">
            <v>PlainsCap - Compliance Reviews Negative Sale</v>
          </cell>
          <cell r="H10053">
            <v>5051477</v>
          </cell>
          <cell r="AK10053" t="str">
            <v>Anna Proleika</v>
          </cell>
        </row>
        <row r="10054">
          <cell r="C10054" t="str">
            <v>Better Remediation 2020 Originated Loans negative sale</v>
          </cell>
          <cell r="H10054">
            <v>5045110</v>
          </cell>
          <cell r="AK10054" t="str">
            <v>Thuy Whitaker</v>
          </cell>
        </row>
        <row r="10055">
          <cell r="C10055" t="str">
            <v>Negative Sale Empire State Bank_CRA Services</v>
          </cell>
          <cell r="H10055">
            <v>5052313</v>
          </cell>
          <cell r="AK10055" t="str">
            <v>Elanna Kooistra</v>
          </cell>
        </row>
        <row r="10056">
          <cell r="C10056" t="str">
            <v>Arvest Consumer Lending TRID Support negative sale</v>
          </cell>
          <cell r="H10056">
            <v>5050645</v>
          </cell>
          <cell r="AK10056" t="str">
            <v>Susan Stevenson</v>
          </cell>
        </row>
        <row r="10057">
          <cell r="C10057" t="str">
            <v>Enterprise Bnk Trust_GRC CIC Negative Sale</v>
          </cell>
          <cell r="H10057">
            <v>5045170</v>
          </cell>
          <cell r="AK10057" t="str">
            <v>Tania Makuh</v>
          </cell>
        </row>
        <row r="10058">
          <cell r="C10058" t="str">
            <v>CFPB- Compliance Traning 21-26 Negative Sale</v>
          </cell>
          <cell r="H10058">
            <v>5043177</v>
          </cell>
          <cell r="AK10058" t="str">
            <v>Diane Banks</v>
          </cell>
        </row>
        <row r="10059">
          <cell r="C10059" t="str">
            <v>Carver State Bank_RAS_2024</v>
          </cell>
          <cell r="H10059">
            <v>5040193</v>
          </cell>
          <cell r="AK10059" t="str">
            <v>Diane Banks</v>
          </cell>
        </row>
        <row r="10060">
          <cell r="C10060" t="str">
            <v>First Eagle National Bank_RAS_2024</v>
          </cell>
          <cell r="H10060">
            <v>5040171</v>
          </cell>
          <cell r="AK10060" t="str">
            <v>Diane Banks</v>
          </cell>
        </row>
        <row r="10061">
          <cell r="C10061" t="str">
            <v>Jefferies TCE Support - Maddie E Extension - FY25 1H</v>
          </cell>
          <cell r="H10061">
            <v>5052212</v>
          </cell>
          <cell r="AK10061" t="str">
            <v>Imran Parekh</v>
          </cell>
        </row>
        <row r="10062">
          <cell r="C10062" t="str">
            <v>Toast Inc. Annual BSA AML Audit</v>
          </cell>
          <cell r="H10062">
            <v>5053260</v>
          </cell>
          <cell r="AK10062" t="str">
            <v>Mary Louise Radley</v>
          </cell>
        </row>
        <row r="10063">
          <cell r="C10063" t="str">
            <v>RBC_Qlikview Extension FY25</v>
          </cell>
          <cell r="H10063">
            <v>5044766</v>
          </cell>
          <cell r="AK10063" t="str">
            <v>Kirby Pulver</v>
          </cell>
        </row>
        <row r="10064">
          <cell r="C10064" t="str">
            <v>CNB FL Mtg. Servicing (PMI &amp; ARM Reviews)</v>
          </cell>
          <cell r="H10064">
            <v>5051985</v>
          </cell>
          <cell r="AK10064" t="str">
            <v>Brian Phillips</v>
          </cell>
        </row>
        <row r="10065">
          <cell r="C10065" t="str">
            <v>Salyersville National Bank_RAS_2024</v>
          </cell>
          <cell r="H10065">
            <v>5039718</v>
          </cell>
          <cell r="AK10065" t="str">
            <v>Diane Banks</v>
          </cell>
        </row>
        <row r="10066">
          <cell r="C10066" t="str">
            <v>Merchants Bank of Indiana - Fair Lending Services</v>
          </cell>
          <cell r="H10066">
            <v>5053309</v>
          </cell>
          <cell r="AK10066" t="str">
            <v>Leigh Tribou</v>
          </cell>
        </row>
        <row r="10067">
          <cell r="C10067" t="str">
            <v>MS_Data FY25 [part 2]</v>
          </cell>
          <cell r="H10067">
            <v>5051790</v>
          </cell>
          <cell r="AK10067" t="str">
            <v>Erik Johnson</v>
          </cell>
        </row>
        <row r="10068">
          <cell r="C10068" t="str">
            <v>Computershare Voyager Business Analysts Ext</v>
          </cell>
          <cell r="H10068">
            <v>5053460</v>
          </cell>
          <cell r="AK10068" t="str">
            <v>Aoife Hogan</v>
          </cell>
        </row>
        <row r="10069">
          <cell r="C10069" t="str">
            <v>Jefferies_Managed Services - Transaction Monitoring Ext 2</v>
          </cell>
          <cell r="H10069">
            <v>5052378</v>
          </cell>
          <cell r="AK10069" t="str">
            <v>Samuel Desta</v>
          </cell>
        </row>
        <row r="10070">
          <cell r="C10070" t="str">
            <v>Great Plains National Bank_RAS_2024</v>
          </cell>
          <cell r="H10070">
            <v>5039667</v>
          </cell>
          <cell r="AK10070" t="str">
            <v>Diane Banks</v>
          </cell>
        </row>
        <row r="10071">
          <cell r="C10071" t="str">
            <v>5040182 - Medallion Bank_RAS_2024</v>
          </cell>
          <cell r="H10071">
            <v>5040182</v>
          </cell>
          <cell r="AK10071" t="str">
            <v>Diane Banks</v>
          </cell>
        </row>
        <row r="10072">
          <cell r="C10072" t="str">
            <v>Jeff_Managed Services_Mike Brown Extension #3</v>
          </cell>
          <cell r="H10072">
            <v>5052217</v>
          </cell>
          <cell r="AK10072" t="str">
            <v>Samuel Desta</v>
          </cell>
        </row>
        <row r="10073">
          <cell r="C10073" t="str">
            <v>Bank of Travelers Rest_RAS_2024</v>
          </cell>
          <cell r="H10073">
            <v>5040170</v>
          </cell>
          <cell r="AK10073" t="str">
            <v>Diane Banks</v>
          </cell>
        </row>
        <row r="10074">
          <cell r="C10074" t="str">
            <v>Capital Bank Pricing Reports Nov24</v>
          </cell>
          <cell r="H10074">
            <v>5053614</v>
          </cell>
          <cell r="AK10074" t="str">
            <v>Juan Pimentel</v>
          </cell>
        </row>
        <row r="10075">
          <cell r="C10075" t="str">
            <v>Ridgewood Savings Bank - FL CRA HMDA Services_Nov24</v>
          </cell>
          <cell r="H10075">
            <v>5053612</v>
          </cell>
          <cell r="AK10075" t="str">
            <v>Leigh Tribou</v>
          </cell>
        </row>
        <row r="10076">
          <cell r="C10076" t="str">
            <v>Artisans CMS Support_Nov24</v>
          </cell>
          <cell r="H10076">
            <v>5053594</v>
          </cell>
          <cell r="AK10076" t="str">
            <v>Amanda Pickering</v>
          </cell>
        </row>
        <row r="10077">
          <cell r="C10077" t="str">
            <v>McGehee Bank_RAS_2024</v>
          </cell>
          <cell r="H10077">
            <v>5040172</v>
          </cell>
          <cell r="AK10077" t="str">
            <v>Rebecca Breland</v>
          </cell>
        </row>
        <row r="10078">
          <cell r="C10078" t="str">
            <v>ION Developer FY24 Bridge</v>
          </cell>
          <cell r="H10078">
            <v>5052109</v>
          </cell>
          <cell r="AK10078" t="str">
            <v>Manal Ray</v>
          </cell>
        </row>
        <row r="10079">
          <cell r="C10079" t="str">
            <v>Popular Bank/BPPR-Marketing and Website Review</v>
          </cell>
          <cell r="H10079">
            <v>5053587</v>
          </cell>
          <cell r="AK10079" t="str">
            <v>Eugene Collett</v>
          </cell>
        </row>
        <row r="10080">
          <cell r="C10080" t="str">
            <v>Popular Bank HMDA 2023-2024</v>
          </cell>
          <cell r="H10080">
            <v>5053579</v>
          </cell>
          <cell r="AK10080" t="str">
            <v>Juan Pimentel</v>
          </cell>
        </row>
        <row r="10081">
          <cell r="C10081" t="str">
            <v>GRC Implementation Consulting, Support and Compliance Content</v>
          </cell>
          <cell r="H10081">
            <v>5053578</v>
          </cell>
          <cell r="AK10081" t="str">
            <v>Gregg Henzel</v>
          </cell>
        </row>
        <row r="10082">
          <cell r="C10082" t="str">
            <v>Brotherhood Credit Union</v>
          </cell>
          <cell r="H10082">
            <v>5053577</v>
          </cell>
          <cell r="AK10082" t="str">
            <v>Louvera Walden</v>
          </cell>
        </row>
        <row r="10083">
          <cell r="C10083" t="str">
            <v>IAIC_GRC_Nov24</v>
          </cell>
          <cell r="H10083">
            <v>5053569</v>
          </cell>
          <cell r="AK10083" t="str">
            <v>Heather Jackson</v>
          </cell>
        </row>
        <row r="10084">
          <cell r="C10084" t="str">
            <v>ANBTX-ERM Advisory_Nov24</v>
          </cell>
          <cell r="H10084">
            <v>5053563</v>
          </cell>
          <cell r="AK10084" t="str">
            <v>Tania Makuh</v>
          </cell>
        </row>
        <row r="10085">
          <cell r="C10085" t="str">
            <v>Recurring FAB_Audit Consulting</v>
          </cell>
          <cell r="H10085">
            <v>5053552</v>
          </cell>
          <cell r="AK10085" t="str">
            <v>William Sachs</v>
          </cell>
        </row>
        <row r="10086">
          <cell r="C10086" t="str">
            <v>BBA HMDA Reviews 2024</v>
          </cell>
          <cell r="H10086">
            <v>5053551</v>
          </cell>
          <cell r="AK10086" t="str">
            <v>Juan Pimentel</v>
          </cell>
        </row>
        <row r="10087">
          <cell r="C10087" t="str">
            <v>AdirondackTC_ ISO Support_Nov2024</v>
          </cell>
          <cell r="H10087">
            <v>5053545</v>
          </cell>
          <cell r="AK10087" t="str">
            <v>Robert Farmer</v>
          </cell>
        </row>
        <row r="10088">
          <cell r="C10088" t="str">
            <v>BetterHoldco_RemediatonPhase2</v>
          </cell>
          <cell r="H10088">
            <v>5053535</v>
          </cell>
          <cell r="AK10088" t="str">
            <v>Thuy Whitaker</v>
          </cell>
        </row>
        <row r="10089">
          <cell r="C10089" t="str">
            <v>Essa Bank &amp; Trust_RAS_2024</v>
          </cell>
          <cell r="H10089">
            <v>5047584</v>
          </cell>
          <cell r="AK10089" t="str">
            <v>Diane Banks</v>
          </cell>
        </row>
        <row r="10090">
          <cell r="C10090" t="str">
            <v>CFPB- Compliance Traning 21-26</v>
          </cell>
          <cell r="H10090">
            <v>5053532</v>
          </cell>
          <cell r="AK10090" t="str">
            <v>Diane Banks</v>
          </cell>
        </row>
        <row r="10091">
          <cell r="C10091" t="str">
            <v>Martha's Vineyard Savings Bank_2024</v>
          </cell>
          <cell r="H10091">
            <v>5053519</v>
          </cell>
          <cell r="AK10091" t="str">
            <v>Eugene Collett</v>
          </cell>
        </row>
        <row r="10092">
          <cell r="C10092" t="str">
            <v>Recurring FAB_BSA Independent Testing</v>
          </cell>
          <cell r="H10092">
            <v>5053514</v>
          </cell>
          <cell r="AK10092" t="str">
            <v>William Sachs</v>
          </cell>
        </row>
        <row r="10093">
          <cell r="C10093" t="str">
            <v>Finxact Battle Bank Implementation Sprints Extension 9 CO#8</v>
          </cell>
          <cell r="H10093">
            <v>5050611</v>
          </cell>
          <cell r="AK10093" t="str">
            <v>James Kane</v>
          </cell>
        </row>
        <row r="10094">
          <cell r="C10094" t="str">
            <v>Encore Bank_RAS_2024</v>
          </cell>
          <cell r="H10094">
            <v>5040638</v>
          </cell>
          <cell r="AK10094" t="str">
            <v>Diane Banks</v>
          </cell>
        </row>
        <row r="10095">
          <cell r="C10095" t="str">
            <v>RECURRING - Empire State Bank_CRA Services</v>
          </cell>
          <cell r="H10095">
            <v>5053471</v>
          </cell>
          <cell r="AK10095" t="str">
            <v>Elanna Kooistra</v>
          </cell>
        </row>
        <row r="10096">
          <cell r="C10096" t="str">
            <v>Harford Bank BSA Alert Clearing</v>
          </cell>
          <cell r="H10096">
            <v>5053529</v>
          </cell>
          <cell r="AK10096" t="str">
            <v>W. Annette Dredden</v>
          </cell>
        </row>
        <row r="10097">
          <cell r="C10097" t="str">
            <v>Harford Bank HMDA Scrub</v>
          </cell>
          <cell r="H10097">
            <v>5053457</v>
          </cell>
          <cell r="AK10097" t="str">
            <v>W. Annette Dredden</v>
          </cell>
        </row>
        <row r="10098">
          <cell r="C10098" t="str">
            <v>Artisans Bank MQC</v>
          </cell>
          <cell r="H10098">
            <v>5053624</v>
          </cell>
          <cell r="AK10098" t="str">
            <v>Christian Maier</v>
          </cell>
        </row>
        <row r="10099">
          <cell r="C10099" t="str">
            <v>Capital Bank MQC</v>
          </cell>
          <cell r="H10099">
            <v>5053546</v>
          </cell>
          <cell r="AK10099" t="str">
            <v>Christian Maier</v>
          </cell>
        </row>
        <row r="10100">
          <cell r="C10100" t="str">
            <v>DHI Computing Services Inc_RAS_2024</v>
          </cell>
          <cell r="H10100">
            <v>5039478</v>
          </cell>
          <cell r="AK10100" t="str">
            <v>Diane Banks</v>
          </cell>
        </row>
        <row r="10101">
          <cell r="C10101" t="str">
            <v>ANBTX HMDA CRA Reviews 2024</v>
          </cell>
          <cell r="H10101">
            <v>5053553</v>
          </cell>
          <cell r="AK10101" t="str">
            <v>Juan Pimentel</v>
          </cell>
        </row>
        <row r="10102">
          <cell r="C10102" t="str">
            <v>Compliance Targeted Reviews/Testing</v>
          </cell>
          <cell r="H10102">
            <v>5053567</v>
          </cell>
          <cell r="AK10102" t="str">
            <v>Eric Van Epps</v>
          </cell>
        </row>
        <row r="10103">
          <cell r="C10103" t="str">
            <v>ICBC US - Data  Feed 2025</v>
          </cell>
          <cell r="H10103">
            <v>5056449</v>
          </cell>
          <cell r="AK10103" t="str">
            <v>Leah Robinson</v>
          </cell>
        </row>
        <row r="10104">
          <cell r="C10104" t="str">
            <v>Project Diligent_Core and Config Team Consolidated Extension</v>
          </cell>
          <cell r="H10104">
            <v>5053472</v>
          </cell>
          <cell r="AK10104" t="str">
            <v>Prateek Duhan</v>
          </cell>
        </row>
        <row r="10105">
          <cell r="C10105" t="str">
            <v>ESSA Bank Website Reviews</v>
          </cell>
          <cell r="H10105">
            <v>5053568</v>
          </cell>
          <cell r="AK10105" t="str">
            <v>Mariana Dumanovsky</v>
          </cell>
        </row>
        <row r="10106">
          <cell r="C10106" t="str">
            <v>WF_Pass Through</v>
          </cell>
          <cell r="H10106">
            <v>5053504</v>
          </cell>
          <cell r="AK10106" t="str">
            <v>Kevin Demeter</v>
          </cell>
        </row>
        <row r="10107">
          <cell r="C10107" t="str">
            <v>Pru - PGIM - Website Replatforming - Emmett Garvey Extension</v>
          </cell>
          <cell r="H10107">
            <v>5052035</v>
          </cell>
          <cell r="AK10107" t="str">
            <v>Mark Mountan</v>
          </cell>
        </row>
        <row r="10108">
          <cell r="C10108" t="str">
            <v>Flushing Bank - 2024 HMDA &amp; CRA Services_NoV24</v>
          </cell>
          <cell r="H10108">
            <v>5053599</v>
          </cell>
          <cell r="AK10108" t="str">
            <v>David Belfer</v>
          </cell>
        </row>
        <row r="10109">
          <cell r="C10109" t="str">
            <v>ICBC NY - Data Feed 2025</v>
          </cell>
          <cell r="H10109">
            <v>5056439</v>
          </cell>
          <cell r="AK10109" t="str">
            <v>Leah Robinson</v>
          </cell>
        </row>
        <row r="10110">
          <cell r="C10110" t="str">
            <v>WTB CMS Support</v>
          </cell>
          <cell r="H10110">
            <v>5053572</v>
          </cell>
          <cell r="AK10110" t="str">
            <v>Mary Louise Radley</v>
          </cell>
        </row>
        <row r="10111">
          <cell r="C10111" t="str">
            <v>PGMFCU-Staff Augmentation 2025</v>
          </cell>
          <cell r="H10111">
            <v>5053437</v>
          </cell>
          <cell r="AK10111" t="str">
            <v>Robert Farmer</v>
          </cell>
        </row>
        <row r="10112">
          <cell r="C10112" t="str">
            <v>Abacus Federal Savings Ban_RAS_2024</v>
          </cell>
          <cell r="H10112">
            <v>5039575</v>
          </cell>
          <cell r="AK10112" t="str">
            <v>Diane Banks</v>
          </cell>
        </row>
        <row r="10113">
          <cell r="C10113" t="str">
            <v>Enterprise Bnk Trust_GRC CIC</v>
          </cell>
          <cell r="H10113">
            <v>5053575</v>
          </cell>
          <cell r="AK10113" t="str">
            <v>Tania Makuh</v>
          </cell>
        </row>
        <row r="10114">
          <cell r="C10114" t="str">
            <v>GRC Implementation and Support of Compliance Testing Platform (SmartSuite)</v>
          </cell>
          <cell r="H10114">
            <v>5053796</v>
          </cell>
          <cell r="AK10114" t="str">
            <v>Tania Makuh</v>
          </cell>
        </row>
        <row r="10115">
          <cell r="C10115" t="str">
            <v>PlainsCap - Compliance Reviews</v>
          </cell>
          <cell r="H10115">
            <v>5053580</v>
          </cell>
          <cell r="AK10115" t="str">
            <v>Anna Proleika</v>
          </cell>
        </row>
        <row r="10116">
          <cell r="C10116" t="str">
            <v>BBA Mortgage Reviews</v>
          </cell>
          <cell r="H10116">
            <v>5053530</v>
          </cell>
          <cell r="AK10116" t="str">
            <v>Juan Pimentel</v>
          </cell>
        </row>
        <row r="10117">
          <cell r="C10117" t="str">
            <v>Arvest Consumer Lending TRID Support</v>
          </cell>
          <cell r="H10117">
            <v>5053531</v>
          </cell>
          <cell r="AK10117" t="str">
            <v>Susan Stevenson</v>
          </cell>
        </row>
        <row r="10118">
          <cell r="C10118" t="str">
            <v>RBC CUSO ERM Extension</v>
          </cell>
          <cell r="H10118">
            <v>5053445</v>
          </cell>
          <cell r="AK10118" t="str">
            <v>Rahul Govada</v>
          </cell>
        </row>
        <row r="10119">
          <cell r="C10119" t="str">
            <v>CNB FL Mtg. Servicing (PMI &amp; ARM Reviews)</v>
          </cell>
          <cell r="H10119">
            <v>5053534</v>
          </cell>
          <cell r="AK10119" t="str">
            <v>Brian Phillips</v>
          </cell>
        </row>
        <row r="10120">
          <cell r="C10120" t="str">
            <v>ANBTX-ERM Advisory_oct24</v>
          </cell>
          <cell r="H10120">
            <v>5048755</v>
          </cell>
          <cell r="AK10120" t="str">
            <v>Tania Makuh</v>
          </cell>
        </row>
        <row r="10121">
          <cell r="C10121" t="str">
            <v>Amerant Mortgage Reviews 2024</v>
          </cell>
          <cell r="H10121">
            <v>5053549</v>
          </cell>
          <cell r="AK10121" t="str">
            <v>Juan Pimentel</v>
          </cell>
        </row>
        <row r="10122">
          <cell r="C10122" t="str">
            <v>MECU ACH Risk Assessment</v>
          </cell>
          <cell r="H10122">
            <v>5053362</v>
          </cell>
          <cell r="AK10122" t="str">
            <v>W. Annette Dredden</v>
          </cell>
        </row>
        <row r="10123">
          <cell r="C10123" t="str">
            <v>Chain Bridge Bank MQC</v>
          </cell>
          <cell r="H10123">
            <v>5053550</v>
          </cell>
          <cell r="AK10123" t="str">
            <v>Christian Maier</v>
          </cell>
        </row>
        <row r="10124">
          <cell r="C10124" t="str">
            <v>Farmers and Merchants Trust MQC</v>
          </cell>
          <cell r="H10124">
            <v>5053493</v>
          </cell>
          <cell r="AK10124" t="str">
            <v>Christian Maier</v>
          </cell>
        </row>
        <row r="10125">
          <cell r="C10125" t="str">
            <v>Jefferies Equities PM/ BA Ext 3</v>
          </cell>
          <cell r="H10125">
            <v>5053480</v>
          </cell>
          <cell r="AK10125" t="str">
            <v>Sri Nonabur Srinivasamurthy</v>
          </cell>
        </row>
        <row r="10126">
          <cell r="C10126" t="str">
            <v>Amendment #8 - Citi CDO Ops Expansion 2 (UK Roles)</v>
          </cell>
          <cell r="H10126">
            <v>5053277</v>
          </cell>
          <cell r="AK10126" t="str">
            <v>Ifeoluwa Ajelabi</v>
          </cell>
        </row>
        <row r="10127">
          <cell r="C10127" t="str">
            <v>Marsh Right Shoring Initial Strategy</v>
          </cell>
          <cell r="H10127">
            <v>5053515</v>
          </cell>
          <cell r="AK10127" t="str">
            <v>Lucy Geringer</v>
          </cell>
        </row>
        <row r="10128">
          <cell r="C10128" t="str">
            <v>MS FDO Extra Roles [Mark Wadley]</v>
          </cell>
          <cell r="H10128">
            <v>5051790</v>
          </cell>
          <cell r="AK10128" t="str">
            <v>Erik Johnson</v>
          </cell>
        </row>
        <row r="10129">
          <cell r="C10129" t="str">
            <v>CGW Client Reporting Expansion</v>
          </cell>
          <cell r="H10129">
            <v>5051833</v>
          </cell>
          <cell r="AK10129" t="str">
            <v>Danielle Theroux</v>
          </cell>
        </row>
        <row r="10130">
          <cell r="C10130" t="str">
            <v>USB_RMS Quad Squad Execution</v>
          </cell>
          <cell r="H10130">
            <v>5052936</v>
          </cell>
          <cell r="AK10130" t="str">
            <v>Samuel Awsumb</v>
          </cell>
        </row>
        <row r="10131">
          <cell r="C10131" t="str">
            <v>Strive Wealth Management - SOP creation</v>
          </cell>
          <cell r="H10131">
            <v>5053473</v>
          </cell>
          <cell r="AK10131" t="str">
            <v>Matthew Berkowitz</v>
          </cell>
        </row>
        <row r="10132">
          <cell r="C10132" t="str">
            <v>Cyber Requirements &amp; Security Logging</v>
          </cell>
          <cell r="H10132">
            <v>5052346</v>
          </cell>
          <cell r="AK10132" t="str">
            <v>Kalkidan Tedla</v>
          </cell>
        </row>
        <row r="10133">
          <cell r="C10133" t="str">
            <v>CMA Channel Islands 11.4.2024 Cohort</v>
          </cell>
          <cell r="H10133">
            <v>5053455</v>
          </cell>
          <cell r="AK10133" t="str">
            <v>Brett Knickle</v>
          </cell>
        </row>
        <row r="10134">
          <cell r="C10134" t="str">
            <v>FCB PM Tools Update</v>
          </cell>
          <cell r="H10134">
            <v>5053495</v>
          </cell>
          <cell r="AK10134" t="str">
            <v>Susan Stevenson</v>
          </cell>
        </row>
        <row r="10135">
          <cell r="C10135" t="str">
            <v>Modern Bank BSA Prime Implementation</v>
          </cell>
          <cell r="H10135">
            <v>5053466</v>
          </cell>
          <cell r="AK10135" t="str">
            <v>Mariana Dumanovsky</v>
          </cell>
        </row>
        <row r="10136">
          <cell r="C10136" t="str">
            <v>Popular Bank - Mi Banco 4.0 Compliance Analyst Extension</v>
          </cell>
          <cell r="H10136">
            <v>5053161</v>
          </cell>
          <cell r="AK10136" t="str">
            <v>Mike McCarty</v>
          </cell>
        </row>
        <row r="10137">
          <cell r="C10137" t="str">
            <v>Stifel Bank and Trust MQC</v>
          </cell>
          <cell r="H10137">
            <v>5054246</v>
          </cell>
          <cell r="AK10137" t="str">
            <v>Christian Maier</v>
          </cell>
        </row>
        <row r="10138">
          <cell r="C10138" t="str">
            <v>Pru - USB - GI Claims Management Project</v>
          </cell>
          <cell r="H10138">
            <v>5053462</v>
          </cell>
          <cell r="AK10138" t="str">
            <v>Lewis Levenberg</v>
          </cell>
        </row>
        <row r="10139">
          <cell r="C10139" t="str">
            <v>Pru - PGIM - AEM Workstream BA Support</v>
          </cell>
          <cell r="H10139">
            <v>5053500</v>
          </cell>
          <cell r="AK10139" t="str">
            <v>Diego Sarai</v>
          </cell>
        </row>
        <row r="10140">
          <cell r="C10140" t="str">
            <v>Woodsboro Bank MQC</v>
          </cell>
          <cell r="H10140">
            <v>5053693</v>
          </cell>
          <cell r="AK10140" t="str">
            <v>Christian Maier</v>
          </cell>
        </row>
        <row r="10141">
          <cell r="C10141" t="str">
            <v>WF_Card Control Procedure Support Phase 2</v>
          </cell>
          <cell r="H10141">
            <v>5052982</v>
          </cell>
          <cell r="AK10141" t="str">
            <v>Alberto Michelazzi</v>
          </cell>
        </row>
        <row r="10142">
          <cell r="C10142" t="str">
            <v>USB_RMS Quad Squad Execution</v>
          </cell>
          <cell r="H10142">
            <v>5052936</v>
          </cell>
          <cell r="AK10142" t="str">
            <v>Samuel Awsumb</v>
          </cell>
        </row>
        <row r="10143">
          <cell r="C10143" t="str">
            <v>Amendment #9 - CDO DCRM Expansion team extension Nov to Dec (US only)</v>
          </cell>
          <cell r="H10143">
            <v>5053524</v>
          </cell>
          <cell r="AK10143" t="str">
            <v>Ifeoluwa Ajelabi</v>
          </cell>
        </row>
        <row r="10144">
          <cell r="C10144" t="str">
            <v>MS_KYC_FY25 [part 2]</v>
          </cell>
          <cell r="H10144">
            <v>5050706</v>
          </cell>
          <cell r="AK10144" t="str">
            <v>Ruben Sooriya</v>
          </cell>
        </row>
        <row r="10145">
          <cell r="C10145" t="str">
            <v>Blackstone_Onboarding Change Mgmt</v>
          </cell>
          <cell r="H10145">
            <v>5053713</v>
          </cell>
          <cell r="AK10145" t="str">
            <v>Bhavik Domadia</v>
          </cell>
        </row>
        <row r="10146">
          <cell r="C10146" t="str">
            <v>NY DFS 500 Assessment</v>
          </cell>
          <cell r="H10146">
            <v>5053513</v>
          </cell>
          <cell r="AK10146" t="str">
            <v>Boris Mallet</v>
          </cell>
        </row>
        <row r="10147">
          <cell r="C10147" t="str">
            <v>NRT2.0 Expansion</v>
          </cell>
          <cell r="H10147">
            <v>5053025</v>
          </cell>
          <cell r="AK10147" t="str">
            <v>Shiv Kumar Raghuwanshi</v>
          </cell>
        </row>
        <row r="10148">
          <cell r="C10148" t="str">
            <v>Truist_SOW #24 Fraud Transformation PMO</v>
          </cell>
          <cell r="H10148">
            <v>5053639</v>
          </cell>
          <cell r="AK10148" t="str">
            <v>Kaitlin Cohen</v>
          </cell>
        </row>
        <row r="10149">
          <cell r="C10149" t="str">
            <v>FCB_LendX_Product Designer Extension</v>
          </cell>
          <cell r="H10149">
            <v>5051504</v>
          </cell>
          <cell r="AK10149" t="str">
            <v>Louisa Butler</v>
          </cell>
        </row>
        <row r="10150">
          <cell r="C10150" t="str">
            <v>Extension Vuln Mgt</v>
          </cell>
          <cell r="H10150">
            <v>5049370</v>
          </cell>
          <cell r="AK10150" t="str">
            <v>Boris Mallet</v>
          </cell>
        </row>
        <row r="10151">
          <cell r="C10151" t="str">
            <v>GLIC - CX MDM Initial Program Mgmt</v>
          </cell>
          <cell r="H10151">
            <v>5051484</v>
          </cell>
          <cell r="AK10151" t="str">
            <v>Michelle Rosen</v>
          </cell>
        </row>
        <row r="10152">
          <cell r="C10152" t="str">
            <v>Pru - PII - Technology Acceleration Strategy</v>
          </cell>
          <cell r="H10152">
            <v>5053880</v>
          </cell>
          <cell r="AK10152" t="str">
            <v>Tedd Patel</v>
          </cell>
        </row>
        <row r="10153">
          <cell r="C10153" t="str">
            <v>Risk Mgmt COO Support</v>
          </cell>
          <cell r="H10153">
            <v>5053509</v>
          </cell>
          <cell r="AK10153" t="str">
            <v>Matthew Rodgers</v>
          </cell>
        </row>
        <row r="10154">
          <cell r="C10154" t="str">
            <v>Peoples Bank Auto decisioning governance documentation</v>
          </cell>
          <cell r="H10154">
            <v>5053391</v>
          </cell>
          <cell r="AK10154" t="str">
            <v>Susan Stevenson</v>
          </cell>
        </row>
        <row r="10155">
          <cell r="C10155" t="str">
            <v>Jefferies JDOE QA Engineers</v>
          </cell>
          <cell r="H10155">
            <v>5053548</v>
          </cell>
          <cell r="AK10155" t="str">
            <v>John McCaffrey</v>
          </cell>
        </row>
        <row r="10156">
          <cell r="C10156" t="str">
            <v>Truist SOW #25_CIB Regulatory Reporting</v>
          </cell>
          <cell r="H10156">
            <v>5053607</v>
          </cell>
          <cell r="AK10156" t="str">
            <v>Jori Heikkinen</v>
          </cell>
        </row>
        <row r="10157">
          <cell r="C10157" t="str">
            <v>Board of Directors Training</v>
          </cell>
          <cell r="H10157">
            <v>5053486</v>
          </cell>
          <cell r="AK10157" t="str">
            <v>Diane Banks</v>
          </cell>
        </row>
        <row r="10158">
          <cell r="C10158" t="str">
            <v>CC Capital - TCV Reduction</v>
          </cell>
          <cell r="H10158">
            <v>5053340</v>
          </cell>
          <cell r="AK10158" t="str">
            <v>Randy Love</v>
          </cell>
        </row>
        <row r="10159">
          <cell r="C10159" t="str">
            <v>USB Shared Services Strategic Support</v>
          </cell>
          <cell r="H10159">
            <v>5053608</v>
          </cell>
          <cell r="AK10159" t="str">
            <v>Ervinas Janavicius</v>
          </cell>
        </row>
        <row r="10160">
          <cell r="C10160" t="str">
            <v>CDT Program Forensics Team</v>
          </cell>
          <cell r="H10160">
            <v>5051994</v>
          </cell>
          <cell r="AK10160" t="str">
            <v>Jeffrey Diaz Vega</v>
          </cell>
        </row>
        <row r="10161">
          <cell r="C10161" t="str">
            <v>Truist_SOW #23_Reg CC &amp; FDIC 370 PMs</v>
          </cell>
          <cell r="H10161">
            <v>5053606</v>
          </cell>
          <cell r="AK10161" t="str">
            <v>Jori Heikkinen</v>
          </cell>
        </row>
        <row r="10162">
          <cell r="C10162" t="str">
            <v>Natixis_TPRM Concentration Risk</v>
          </cell>
          <cell r="H10162">
            <v>5053631</v>
          </cell>
          <cell r="AK10162" t="str">
            <v>Dan Schutzman</v>
          </cell>
        </row>
        <row r="10163">
          <cell r="C10163" t="str">
            <v>EO&amp;T SA Roles Ext</v>
          </cell>
          <cell r="H10163">
            <v>5052346</v>
          </cell>
          <cell r="AK10163" t="str">
            <v>Kalkidan Tedla</v>
          </cell>
        </row>
        <row r="10164">
          <cell r="C10164" t="str">
            <v>RegIM PM Support Extension</v>
          </cell>
          <cell r="H10164">
            <v>5053571</v>
          </cell>
          <cell r="AK10164" t="str">
            <v>Julia Simmons</v>
          </cell>
        </row>
        <row r="10165">
          <cell r="C10165" t="str">
            <v>FINRA Exam_Support H1 2025</v>
          </cell>
          <cell r="H10165">
            <v>5050888</v>
          </cell>
          <cell r="AK10165" t="str">
            <v>Danny Li</v>
          </cell>
        </row>
        <row r="10166">
          <cell r="C10166" t="str">
            <v>Truist_SOW#21 Cyber Risk Assessment Execution</v>
          </cell>
          <cell r="H10166">
            <v>5053731</v>
          </cell>
          <cell r="AK10166" t="str">
            <v>Christopher Tecchio</v>
          </cell>
        </row>
        <row r="10167">
          <cell r="C10167" t="str">
            <v>US Bank - Money Movement PO and Scrum Master Roles Ext1</v>
          </cell>
          <cell r="H10167">
            <v>5051106</v>
          </cell>
          <cell r="AK10167" t="str">
            <v>Samuel Awsumb</v>
          </cell>
        </row>
        <row r="10168">
          <cell r="C10168" t="str">
            <v>MS_FDO_MS Map to CDRR {Quick Bid}</v>
          </cell>
          <cell r="H10168">
            <v>5053833</v>
          </cell>
          <cell r="AK10168" t="str">
            <v>Erik Johnson</v>
          </cell>
        </row>
        <row r="10169">
          <cell r="C10169" t="str">
            <v>Negative - Computershare - Service First Employee Experience SME</v>
          </cell>
          <cell r="H10169">
            <v>5052577</v>
          </cell>
          <cell r="AK10169" t="str">
            <v>Louisa Butler</v>
          </cell>
        </row>
        <row r="10170">
          <cell r="C10170" t="str">
            <v>Negative Sales - Computershare - Shareholder Remediation Extension (Customer First)</v>
          </cell>
          <cell r="H10170">
            <v>5052228</v>
          </cell>
          <cell r="AK10170" t="str">
            <v>Louisa Butler</v>
          </cell>
        </row>
        <row r="10171">
          <cell r="C10171" t="str">
            <v>Negative - Voyager Discoverability Product Owner</v>
          </cell>
          <cell r="H10171">
            <v>5052230</v>
          </cell>
          <cell r="AK10171" t="str">
            <v>Louisa Butler</v>
          </cell>
        </row>
        <row r="10172">
          <cell r="C10172" t="str">
            <v>Negative - Pru - USB - ILI Acquisition Platform - Business Capabilities Ph 2</v>
          </cell>
          <cell r="H10172">
            <v>5053120</v>
          </cell>
          <cell r="AK10172" t="str">
            <v>Tedd Patel</v>
          </cell>
        </row>
        <row r="10173">
          <cell r="C10173" t="str">
            <v>Negative - Discoverability Product Owner Extension</v>
          </cell>
          <cell r="H10173">
            <v>5052600</v>
          </cell>
          <cell r="AK10173" t="str">
            <v>Aoife Hogan</v>
          </cell>
        </row>
        <row r="10174">
          <cell r="C10174" t="str">
            <v>Negative - Voyager - Operations Value Stream Capacity Extension</v>
          </cell>
          <cell r="H10174">
            <v>5052618</v>
          </cell>
          <cell r="AK10174" t="str">
            <v>Aoife Hogan</v>
          </cell>
        </row>
        <row r="10175">
          <cell r="C10175" t="str">
            <v>MS_TPPM Business_FY25 [Part 3]</v>
          </cell>
          <cell r="H10175">
            <v>5051792</v>
          </cell>
          <cell r="AK10175" t="str">
            <v>Dan Schutzman</v>
          </cell>
        </row>
        <row r="10176">
          <cell r="C10176" t="str">
            <v>Farmers and Merchants Bank MD MQC</v>
          </cell>
          <cell r="H10176">
            <v>5053946</v>
          </cell>
          <cell r="AK10176" t="str">
            <v>Christian Maier</v>
          </cell>
        </row>
        <row r="10177">
          <cell r="C10177" t="str">
            <v>Battle Bank System Integration Extension- Phase 14</v>
          </cell>
          <cell r="H10177">
            <v>5050428</v>
          </cell>
          <cell r="AK10177" t="str">
            <v>James Kane</v>
          </cell>
        </row>
        <row r="10178">
          <cell r="C10178" t="str">
            <v>Putnam 1st Mercantile Bank_RAS_2024</v>
          </cell>
          <cell r="H10178">
            <v>5039709</v>
          </cell>
          <cell r="AK10178" t="str">
            <v>Diane Banks</v>
          </cell>
        </row>
        <row r="10179">
          <cell r="C10179" t="str">
            <v>First Com Bank Moultrie Co_RAS_2024</v>
          </cell>
          <cell r="H10179">
            <v>5039639</v>
          </cell>
          <cell r="AK10179" t="str">
            <v>Diane Banks</v>
          </cell>
        </row>
        <row r="10180">
          <cell r="C10180" t="str">
            <v>Merchants Bank of Indiana_RAS_2024- Duplicate</v>
          </cell>
          <cell r="H10180">
            <v>5039686</v>
          </cell>
          <cell r="AK10180" t="str">
            <v>Diane Banks</v>
          </cell>
        </row>
        <row r="10181">
          <cell r="C10181" t="str">
            <v>Altamaha Bank &amp; Trust Comp_RAS</v>
          </cell>
          <cell r="H10181">
            <v>5039580</v>
          </cell>
          <cell r="AK10181" t="str">
            <v>Rebecca Breland</v>
          </cell>
        </row>
        <row r="10182">
          <cell r="C10182" t="str">
            <v>Central Bank &amp; Trust Co _RAS_2024</v>
          </cell>
          <cell r="H10182">
            <v>5039605</v>
          </cell>
          <cell r="AK10182" t="str">
            <v>Diane Banks</v>
          </cell>
        </row>
        <row r="10183">
          <cell r="C10183" t="str">
            <v>SEIU_CLC EA Project Support Ph15</v>
          </cell>
          <cell r="H10183">
            <v>5041705</v>
          </cell>
          <cell r="AK10183" t="str">
            <v>Eric Fairchild</v>
          </cell>
        </row>
        <row r="10184">
          <cell r="C10184" t="str">
            <v>Bank of Old Monroe_RAS_2024</v>
          </cell>
          <cell r="H10184">
            <v>5040111</v>
          </cell>
          <cell r="AK10184" t="str">
            <v>Diane Banks</v>
          </cell>
        </row>
        <row r="10185">
          <cell r="C10185" t="str">
            <v>Vermont SB_Earnings Assessment_2024</v>
          </cell>
          <cell r="H10185">
            <v>5050477</v>
          </cell>
          <cell r="AK10185" t="str">
            <v>David Stalnaker</v>
          </cell>
        </row>
        <row r="10186">
          <cell r="C10186" t="str">
            <v>IDB Bank CMS_2024</v>
          </cell>
          <cell r="H10186">
            <v>5041767</v>
          </cell>
          <cell r="AK10186" t="str">
            <v>Louvera Walden</v>
          </cell>
        </row>
        <row r="10187">
          <cell r="C10187" t="str">
            <v>EnterpriseB&amp;T_Fair Lending Aud</v>
          </cell>
          <cell r="H10187">
            <v>5050692</v>
          </cell>
          <cell r="AK10187" t="str">
            <v>Anjel Bonner</v>
          </cell>
        </row>
        <row r="10188">
          <cell r="C10188" t="str">
            <v>Somerset Trust Company_RAS_2024</v>
          </cell>
          <cell r="H10188">
            <v>5039550</v>
          </cell>
          <cell r="AK10188" t="str">
            <v>Diane Banks</v>
          </cell>
        </row>
        <row r="10189">
          <cell r="C10189" t="str">
            <v>Gorham Savings Bank_RAS_2024</v>
          </cell>
          <cell r="H10189">
            <v>5039507</v>
          </cell>
          <cell r="AK10189" t="str">
            <v>Diane Banks</v>
          </cell>
        </row>
        <row r="10190">
          <cell r="C10190" t="str">
            <v>Plumas Bank_RAS_2024</v>
          </cell>
          <cell r="H10190">
            <v>5039704</v>
          </cell>
          <cell r="AK10190" t="str">
            <v>Diane Banks</v>
          </cell>
        </row>
        <row r="10191">
          <cell r="C10191" t="str">
            <v>Jeff-RTP Agile Program Management</v>
          </cell>
          <cell r="H10191">
            <v>5053777</v>
          </cell>
          <cell r="AK10191" t="str">
            <v>Michael Rappaport</v>
          </cell>
        </row>
        <row r="10192">
          <cell r="C10192" t="str">
            <v>Popular Inc - Lending Compliance Support</v>
          </cell>
          <cell r="H10192">
            <v>5054091</v>
          </cell>
          <cell r="AK10192" t="str">
            <v>Eugene Collett</v>
          </cell>
        </row>
        <row r="10193">
          <cell r="C10193" t="str">
            <v>Timberline Bank_RAS_2024</v>
          </cell>
          <cell r="H10193">
            <v>5039733</v>
          </cell>
          <cell r="AK10193" t="str">
            <v>Rebecca Breland</v>
          </cell>
        </row>
        <row r="10194">
          <cell r="C10194" t="str">
            <v>Rockland FCU Internal Audits</v>
          </cell>
          <cell r="H10194">
            <v>5053527</v>
          </cell>
          <cell r="AK10194" t="str">
            <v>Mary Louise Radley</v>
          </cell>
        </row>
        <row r="10195">
          <cell r="C10195" t="str">
            <v>USNY_RECURRING ICBC CMS</v>
          </cell>
          <cell r="H10195">
            <v>5054050</v>
          </cell>
          <cell r="AK10195" t="str">
            <v>David Belfer</v>
          </cell>
        </row>
        <row r="10196">
          <cell r="C10196" t="str">
            <v>Jefferies JCREW RTB  Support</v>
          </cell>
          <cell r="H10196">
            <v>5053749</v>
          </cell>
          <cell r="AK10196" t="str">
            <v>John McCaffrey</v>
          </cell>
        </row>
        <row r="10197">
          <cell r="C10197" t="str">
            <v>IDB Bank CMS_2025</v>
          </cell>
          <cell r="H10197">
            <v>5053801</v>
          </cell>
          <cell r="AK10197" t="str">
            <v>Louvera Walden</v>
          </cell>
        </row>
        <row r="10198">
          <cell r="C10198" t="str">
            <v>Vermont SB_Earnings Assessment_2025</v>
          </cell>
          <cell r="H10198">
            <v>5053803</v>
          </cell>
          <cell r="AK10198" t="str">
            <v>David Stalnaker</v>
          </cell>
        </row>
        <row r="10199">
          <cell r="C10199" t="str">
            <v>Town &amp;Country Bank Midwest_RAS_2024</v>
          </cell>
          <cell r="H10199">
            <v>5040925</v>
          </cell>
          <cell r="AK10199" t="str">
            <v>Diane Banks</v>
          </cell>
        </row>
        <row r="10200">
          <cell r="C10200" t="str">
            <v>Jefferies RPA DevOps Support</v>
          </cell>
          <cell r="H10200">
            <v>5053753</v>
          </cell>
          <cell r="AK10200" t="str">
            <v>John McCaffrey</v>
          </cell>
        </row>
        <row r="10201">
          <cell r="C10201" t="str">
            <v>First State Bank &amp; Trust_RAS_2024</v>
          </cell>
          <cell r="H10201">
            <v>5039656</v>
          </cell>
          <cell r="AK10201" t="str">
            <v>Diane Banks</v>
          </cell>
        </row>
        <row r="10202">
          <cell r="C10202" t="str">
            <v>EnterpriseB&amp;T_Fair Lending Aud</v>
          </cell>
          <cell r="H10202">
            <v>5053800</v>
          </cell>
          <cell r="AK10202" t="str">
            <v>Anjel Bonner</v>
          </cell>
        </row>
        <row r="10203">
          <cell r="C10203" t="str">
            <v>Jefferies OTD FI QA</v>
          </cell>
          <cell r="H10203">
            <v>5053741</v>
          </cell>
          <cell r="AK10203" t="str">
            <v>John McCaffrey</v>
          </cell>
        </row>
        <row r="10204">
          <cell r="C10204" t="str">
            <v>Amalgamated Bank_State Data Feed 2025</v>
          </cell>
          <cell r="H10204">
            <v>5056432</v>
          </cell>
          <cell r="AK10204" t="str">
            <v>Leah Robinson</v>
          </cell>
        </row>
        <row r="10205">
          <cell r="C10205" t="str">
            <v>Great Southern National Ba_RAS_2024</v>
          </cell>
          <cell r="H10205">
            <v>5039668</v>
          </cell>
          <cell r="AK10205" t="str">
            <v>Diane Banks</v>
          </cell>
        </row>
        <row r="10206">
          <cell r="C10206" t="str">
            <v>Commercial Bank_RAS_2024</v>
          </cell>
          <cell r="H10206">
            <v>5039616</v>
          </cell>
          <cell r="AK10206" t="str">
            <v>Diane Banks</v>
          </cell>
        </row>
        <row r="10207">
          <cell r="C10207" t="str">
            <v>Washington Trust Bank_RAS_2024 duplicate</v>
          </cell>
          <cell r="H10207">
            <v>5040147</v>
          </cell>
          <cell r="AK10207" t="str">
            <v>Diane Banks</v>
          </cell>
        </row>
        <row r="10208">
          <cell r="C10208" t="str">
            <v>Talbot State Bank_RAS_2024</v>
          </cell>
          <cell r="H10208">
            <v>5039729</v>
          </cell>
          <cell r="AK10208" t="str">
            <v>Diane Banks</v>
          </cell>
        </row>
        <row r="10209">
          <cell r="C10209" t="str">
            <v>Popular Mortgage Managed Services HMDA &amp; CRA Amnd 1</v>
          </cell>
          <cell r="H10209">
            <v>5053795</v>
          </cell>
          <cell r="AK10209" t="str">
            <v>Juan Pimentel</v>
          </cell>
        </row>
        <row r="10210">
          <cell r="C10210" t="str">
            <v>Auburn Bank_RAS_2024</v>
          </cell>
          <cell r="H10210">
            <v>5039587</v>
          </cell>
          <cell r="AK10210" t="str">
            <v>Rebecca Breland</v>
          </cell>
        </row>
        <row r="10211">
          <cell r="C10211" t="str">
            <v>FrMc_SF Data Ops Program</v>
          </cell>
          <cell r="H10211">
            <v>5053679</v>
          </cell>
          <cell r="AK10211" t="str">
            <v>Ambika Kutty</v>
          </cell>
        </row>
        <row r="10212">
          <cell r="C10212" t="str">
            <v>Merchants Bank of Indiana - RAS</v>
          </cell>
          <cell r="H10212">
            <v>5039686</v>
          </cell>
          <cell r="AK10212" t="str">
            <v>Diane Banks</v>
          </cell>
        </row>
        <row r="10213">
          <cell r="C10213" t="str">
            <v>Washington Trust Bank_RAS 2024 - 2026</v>
          </cell>
          <cell r="H10213">
            <v>5040147</v>
          </cell>
          <cell r="AK10213" t="str">
            <v>Diane Banks</v>
          </cell>
        </row>
        <row r="10214">
          <cell r="C10214" t="str">
            <v>Bank of Commerce_RAS_2024</v>
          </cell>
          <cell r="H10214">
            <v>5039589</v>
          </cell>
          <cell r="AK10214" t="str">
            <v>Diane Banks</v>
          </cell>
        </row>
        <row r="10215">
          <cell r="C10215" t="str">
            <v>Campbell &amp; Fetter Bank_RAS_2024</v>
          </cell>
          <cell r="H10215">
            <v>5040174</v>
          </cell>
          <cell r="AK10215" t="str">
            <v>Diane Banks</v>
          </cell>
        </row>
        <row r="10216">
          <cell r="C10216" t="str">
            <v>Freedom Credit Union MQC</v>
          </cell>
          <cell r="H10216">
            <v>5053945</v>
          </cell>
          <cell r="AK10216" t="str">
            <v>Christian Maier</v>
          </cell>
        </row>
        <row r="10217">
          <cell r="C10217" t="str">
            <v>AB - Insurance Marketing Strategy</v>
          </cell>
          <cell r="H10217">
            <v>5053768</v>
          </cell>
          <cell r="AK10217" t="str">
            <v>Allison Duffee</v>
          </cell>
        </row>
        <row r="10218">
          <cell r="C10218" t="str">
            <v>Cetera AI Studio Extension</v>
          </cell>
          <cell r="H10218">
            <v>5053032</v>
          </cell>
          <cell r="AK10218" t="str">
            <v>Noah Brooks</v>
          </cell>
        </row>
        <row r="10219">
          <cell r="C10219" t="str">
            <v>Jeff_ION Developer FY25 H1</v>
          </cell>
          <cell r="H10219">
            <v>5053758</v>
          </cell>
          <cell r="AK10219" t="str">
            <v>Nikin Karunakaran Nambiar</v>
          </cell>
        </row>
        <row r="10220">
          <cell r="C10220" t="str">
            <v>FrMc_MF SA Ext</v>
          </cell>
          <cell r="H10220">
            <v>5052346</v>
          </cell>
          <cell r="AK10220" t="str">
            <v>Kalkidan Tedla</v>
          </cell>
        </row>
        <row r="10221">
          <cell r="C10221" t="str">
            <v>Jefferies - Compliance PM [FY25-1H]</v>
          </cell>
          <cell r="H10221">
            <v>5050862</v>
          </cell>
          <cell r="AK10221" t="str">
            <v>Imran Parekh</v>
          </cell>
        </row>
        <row r="10222">
          <cell r="C10222" t="str">
            <v>CC Capital - 3CLife - Phase 4</v>
          </cell>
          <cell r="H10222">
            <v>5053732</v>
          </cell>
          <cell r="AK10222" t="str">
            <v>Randy Love</v>
          </cell>
        </row>
        <row r="10223">
          <cell r="C10223" t="str">
            <v>Jefferies IT Problem Management</v>
          </cell>
          <cell r="H10223">
            <v>5053817</v>
          </cell>
          <cell r="AK10223" t="str">
            <v>John McCaffrey</v>
          </cell>
        </row>
        <row r="10224">
          <cell r="C10224" t="str">
            <v>Truist_SOW#17 CO#1 Cyber Security Standards Refresh</v>
          </cell>
          <cell r="H10224">
            <v>5052900</v>
          </cell>
          <cell r="AK10224" t="str">
            <v>Kaitlin Cohen</v>
          </cell>
        </row>
        <row r="10225">
          <cell r="C10225" t="str">
            <v>Jefferies_Managed Service - Adverse News Reviews Extension 3</v>
          </cell>
          <cell r="H10225">
            <v>5052396</v>
          </cell>
          <cell r="AK10225" t="str">
            <v>Samuel Desta</v>
          </cell>
        </row>
        <row r="10226">
          <cell r="C10226" t="str">
            <v>Jefferies Compliance Technical BA H1 2025</v>
          </cell>
          <cell r="H10226">
            <v>5052359</v>
          </cell>
          <cell r="AK10226" t="str">
            <v>Nikin Karunakaran Nambiar</v>
          </cell>
        </row>
        <row r="10227">
          <cell r="C10227" t="str">
            <v>CMA Channel Islands Cohort 1 Change Order 1</v>
          </cell>
          <cell r="H10227">
            <v>5053455</v>
          </cell>
          <cell r="AK10227" t="str">
            <v>Brett Knickle</v>
          </cell>
        </row>
        <row r="10228">
          <cell r="C10228" t="str">
            <v>Customers Bank VDD 24 Extension 2 (RECURRING -AUTO RENEW)</v>
          </cell>
          <cell r="H10228">
            <v>5053371</v>
          </cell>
          <cell r="AK10228" t="str">
            <v>Eugene Collett</v>
          </cell>
        </row>
        <row r="10229">
          <cell r="C10229" t="str">
            <v>Data Applications Review</v>
          </cell>
          <cell r="H10229">
            <v>5044484</v>
          </cell>
          <cell r="AK10229" t="str">
            <v>Rahul Govada</v>
          </cell>
        </row>
        <row r="10230">
          <cell r="C10230" t="str">
            <v>Jefferies_Managed Services - Transaction Monitoring Ext 3</v>
          </cell>
          <cell r="H10230">
            <v>5052378</v>
          </cell>
          <cell r="AK10230" t="str">
            <v>Samuel Desta</v>
          </cell>
        </row>
        <row r="10231">
          <cell r="C10231" t="str">
            <v>CC Capital - Forms Design &amp; Development</v>
          </cell>
          <cell r="H10231">
            <v>5053714</v>
          </cell>
          <cell r="AK10231" t="str">
            <v>Randy Love</v>
          </cell>
        </row>
        <row r="10232">
          <cell r="C10232" t="str">
            <v>Front Office Flow Monitor Lead</v>
          </cell>
          <cell r="H10232">
            <v>5052215</v>
          </cell>
          <cell r="AK10232" t="str">
            <v>Irina Szilagyi</v>
          </cell>
        </row>
        <row r="10233">
          <cell r="C10233" t="str">
            <v>Jefferies Compliance Junior PM</v>
          </cell>
          <cell r="H10233">
            <v>5053818</v>
          </cell>
          <cell r="AK10233" t="str">
            <v>John McCaffrey</v>
          </cell>
        </row>
        <row r="10234">
          <cell r="C10234" t="str">
            <v>Jeff_GEP 2025 H1</v>
          </cell>
          <cell r="H10234">
            <v>5053648</v>
          </cell>
          <cell r="AK10234" t="str">
            <v>Conor Dowling</v>
          </cell>
        </row>
        <row r="10235">
          <cell r="C10235" t="str">
            <v>AB - Global Marketing Strategy</v>
          </cell>
          <cell r="H10235">
            <v>5053770</v>
          </cell>
          <cell r="AK10235" t="str">
            <v>Mark Mountan</v>
          </cell>
        </row>
        <row r="10236">
          <cell r="C10236" t="str">
            <v>77055 - Popular Bank - EOY Ext (Dec-Mar - Compliance) &amp; (Jan-Mar -Cust. Research &amp; Program Mgmt)</v>
          </cell>
          <cell r="H10236">
            <v>5053797</v>
          </cell>
          <cell r="AK10236" t="str">
            <v>Matt Mason</v>
          </cell>
        </row>
        <row r="10237">
          <cell r="C10237" t="str">
            <v>Jeff_Managed Services_Mike Brown Extension #4</v>
          </cell>
          <cell r="H10237">
            <v>5052217</v>
          </cell>
          <cell r="AK10237" t="str">
            <v>Samuel Desta</v>
          </cell>
        </row>
        <row r="10238">
          <cell r="C10238" t="str">
            <v>Jefferies Infra Project Role - Extension Fy25_1H</v>
          </cell>
          <cell r="H10238">
            <v>5050925</v>
          </cell>
          <cell r="AK10238" t="str">
            <v>Imran Parekh</v>
          </cell>
        </row>
        <row r="10239">
          <cell r="C10239" t="str">
            <v>Jeff_GenAI Enablement Lead</v>
          </cell>
          <cell r="H10239">
            <v>5053848</v>
          </cell>
          <cell r="AK10239" t="str">
            <v>Chinmoy Bhatiya</v>
          </cell>
        </row>
        <row r="10240">
          <cell r="C10240" t="str">
            <v>Jeff_ION Support FY'25</v>
          </cell>
          <cell r="H10240">
            <v>5053640</v>
          </cell>
          <cell r="AK10240" t="str">
            <v>Conor Dowling</v>
          </cell>
        </row>
        <row r="10241">
          <cell r="C10241" t="str">
            <v>Jefferies GIS - Thomas F Extension FY25 1H</v>
          </cell>
          <cell r="H10241">
            <v>5050984</v>
          </cell>
          <cell r="AK10241" t="str">
            <v>Imran Parekh</v>
          </cell>
        </row>
        <row r="10242">
          <cell r="C10242" t="str">
            <v>CC Capital - Contact Center / Annuities Operations Managed Services</v>
          </cell>
          <cell r="H10242">
            <v>5053711</v>
          </cell>
          <cell r="AK10242" t="str">
            <v>Randy Love</v>
          </cell>
        </row>
        <row r="10243">
          <cell r="C10243" t="str">
            <v>Jefferies Transcend PM Dec-Jun</v>
          </cell>
          <cell r="H10243">
            <v>5053751</v>
          </cell>
          <cell r="AK10243" t="str">
            <v>Matthew Rodgers</v>
          </cell>
        </row>
        <row r="10244">
          <cell r="C10244" t="str">
            <v>Alight - Program Transformation Leadership - Wipro Synergy</v>
          </cell>
          <cell r="H10244">
            <v>5053680</v>
          </cell>
          <cell r="AK10244" t="str">
            <v>Burt Yeo</v>
          </cell>
        </row>
        <row r="10245">
          <cell r="C10245" t="str">
            <v>Jefferies Swap Dealer Compliance PM extension</v>
          </cell>
          <cell r="H10245">
            <v>5053709</v>
          </cell>
          <cell r="AK10245" t="str">
            <v>Julia Simmons</v>
          </cell>
        </row>
        <row r="10246">
          <cell r="C10246" t="str">
            <v>HNB_Zelle Replatforming Development</v>
          </cell>
          <cell r="H10246">
            <v>5053834</v>
          </cell>
          <cell r="AK10246" t="str">
            <v>Spencer Feuer</v>
          </cell>
        </row>
        <row r="10247">
          <cell r="C10247" t="str">
            <v>Jeff_E-Comms CMDB IT Analyst</v>
          </cell>
          <cell r="H10247">
            <v>5053790</v>
          </cell>
          <cell r="AK10247" t="str">
            <v>Chelsea Mattias</v>
          </cell>
        </row>
        <row r="10248">
          <cell r="C10248" t="str">
            <v>Privacy Office 2.0 TOM &amp; Roadmap</v>
          </cell>
          <cell r="H10248">
            <v>5053668</v>
          </cell>
          <cell r="AK10248" t="str">
            <v>Andy Soodek</v>
          </cell>
        </row>
        <row r="10249">
          <cell r="C10249" t="str">
            <v>WF_Credit Bureau Uplift</v>
          </cell>
          <cell r="H10249">
            <v>5053775</v>
          </cell>
          <cell r="AK10249" t="str">
            <v>Alberto Michelazzi</v>
          </cell>
        </row>
        <row r="10250">
          <cell r="C10250" t="str">
            <v>FINRA - MAP Due Diligence Procedures Support_Nov 2024</v>
          </cell>
          <cell r="H10250">
            <v>5053878</v>
          </cell>
          <cell r="AK10250" t="str">
            <v>Ruby Cherian</v>
          </cell>
        </row>
        <row r="10251">
          <cell r="C10251" t="str">
            <v>Jeff_MVO Resiliency Implementation</v>
          </cell>
          <cell r="H10251">
            <v>5053811</v>
          </cell>
          <cell r="AK10251" t="str">
            <v>Conor Dowling</v>
          </cell>
        </row>
        <row r="10252">
          <cell r="C10252" t="str">
            <v>Strive Wealth Management - SOP creation Pt II</v>
          </cell>
          <cell r="H10252">
            <v>5053473</v>
          </cell>
          <cell r="AK10252" t="str">
            <v>Matthew Berkowitz</v>
          </cell>
        </row>
        <row r="10253">
          <cell r="C10253" t="str">
            <v>Northfield Bank</v>
          </cell>
          <cell r="H10253">
            <v>5054579</v>
          </cell>
          <cell r="AK10253" t="str">
            <v>Leigh Tribou</v>
          </cell>
        </row>
        <row r="10254">
          <cell r="C10254" t="str">
            <v>Pru - GI - Native Design Support for Mobile</v>
          </cell>
          <cell r="H10254">
            <v>5053782</v>
          </cell>
          <cell r="AK10254" t="str">
            <v>Deb Nelis</v>
          </cell>
        </row>
        <row r="10255">
          <cell r="C10255" t="str">
            <v>Unified 2024 Non-CMS Projects extension Q1 2025</v>
          </cell>
          <cell r="H10255">
            <v>5051212</v>
          </cell>
          <cell r="AK10255" t="str">
            <v>Kristina Slattery</v>
          </cell>
        </row>
        <row r="10256">
          <cell r="C10256" t="str">
            <v>Pru - ILI - Distribution Journey Salesforce Dev</v>
          </cell>
          <cell r="H10256">
            <v>5053689</v>
          </cell>
          <cell r="AK10256" t="str">
            <v>Luiz Abdo Junior</v>
          </cell>
        </row>
        <row r="10257">
          <cell r="C10257" t="str">
            <v>Navy Federal CU - KYC Framework Development &amp; Implementation  -Jan-Apr</v>
          </cell>
          <cell r="H10257">
            <v>5053877</v>
          </cell>
          <cell r="AK10257" t="str">
            <v>Daniel Outcalt</v>
          </cell>
        </row>
        <row r="10258">
          <cell r="C10258" t="str">
            <v>Mastercard - IN - Data and Platforms Engineering and Testing</v>
          </cell>
          <cell r="H10258">
            <v>5054153</v>
          </cell>
          <cell r="AK10258" t="str">
            <v>Shiv Kumar Raghuwanshi</v>
          </cell>
        </row>
        <row r="10259">
          <cell r="C10259" t="str">
            <v>Amerant Mortgage</v>
          </cell>
          <cell r="H10259">
            <v>5054082</v>
          </cell>
          <cell r="AK10259" t="str">
            <v>Leigh Tribou</v>
          </cell>
        </row>
        <row r="10260">
          <cell r="C10260" t="str">
            <v>Forms Design and Development Extension</v>
          </cell>
          <cell r="H10260">
            <v>5053714</v>
          </cell>
          <cell r="AK10260" t="str">
            <v>Randy Love</v>
          </cell>
        </row>
        <row r="10261">
          <cell r="C10261" t="str">
            <v>FCB_Implementation PM for ITAM_Extension</v>
          </cell>
          <cell r="H10261">
            <v>5052854</v>
          </cell>
          <cell r="AK10261" t="str">
            <v>Souma Basu</v>
          </cell>
        </row>
        <row r="10262">
          <cell r="C10262" t="str">
            <v>HNB_Debit Card Modernization - Family Banking 2.0</v>
          </cell>
          <cell r="H10262">
            <v>5052698</v>
          </cell>
          <cell r="AK10262" t="str">
            <v>Spencer Feuer</v>
          </cell>
        </row>
        <row r="10263">
          <cell r="C10263" t="str">
            <v>CC Capital - 3CLife - SME Data Engineer(s)</v>
          </cell>
          <cell r="H10263">
            <v>5053922</v>
          </cell>
          <cell r="AK10263" t="str">
            <v>Randy Love</v>
          </cell>
        </row>
        <row r="10264">
          <cell r="C10264" t="str">
            <v>FrMc_Cyber Role (SA)</v>
          </cell>
          <cell r="H10264">
            <v>5052346</v>
          </cell>
          <cell r="AK10264" t="str">
            <v>Kalkidan Tedla</v>
          </cell>
        </row>
        <row r="10265">
          <cell r="C10265" t="str">
            <v>USB_RMS (Tiger Team) Ext MASTER</v>
          </cell>
          <cell r="H10265">
            <v>5052142</v>
          </cell>
          <cell r="AK10265" t="str">
            <v>Samuel Awsumb</v>
          </cell>
        </row>
        <row r="10266">
          <cell r="C10266" t="str">
            <v>Negative_The American National Bank of Texas</v>
          </cell>
          <cell r="H10266">
            <v>5052312</v>
          </cell>
          <cell r="AK10266" t="str">
            <v>Elanna Kooistra</v>
          </cell>
        </row>
        <row r="10267">
          <cell r="C10267" t="str">
            <v>Negative_ MCB - Cloud and Infrastructure Management</v>
          </cell>
          <cell r="H10267">
            <v>5047383</v>
          </cell>
          <cell r="AK10267" t="str">
            <v>Luke Penca</v>
          </cell>
        </row>
        <row r="10268">
          <cell r="C10268" t="str">
            <v>Negative_RECURRING ICBC CMS</v>
          </cell>
          <cell r="H10268">
            <v>5051460</v>
          </cell>
          <cell r="AK10268" t="str">
            <v>David Belfer</v>
          </cell>
        </row>
        <row r="10269">
          <cell r="C10269" t="str">
            <v>Recurring  GRC Content</v>
          </cell>
          <cell r="H10269">
            <v>5054534</v>
          </cell>
          <cell r="AK10269" t="str">
            <v>Gregg Henzel</v>
          </cell>
        </row>
        <row r="10270">
          <cell r="C10270" t="str">
            <v>Customers Bank - Data Feed</v>
          </cell>
          <cell r="H10270">
            <v>5054469</v>
          </cell>
          <cell r="AK10270" t="str">
            <v>Leah Robinson</v>
          </cell>
        </row>
        <row r="10271">
          <cell r="C10271" t="str">
            <v>usny - MCB - Cloud and Infrastructure Management</v>
          </cell>
          <cell r="H10271">
            <v>5054025</v>
          </cell>
          <cell r="AK10271" t="str">
            <v>Luke Penca</v>
          </cell>
        </row>
        <row r="10272">
          <cell r="C10272" t="str">
            <v>Recurring GRC Support Services - Enterprise and Operational Risk Management</v>
          </cell>
          <cell r="H10272">
            <v>5054845</v>
          </cell>
          <cell r="AK10272" t="str">
            <v>Gregg Henzel</v>
          </cell>
        </row>
        <row r="10273">
          <cell r="C10273" t="str">
            <v>Recurring GRC Services</v>
          </cell>
          <cell r="H10273">
            <v>5054846</v>
          </cell>
          <cell r="AK10273" t="str">
            <v>Gregg Henzel</v>
          </cell>
        </row>
        <row r="10274">
          <cell r="C10274" t="str">
            <v>2025 - Mill Cities Communities Investments - Compliance Consulting</v>
          </cell>
          <cell r="H10274">
            <v>5054525</v>
          </cell>
          <cell r="AK10274" t="str">
            <v>Louvera Walden</v>
          </cell>
        </row>
        <row r="10275">
          <cell r="C10275" t="str">
            <v>5039522 - MainStreet Bank_RAS_2025</v>
          </cell>
          <cell r="H10275">
            <v>5039522</v>
          </cell>
          <cell r="AK10275" t="str">
            <v>Diane Banks</v>
          </cell>
        </row>
        <row r="10276">
          <cell r="C10276" t="str">
            <v>Hana Bank USA CMS Support 2025</v>
          </cell>
          <cell r="H10276">
            <v>5054007</v>
          </cell>
          <cell r="AK10276" t="str">
            <v>Mary Louise Radley</v>
          </cell>
        </row>
        <row r="10277">
          <cell r="C10277" t="str">
            <v>Saco &amp; Biddeford Savings I_RAS_2025</v>
          </cell>
          <cell r="H10277">
            <v>5039547</v>
          </cell>
          <cell r="AK10277" t="str">
            <v>Diane Banks</v>
          </cell>
        </row>
        <row r="10278">
          <cell r="C10278" t="str">
            <v>Autorenew Recurring Goldman Trid 2025</v>
          </cell>
          <cell r="H10278">
            <v>5053990</v>
          </cell>
          <cell r="AK10278" t="str">
            <v>Christian Maier</v>
          </cell>
        </row>
        <row r="10279">
          <cell r="C10279" t="str">
            <v>Autorenew Recurring Goldman MQC Orlando 2025</v>
          </cell>
          <cell r="H10279">
            <v>5053966</v>
          </cell>
          <cell r="AK10279" t="str">
            <v>Christian Maier</v>
          </cell>
        </row>
        <row r="10280">
          <cell r="C10280" t="str">
            <v>Recurring_PS Bank CMS 2025</v>
          </cell>
          <cell r="H10280">
            <v>5053781</v>
          </cell>
          <cell r="AK10280" t="str">
            <v>Elizabeth Rozsa</v>
          </cell>
        </row>
        <row r="10281">
          <cell r="C10281" t="str">
            <v>FNBOE Internal Audits 2025 Recurring</v>
          </cell>
          <cell r="H10281">
            <v>5053995</v>
          </cell>
          <cell r="AK10281" t="str">
            <v>Mary Louise Radley</v>
          </cell>
        </row>
        <row r="10282">
          <cell r="C10282" t="str">
            <v>MS_WM Tech Q4 FY25 (Lijo/Reena)</v>
          </cell>
          <cell r="H10282">
            <v>5051802</v>
          </cell>
          <cell r="AK10282" t="str">
            <v>Dan Schutzman</v>
          </cell>
        </row>
        <row r="10283">
          <cell r="C10283" t="str">
            <v>PenFed Disclosure Desk 2025</v>
          </cell>
          <cell r="H10283">
            <v>5053962</v>
          </cell>
          <cell r="AK10283" t="str">
            <v>Thuy Whitaker</v>
          </cell>
        </row>
        <row r="10284">
          <cell r="C10284" t="str">
            <v>RECURRING Cecil Bank CMS 2025</v>
          </cell>
          <cell r="H10284">
            <v>5054242</v>
          </cell>
          <cell r="AK10284" t="str">
            <v>Eugene Collett</v>
          </cell>
        </row>
        <row r="10285">
          <cell r="C10285" t="str">
            <v>Recurring Argent FCU CMSO 2025</v>
          </cell>
          <cell r="H10285">
            <v>5054470</v>
          </cell>
          <cell r="AK10285" t="str">
            <v>Eugene Collett</v>
          </cell>
        </row>
        <row r="10286">
          <cell r="C10286" t="str">
            <v>Main Street Bank_RAS_2025</v>
          </cell>
          <cell r="H10286">
            <v>5039682</v>
          </cell>
          <cell r="AK10286" t="str">
            <v>Diane Banks</v>
          </cell>
        </row>
        <row r="10287">
          <cell r="C10287" t="str">
            <v>RECURRING Savings Bank of Danbury CMS 2025</v>
          </cell>
          <cell r="H10287">
            <v>5054218</v>
          </cell>
          <cell r="AK10287" t="str">
            <v>David Belfer</v>
          </cell>
        </row>
        <row r="10288">
          <cell r="C10288" t="str">
            <v>Flushing Bank_RAS_2025</v>
          </cell>
          <cell r="H10288">
            <v>5039502</v>
          </cell>
          <cell r="AK10288" t="str">
            <v>Diane Banks</v>
          </cell>
        </row>
        <row r="10289">
          <cell r="C10289" t="str">
            <v>MS_WM Business Q4 FY25 [Eden, Leroy, Melissa P]</v>
          </cell>
          <cell r="H10289">
            <v>5051832</v>
          </cell>
          <cell r="AK10289" t="str">
            <v>Dan Schutzman</v>
          </cell>
        </row>
        <row r="10290">
          <cell r="C10290" t="str">
            <v>Rockland FCU Fair Lending Audit</v>
          </cell>
          <cell r="H10290">
            <v>5052862</v>
          </cell>
          <cell r="AK10290" t="str">
            <v>Leigh Tribou</v>
          </cell>
        </row>
        <row r="10291">
          <cell r="C10291" t="str">
            <v>Blue Foundry Bank_RAS_2024</v>
          </cell>
          <cell r="H10291">
            <v>5039453</v>
          </cell>
          <cell r="AK10291" t="str">
            <v>Diane Banks</v>
          </cell>
        </row>
        <row r="10292">
          <cell r="C10292" t="str">
            <v>Avidia Bank_RAS_2025</v>
          </cell>
          <cell r="H10292">
            <v>5039444</v>
          </cell>
          <cell r="AK10292" t="str">
            <v>Diane Banks</v>
          </cell>
        </row>
        <row r="10293">
          <cell r="C10293" t="str">
            <v>First Arkansas Bank &amp; Trus_RAS_2025</v>
          </cell>
          <cell r="H10293">
            <v>5039632</v>
          </cell>
          <cell r="AK10293" t="str">
            <v>Diane Banks</v>
          </cell>
        </row>
        <row r="10294">
          <cell r="C10294" t="str">
            <v>Achieva CU Compliance Audits 2025 Recurring</v>
          </cell>
          <cell r="H10294">
            <v>5054574</v>
          </cell>
          <cell r="AK10294" t="str">
            <v>Eugene Collett</v>
          </cell>
        </row>
        <row r="10295">
          <cell r="C10295" t="str">
            <v>RECURRING Cape Cod Five CMS 2025</v>
          </cell>
          <cell r="H10295">
            <v>5054375</v>
          </cell>
          <cell r="AK10295" t="str">
            <v>Eugene Collett</v>
          </cell>
        </row>
        <row r="10296">
          <cell r="C10296" t="str">
            <v>Sanibel Captiva Community _RAS_2024</v>
          </cell>
          <cell r="H10296">
            <v>5039720</v>
          </cell>
          <cell r="AK10296" t="str">
            <v>Diane Banks</v>
          </cell>
        </row>
        <row r="10297">
          <cell r="C10297" t="str">
            <v>Finxact Battle Bank Implementation Sprint Extension 10 CO#9</v>
          </cell>
          <cell r="H10297">
            <v>5050611</v>
          </cell>
          <cell r="AK10297" t="str">
            <v>James Kane</v>
          </cell>
        </row>
        <row r="10298">
          <cell r="C10298" t="str">
            <v>Pru - ILI - Distribution Journey Tech Delivery 2025 Ext</v>
          </cell>
          <cell r="H10298">
            <v>5053689</v>
          </cell>
          <cell r="AK10298" t="str">
            <v>Luiz Abdo Junior</v>
          </cell>
        </row>
        <row r="10299">
          <cell r="C10299" t="str">
            <v>Santander - Channel Transformation P9 2025</v>
          </cell>
          <cell r="H10299">
            <v>5045590</v>
          </cell>
          <cell r="AK10299" t="str">
            <v>Dana Schwaeber</v>
          </cell>
        </row>
        <row r="10300">
          <cell r="C10300" t="str">
            <v>Anderson Brothers Bank_RAS_2024</v>
          </cell>
          <cell r="H10300">
            <v>5039441</v>
          </cell>
          <cell r="AK10300" t="str">
            <v>Diane Banks</v>
          </cell>
        </row>
        <row r="10301">
          <cell r="C10301" t="str">
            <v>Jeff_Boomerang _Application Services UK Negative Sales</v>
          </cell>
          <cell r="H10301">
            <v>5050908</v>
          </cell>
          <cell r="AK10301" t="str">
            <v>John McCaffrey</v>
          </cell>
        </row>
        <row r="10302">
          <cell r="C10302" t="str">
            <v>GLIC - Project Georgia extension</v>
          </cell>
          <cell r="H10302">
            <v>5051484</v>
          </cell>
          <cell r="AK10302" t="str">
            <v>Michelle Rosen</v>
          </cell>
        </row>
        <row r="10303">
          <cell r="C10303" t="str">
            <v>MS_ISG Operations FY25 Q4</v>
          </cell>
          <cell r="H10303">
            <v>5051855</v>
          </cell>
          <cell r="AK10303" t="str">
            <v>Ruben Sooriya</v>
          </cell>
        </row>
        <row r="10304">
          <cell r="C10304" t="str">
            <v>MS_HR Data BA FY25 Q4</v>
          </cell>
          <cell r="H10304">
            <v>5051805</v>
          </cell>
          <cell r="AK10304" t="str">
            <v>Kshitij Zaveri</v>
          </cell>
        </row>
        <row r="10305">
          <cell r="C10305" t="str">
            <v>CNB Bank Inc _RAS_2025</v>
          </cell>
          <cell r="H10305">
            <v>5039469</v>
          </cell>
          <cell r="AK10305" t="str">
            <v>Diane Banks</v>
          </cell>
        </row>
        <row r="10306">
          <cell r="C10306" t="str">
            <v>MS_WM Tech FY25 Q4 (India)</v>
          </cell>
          <cell r="H10306">
            <v>5051802</v>
          </cell>
          <cell r="AK10306" t="str">
            <v>Dan Schutzman</v>
          </cell>
        </row>
        <row r="10307">
          <cell r="C10307" t="str">
            <v>Bank of Tennessee_RAS_2025</v>
          </cell>
          <cell r="H10307">
            <v>5039592</v>
          </cell>
          <cell r="AK10307" t="str">
            <v>Rebecca Breland</v>
          </cell>
        </row>
        <row r="10308">
          <cell r="C10308" t="str">
            <v>Connecticut Community Bank CMS Support 2025</v>
          </cell>
          <cell r="H10308">
            <v>5053533</v>
          </cell>
          <cell r="AK10308" t="str">
            <v>Mary Louise Radley</v>
          </cell>
        </row>
        <row r="10309">
          <cell r="C10309" t="str">
            <v>RBC Cpt Mkts IT - Extension for Haribabu (one month)</v>
          </cell>
          <cell r="H10309">
            <v>5044766</v>
          </cell>
          <cell r="AK10309" t="str">
            <v>Kirby Pulver</v>
          </cell>
        </row>
        <row r="10310">
          <cell r="C10310" t="str">
            <v>MS KYC Remediation FY25 Q4</v>
          </cell>
          <cell r="H10310">
            <v>5050706</v>
          </cell>
          <cell r="AK10310" t="str">
            <v>Ruben Sooriya</v>
          </cell>
        </row>
        <row r="10311">
          <cell r="C10311" t="str">
            <v>Rosedale Federal S &amp; L Ass_RAS_2025</v>
          </cell>
          <cell r="H10311">
            <v>5039546</v>
          </cell>
          <cell r="AK10311" t="str">
            <v>Diane Banks</v>
          </cell>
        </row>
        <row r="10312">
          <cell r="C10312" t="str">
            <v>Computershare - Service First Strategic Delivery</v>
          </cell>
          <cell r="H10312">
            <v>5054055</v>
          </cell>
          <cell r="AK10312" t="str">
            <v>Louisa Butler</v>
          </cell>
        </row>
        <row r="10313">
          <cell r="C10313" t="str">
            <v>Woodlands Bank_RAS_2025</v>
          </cell>
          <cell r="H10313">
            <v>5039746</v>
          </cell>
          <cell r="AK10313" t="str">
            <v>Diane Banks</v>
          </cell>
        </row>
        <row r="10314">
          <cell r="C10314" t="str">
            <v>Citizens Bank of Eldon_RAS_2025</v>
          </cell>
          <cell r="H10314">
            <v>5039609</v>
          </cell>
          <cell r="AK10314" t="str">
            <v>Diane Banks</v>
          </cell>
        </row>
        <row r="10315">
          <cell r="C10315" t="str">
            <v>Cathay Bank - RAS/Training</v>
          </cell>
          <cell r="H10315">
            <v>5053901</v>
          </cell>
          <cell r="AK10315" t="str">
            <v>Diane Banks</v>
          </cell>
        </row>
        <row r="10316">
          <cell r="C10316" t="str">
            <v>Oak View National Bank - BSA Suspicious Activity Monitoring Analysis</v>
          </cell>
          <cell r="H10316">
            <v>5053467</v>
          </cell>
          <cell r="AK10316" t="str">
            <v>David Stalnaker</v>
          </cell>
        </row>
        <row r="10317">
          <cell r="C10317" t="str">
            <v>PSECU-Compliance Reviews &amp; RAs</v>
          </cell>
          <cell r="H10317">
            <v>5054402</v>
          </cell>
          <cell r="AK10317" t="str">
            <v>Deborah Kent-Cochran</v>
          </cell>
        </row>
        <row r="10318">
          <cell r="C10318" t="str">
            <v>Jeff_CTB Murex 2025 Project Team</v>
          </cell>
          <cell r="H10318">
            <v>5054248</v>
          </cell>
          <cell r="AK10318" t="str">
            <v>Conor Dowling</v>
          </cell>
        </row>
        <row r="10319">
          <cell r="C10319" t="str">
            <v>Peoples Bank NA_RAS_2025</v>
          </cell>
          <cell r="H10319">
            <v>5039703</v>
          </cell>
          <cell r="AK10319" t="str">
            <v>Diane Banks</v>
          </cell>
        </row>
        <row r="10320">
          <cell r="C10320" t="str">
            <v>Natixis - EOL 2025 Extension</v>
          </cell>
          <cell r="H10320">
            <v>5054380</v>
          </cell>
          <cell r="AK10320" t="str">
            <v>Ridha Mesli</v>
          </cell>
        </row>
        <row r="10321">
          <cell r="C10321" t="str">
            <v>Savers Bank-CMS Optimizer 2025 Recurring</v>
          </cell>
          <cell r="H10321">
            <v>5054083</v>
          </cell>
          <cell r="AK10321" t="str">
            <v>Eugene Collett</v>
          </cell>
        </row>
        <row r="10322">
          <cell r="C10322" t="str">
            <v>Hyperion Bank BSA Services</v>
          </cell>
          <cell r="H10322">
            <v>5054381</v>
          </cell>
          <cell r="AK10322" t="str">
            <v>William Sachs</v>
          </cell>
        </row>
        <row r="10323">
          <cell r="C10323" t="str">
            <v>Recurring First Savings and Loan</v>
          </cell>
          <cell r="H10323">
            <v>5053528</v>
          </cell>
          <cell r="AK10323" t="str">
            <v>Diane Banks</v>
          </cell>
        </row>
        <row r="10324">
          <cell r="C10324" t="str">
            <v>Verafin Rationalization and Optimization</v>
          </cell>
          <cell r="H10324">
            <v>5053349</v>
          </cell>
          <cell r="AK10324" t="str">
            <v>William Sachs</v>
          </cell>
        </row>
        <row r="10325">
          <cell r="C10325" t="str">
            <v>ESSA System Review and tuning</v>
          </cell>
          <cell r="H10325">
            <v>5053307</v>
          </cell>
          <cell r="AK10325" t="str">
            <v>William Sachs</v>
          </cell>
        </row>
        <row r="10326">
          <cell r="C10326" t="str">
            <v>USF FCU MQC</v>
          </cell>
          <cell r="H10326">
            <v>5054688</v>
          </cell>
          <cell r="AK10326" t="str">
            <v>Christian Maier</v>
          </cell>
        </row>
        <row r="10327">
          <cell r="C10327" t="str">
            <v>Bank Midwest_RAS_2025</v>
          </cell>
          <cell r="H10327">
            <v>5040105</v>
          </cell>
          <cell r="AK10327" t="str">
            <v>Diane Banks</v>
          </cell>
        </row>
        <row r="10328">
          <cell r="C10328" t="str">
            <v>Santander - PagoNxt 2025</v>
          </cell>
          <cell r="H10328">
            <v>5053760</v>
          </cell>
          <cell r="AK10328" t="str">
            <v>Dana Schwaeber</v>
          </cell>
        </row>
        <row r="10329">
          <cell r="C10329" t="str">
            <v>North Easton Savings Bank_RAS_2025</v>
          </cell>
          <cell r="H10329">
            <v>5039532</v>
          </cell>
          <cell r="AK10329" t="str">
            <v>Diane Banks</v>
          </cell>
        </row>
        <row r="10330">
          <cell r="C10330" t="str">
            <v>SoLo Funds - CMS Audit 2025 Recurring</v>
          </cell>
          <cell r="H10330">
            <v>5054243</v>
          </cell>
          <cell r="AK10330" t="str">
            <v>Mary Louise Radley</v>
          </cell>
        </row>
        <row r="10331">
          <cell r="C10331" t="str">
            <v>Pru - DMN - Distributor Foundational</v>
          </cell>
          <cell r="H10331">
            <v>5053691</v>
          </cell>
          <cell r="AK10331" t="str">
            <v>Vivek Natarajan</v>
          </cell>
        </row>
        <row r="10332">
          <cell r="C10332" t="str">
            <v>Jefferies Risk IT Environment Team H1 2025</v>
          </cell>
          <cell r="H10332">
            <v>5054128</v>
          </cell>
          <cell r="AK10332" t="str">
            <v>John McCaffrey</v>
          </cell>
        </row>
        <row r="10333">
          <cell r="C10333" t="str">
            <v>Recurring Leader Bank CMSO 2025</v>
          </cell>
          <cell r="H10333">
            <v>5053948</v>
          </cell>
          <cell r="AK10333" t="str">
            <v>Eugene Collett</v>
          </cell>
        </row>
        <row r="10334">
          <cell r="C10334" t="str">
            <v>First Bank Richmond MQC</v>
          </cell>
          <cell r="H10334">
            <v>5053944</v>
          </cell>
          <cell r="AK10334" t="str">
            <v>Christian Maier</v>
          </cell>
        </row>
        <row r="10335">
          <cell r="C10335" t="str">
            <v>Rockland Trust MQC</v>
          </cell>
          <cell r="H10335">
            <v>5054341</v>
          </cell>
          <cell r="AK10335" t="str">
            <v>Christian Maier</v>
          </cell>
        </row>
        <row r="10336">
          <cell r="C10336" t="str">
            <v>Ciera Bank_RAS_2025</v>
          </cell>
          <cell r="H10336">
            <v>5039608</v>
          </cell>
          <cell r="AK10336" t="str">
            <v>Diane Banks</v>
          </cell>
        </row>
        <row r="10337">
          <cell r="C10337" t="str">
            <v>Har-Co Maryland FCU_RAS_2025</v>
          </cell>
          <cell r="H10337">
            <v>5039511</v>
          </cell>
          <cell r="AK10337" t="str">
            <v>Diane Banks</v>
          </cell>
        </row>
        <row r="10338">
          <cell r="C10338" t="str">
            <v>CCB Compliance Officer Support 2025</v>
          </cell>
          <cell r="H10338">
            <v>5053670</v>
          </cell>
          <cell r="AK10338" t="str">
            <v>Mary Louise Radley</v>
          </cell>
        </row>
        <row r="10339">
          <cell r="C10339" t="str">
            <v>SF Underwriting Test Automation</v>
          </cell>
          <cell r="H10339">
            <v>5053923</v>
          </cell>
          <cell r="AK10339" t="str">
            <v>Varun Putchala</v>
          </cell>
        </row>
        <row r="10340">
          <cell r="C10340" t="str">
            <v>MECU 2024 HMDA Scrub</v>
          </cell>
          <cell r="H10340">
            <v>5054212</v>
          </cell>
          <cell r="AK10340" t="str">
            <v>W. Annette Dredden</v>
          </cell>
        </row>
        <row r="10341">
          <cell r="C10341" t="str">
            <v>RECURRING The Dime Bank HMDA Reviews</v>
          </cell>
          <cell r="H10341">
            <v>5054403</v>
          </cell>
          <cell r="AK10341" t="str">
            <v>Louvera Walden</v>
          </cell>
        </row>
        <row r="10342">
          <cell r="C10342" t="str">
            <v>First Northern Bank and Tr_RAS_2025</v>
          </cell>
          <cell r="H10342">
            <v>5039497</v>
          </cell>
          <cell r="AK10342" t="str">
            <v>Diane Banks</v>
          </cell>
        </row>
        <row r="10343">
          <cell r="C10343" t="str">
            <v>Absecon CMS (Recurring)</v>
          </cell>
          <cell r="H10343">
            <v>5054549</v>
          </cell>
          <cell r="AK10343" t="str">
            <v>Elizabeth Rozsa</v>
          </cell>
        </row>
        <row r="10344">
          <cell r="C10344" t="str">
            <v>Pru - CTO - IDeX Team</v>
          </cell>
          <cell r="H10344">
            <v>5054131</v>
          </cell>
          <cell r="AK10344" t="str">
            <v>Bharath Chikkamaranahalli Bhaskar</v>
          </cell>
        </row>
        <row r="10345">
          <cell r="C10345" t="str">
            <v>Alliance Financial Service_RAS_2025</v>
          </cell>
          <cell r="H10345">
            <v>5039579</v>
          </cell>
          <cell r="AK10345" t="str">
            <v>Diane Banks</v>
          </cell>
        </row>
        <row r="10346">
          <cell r="C10346" t="str">
            <v>usny - Vermont SB-BSA Program Support</v>
          </cell>
          <cell r="H10346">
            <v>5054116</v>
          </cell>
          <cell r="AK10346" t="str">
            <v>David Stalnaker</v>
          </cell>
        </row>
        <row r="10347">
          <cell r="C10347" t="str">
            <v>Jan25 - The American National Bank of Texas</v>
          </cell>
          <cell r="H10347">
            <v>5054137</v>
          </cell>
          <cell r="AK10347" t="str">
            <v>Elanna Kooistra</v>
          </cell>
        </row>
        <row r="10348">
          <cell r="C10348" t="str">
            <v>MS_MSIM FY25 Q4</v>
          </cell>
          <cell r="H10348">
            <v>5051791</v>
          </cell>
          <cell r="AK10348" t="str">
            <v>Dan Schutzman</v>
          </cell>
        </row>
        <row r="10349">
          <cell r="C10349" t="str">
            <v>Halstead Bank_RAS_2024</v>
          </cell>
          <cell r="H10349">
            <v>5039669</v>
          </cell>
          <cell r="AK10349" t="str">
            <v>Diane Banks</v>
          </cell>
        </row>
        <row r="10350">
          <cell r="C10350" t="str">
            <v>2025 Extension - Vermont State Bank Earnings Assessment</v>
          </cell>
          <cell r="H10350">
            <v>5054165</v>
          </cell>
          <cell r="AK10350" t="str">
            <v>David Stalnaker</v>
          </cell>
        </row>
        <row r="10351">
          <cell r="C10351" t="str">
            <v>Jan25 - Cape Cod Five CMS 2024</v>
          </cell>
          <cell r="H10351">
            <v>5054216</v>
          </cell>
          <cell r="AK10351" t="str">
            <v>Lawana Clark</v>
          </cell>
        </row>
        <row r="10352">
          <cell r="C10352" t="str">
            <v>MS_WM Operations FY25 Q4</v>
          </cell>
          <cell r="H10352">
            <v>5051870</v>
          </cell>
          <cell r="AK10352" t="str">
            <v>Ruben Sooriya</v>
          </cell>
        </row>
        <row r="10353">
          <cell r="C10353" t="str">
            <v>ESB Addendum to Resi Impl. Project # 5046120</v>
          </cell>
          <cell r="H10353">
            <v>5054305</v>
          </cell>
          <cell r="AK10353" t="str">
            <v>Mariana Dumanovsky</v>
          </cell>
        </row>
        <row r="10354">
          <cell r="C10354" t="str">
            <v>Pru - ILI - Distribution Journey BA Support</v>
          </cell>
          <cell r="H10354">
            <v>5053689</v>
          </cell>
          <cell r="AK10354" t="str">
            <v>Luiz Abdo Junior</v>
          </cell>
        </row>
        <row r="10355">
          <cell r="C10355" t="str">
            <v>Community Bank of Parkersb_RAS_2024</v>
          </cell>
          <cell r="H10355">
            <v>5039471</v>
          </cell>
          <cell r="AK10355" t="str">
            <v>Diane Banks</v>
          </cell>
        </row>
        <row r="10356">
          <cell r="C10356" t="str">
            <v>Pru - GI - Mobile App - Lead and UX Extension</v>
          </cell>
          <cell r="H10356">
            <v>5052841</v>
          </cell>
          <cell r="AK10356" t="str">
            <v>Deb Nelis</v>
          </cell>
        </row>
        <row r="10357">
          <cell r="C10357" t="str">
            <v>First Financial Bankshares_RAS_2025</v>
          </cell>
          <cell r="H10357">
            <v>5039642</v>
          </cell>
          <cell r="AK10357" t="str">
            <v>Diane Banks</v>
          </cell>
        </row>
        <row r="10358">
          <cell r="C10358" t="str">
            <v>Vermont SB_BSA Program Support_2024</v>
          </cell>
          <cell r="H10358">
            <v>5050354</v>
          </cell>
          <cell r="AK10358" t="str">
            <v>David Stalnaker</v>
          </cell>
        </row>
        <row r="10359">
          <cell r="C10359" t="str">
            <v>American Business Bank_RAS_2025</v>
          </cell>
          <cell r="H10359">
            <v>5039583</v>
          </cell>
          <cell r="AK10359" t="str">
            <v>Diane Banks</v>
          </cell>
        </row>
        <row r="10360">
          <cell r="C10360" t="str">
            <v>Jeff_PS Production Service Boomerang UK Negative Plug</v>
          </cell>
          <cell r="H10360">
            <v>5050886</v>
          </cell>
          <cell r="AK10360" t="str">
            <v>John McCaffrey</v>
          </cell>
        </row>
        <row r="10361">
          <cell r="C10361" t="str">
            <v>First State Bank of Beeche_RAS_2025</v>
          </cell>
          <cell r="H10361">
            <v>5039657</v>
          </cell>
          <cell r="AK10361" t="str">
            <v>Diane Banks</v>
          </cell>
        </row>
        <row r="10362">
          <cell r="C10362" t="str">
            <v>FrMc_Enterprise ILM 2025 Ext</v>
          </cell>
          <cell r="H10362">
            <v>5046317</v>
          </cell>
          <cell r="AK10362" t="str">
            <v>Kalkidan Tedla</v>
          </cell>
        </row>
        <row r="10363">
          <cell r="C10363" t="str">
            <v>1st Trust Bank_RAS_2025</v>
          </cell>
          <cell r="H10363">
            <v>5039574</v>
          </cell>
          <cell r="AK10363" t="str">
            <v>Diane Banks</v>
          </cell>
        </row>
        <row r="10364">
          <cell r="C10364" t="str">
            <v>New Peoples Bank Inc _RAS_2025</v>
          </cell>
          <cell r="H10364">
            <v>5039692</v>
          </cell>
          <cell r="AK10364" t="str">
            <v>Diane Banks</v>
          </cell>
        </row>
        <row r="10365">
          <cell r="C10365" t="str">
            <v>First National Bank in Sio_RAS_2025</v>
          </cell>
          <cell r="H10365">
            <v>5039495</v>
          </cell>
          <cell r="AK10365" t="str">
            <v>Diane Banks</v>
          </cell>
        </row>
        <row r="10366">
          <cell r="C10366" t="str">
            <v>The First National Bank of_RAS_2025</v>
          </cell>
          <cell r="H10366">
            <v>5039561</v>
          </cell>
          <cell r="AK10366" t="str">
            <v>Diane Banks</v>
          </cell>
        </row>
        <row r="10367">
          <cell r="C10367" t="str">
            <v>FNB of Nokomis_RAS_2025</v>
          </cell>
          <cell r="H10367">
            <v>5040126</v>
          </cell>
          <cell r="AK10367" t="str">
            <v>Diane Banks</v>
          </cell>
        </row>
        <row r="10368">
          <cell r="C10368" t="str">
            <v>FrMc_ILM 2025 Ext (MF)</v>
          </cell>
          <cell r="H10368">
            <v>5053829</v>
          </cell>
          <cell r="AK10368" t="str">
            <v>Rishi Sanghavi</v>
          </cell>
        </row>
        <row r="10369">
          <cell r="C10369" t="str">
            <v>HNB_CY 2025 Wealth and Lending IT Support Extension</v>
          </cell>
          <cell r="H10369">
            <v>5054182</v>
          </cell>
          <cell r="AK10369" t="str">
            <v>Harshita Balaga</v>
          </cell>
        </row>
        <row r="10370">
          <cell r="C10370" t="str">
            <v>CB Bank Yellow Hammer Validation/Tuning</v>
          </cell>
          <cell r="H10370">
            <v>5053989</v>
          </cell>
          <cell r="AK10370" t="str">
            <v>William Sachs</v>
          </cell>
        </row>
        <row r="10371">
          <cell r="C10371" t="str">
            <v>Investors Trust Fiduciary &amp; AML Audits 2025</v>
          </cell>
          <cell r="H10371">
            <v>5053622</v>
          </cell>
          <cell r="AK10371" t="str">
            <v>Mary Louise Radley</v>
          </cell>
        </row>
        <row r="10372">
          <cell r="C10372" t="str">
            <v>Computershare Voyager Strategic Delivery Digitizing Journeys Jan 25 to Mar 25</v>
          </cell>
          <cell r="H10372">
            <v>5054053</v>
          </cell>
          <cell r="AK10372" t="str">
            <v>Aoife Hogan</v>
          </cell>
        </row>
        <row r="10373">
          <cell r="C10373" t="str">
            <v>Oncourse_IT PM Support Expansion Extension</v>
          </cell>
          <cell r="H10373">
            <v>5054115</v>
          </cell>
          <cell r="AK10373" t="str">
            <v>Avishek Sinha</v>
          </cell>
        </row>
        <row r="10374">
          <cell r="C10374" t="str">
            <v>GRC and ERM Services</v>
          </cell>
          <cell r="H10374">
            <v>5054992</v>
          </cell>
          <cell r="AK10374" t="str">
            <v>Gregg Henzel</v>
          </cell>
        </row>
        <row r="10375">
          <cell r="C10375" t="str">
            <v>Recurring Hyperion Bank CMS</v>
          </cell>
          <cell r="H10375">
            <v>5054360</v>
          </cell>
          <cell r="AK10375" t="str">
            <v>Eugene Collett</v>
          </cell>
        </row>
        <row r="10376">
          <cell r="C10376" t="str">
            <v>WSFS TRID Reviews</v>
          </cell>
          <cell r="H10376">
            <v>5054214</v>
          </cell>
          <cell r="AK10376" t="str">
            <v>Michael Austin</v>
          </cell>
        </row>
        <row r="10377">
          <cell r="C10377" t="str">
            <v>Arthur State Bank CO Support</v>
          </cell>
          <cell r="H10377">
            <v>5053386</v>
          </cell>
          <cell r="AK10377" t="str">
            <v>Eugene Collett</v>
          </cell>
        </row>
        <row r="10378">
          <cell r="C10378" t="str">
            <v>Avidia 25-26 SOW Renewal</v>
          </cell>
          <cell r="H10378">
            <v>5054528</v>
          </cell>
          <cell r="AK10378" t="str">
            <v>David Belfer</v>
          </cell>
        </row>
        <row r="10379">
          <cell r="C10379" t="str">
            <v>Pru - ILI - Simplified Solutions CY'25 Extension</v>
          </cell>
          <cell r="H10379">
            <v>5054078</v>
          </cell>
          <cell r="AK10379" t="str">
            <v>Ana Santos</v>
          </cell>
        </row>
        <row r="10380">
          <cell r="C10380" t="str">
            <v>City First Bank Fraud Risk Assessment</v>
          </cell>
          <cell r="H10380">
            <v>5054526</v>
          </cell>
          <cell r="AK10380" t="str">
            <v>Mary Louise Radley</v>
          </cell>
        </row>
        <row r="10381">
          <cell r="C10381" t="str">
            <v>RECURRING - OneLocal Bank - CMS Opt 2025</v>
          </cell>
          <cell r="H10381">
            <v>5053968</v>
          </cell>
          <cell r="AK10381" t="str">
            <v>Leigh Tribou</v>
          </cell>
        </row>
        <row r="10382">
          <cell r="C10382" t="str">
            <v>Country Bank Compliance Audits 2025</v>
          </cell>
          <cell r="H10382">
            <v>5054453</v>
          </cell>
          <cell r="AK10382" t="str">
            <v>Mary Louise Radley</v>
          </cell>
        </row>
        <row r="10383">
          <cell r="C10383" t="str">
            <v>HAR CO Credit Union</v>
          </cell>
          <cell r="H10383">
            <v>5053949</v>
          </cell>
          <cell r="AK10383" t="str">
            <v>W. Annette Dredden</v>
          </cell>
        </row>
        <row r="10384">
          <cell r="C10384" t="str">
            <v>Rosedale Federal Savings and Loan Association</v>
          </cell>
          <cell r="H10384">
            <v>5053690</v>
          </cell>
          <cell r="AK10384" t="str">
            <v>Diane Banks</v>
          </cell>
        </row>
        <row r="10385">
          <cell r="C10385" t="str">
            <v>Chain Bridge Bank 2025 Audits</v>
          </cell>
          <cell r="H10385">
            <v>5054423</v>
          </cell>
          <cell r="AK10385" t="str">
            <v>W. Annette Dredden</v>
          </cell>
        </row>
        <row r="10386">
          <cell r="C10386" t="str">
            <v>HSBC-GFP-DAT-Application Rvw</v>
          </cell>
          <cell r="H10386">
            <v>5054263</v>
          </cell>
          <cell r="AK10386" t="str">
            <v>Rahul Govada</v>
          </cell>
        </row>
        <row r="10387">
          <cell r="C10387" t="str">
            <v>GRC Training and Configuration Services</v>
          </cell>
          <cell r="H10387">
            <v>5054185</v>
          </cell>
          <cell r="AK10387" t="str">
            <v>Tania Makuh</v>
          </cell>
        </row>
        <row r="10388">
          <cell r="C10388" t="str">
            <v>Pru - CTO - IAM Platform Support 2025</v>
          </cell>
          <cell r="H10388">
            <v>5053849</v>
          </cell>
          <cell r="AK10388" t="str">
            <v>Bharath Chikkamaranahalli Bhaskar</v>
          </cell>
        </row>
        <row r="10389">
          <cell r="C10389" t="str">
            <v>Watertown SB_Compliance Consulting 2025 Recurring</v>
          </cell>
          <cell r="H10389">
            <v>5054081</v>
          </cell>
          <cell r="AK10389" t="str">
            <v>Eugene Collett</v>
          </cell>
        </row>
        <row r="10390">
          <cell r="C10390" t="str">
            <v>Recurring Crown Bank CMS Support</v>
          </cell>
          <cell r="H10390">
            <v>5054412</v>
          </cell>
          <cell r="AK10390" t="str">
            <v>W. Annette Dredden</v>
          </cell>
        </row>
        <row r="10391">
          <cell r="C10391" t="str">
            <v>Enterprise Bank &amp; Trust MQC</v>
          </cell>
          <cell r="H10391">
            <v>5054211</v>
          </cell>
          <cell r="AK10391" t="str">
            <v>Christian Maier</v>
          </cell>
        </row>
        <row r="10392">
          <cell r="C10392" t="str">
            <v>HYPB - Compliance Monitoring_2025</v>
          </cell>
          <cell r="H10392">
            <v>5053982</v>
          </cell>
          <cell r="AK10392" t="str">
            <v>Steve Manitzas</v>
          </cell>
        </row>
        <row r="10393">
          <cell r="C10393" t="str">
            <v>RECURRING Avidia Bank - CMS - Jan 25</v>
          </cell>
          <cell r="H10393">
            <v>5054085</v>
          </cell>
          <cell r="AK10393" t="str">
            <v>Eric Van Epps</v>
          </cell>
        </row>
        <row r="10394">
          <cell r="C10394" t="str">
            <v>usny - Consumer Loans - Risks and Controls</v>
          </cell>
          <cell r="H10394">
            <v>5054114</v>
          </cell>
          <cell r="AK10394" t="str">
            <v>Tania Makuh</v>
          </cell>
        </row>
        <row r="10395">
          <cell r="C10395" t="str">
            <v>Vermont SB_BSA Program Support_2025</v>
          </cell>
          <cell r="H10395">
            <v>5054354</v>
          </cell>
          <cell r="AK10395" t="str">
            <v>David Stalnaker</v>
          </cell>
        </row>
        <row r="10396">
          <cell r="C10396" t="str">
            <v>PenFed Closing TRID Review 2025</v>
          </cell>
          <cell r="H10396">
            <v>5053964</v>
          </cell>
          <cell r="AK10396" t="str">
            <v>Thuy Whitaker</v>
          </cell>
        </row>
        <row r="10397">
          <cell r="C10397" t="str">
            <v>RECURRING Patriot Bank CMS 2025</v>
          </cell>
          <cell r="H10397">
            <v>5053991</v>
          </cell>
          <cell r="AK10397" t="str">
            <v>Eugene Collett</v>
          </cell>
        </row>
        <row r="10398">
          <cell r="C10398" t="str">
            <v>Harvard FCU CMS Support 2025</v>
          </cell>
          <cell r="H10398">
            <v>5054213</v>
          </cell>
          <cell r="AK10398" t="str">
            <v>Mary Louise Radley</v>
          </cell>
        </row>
        <row r="10399">
          <cell r="C10399" t="str">
            <v>MS_WM Business FY25 Q4</v>
          </cell>
          <cell r="H10399">
            <v>5051832</v>
          </cell>
          <cell r="AK10399" t="str">
            <v>Dan Schutzman</v>
          </cell>
        </row>
        <row r="10400">
          <cell r="C10400" t="str">
            <v>Bank of Washington_RAS_2025</v>
          </cell>
          <cell r="H10400">
            <v>5039595</v>
          </cell>
          <cell r="AK10400" t="str">
            <v>Diane Banks</v>
          </cell>
        </row>
        <row r="10401">
          <cell r="C10401" t="str">
            <v>RECURRING AM_Compliance Consulting 2025</v>
          </cell>
          <cell r="H10401">
            <v>5054642</v>
          </cell>
          <cell r="AK10401" t="str">
            <v>Louvera Walden</v>
          </cell>
        </row>
        <row r="10402">
          <cell r="C10402" t="str">
            <v>Autorenew Recurring Goldman MQC 2025</v>
          </cell>
          <cell r="H10402">
            <v>5053963</v>
          </cell>
          <cell r="AK10402" t="str">
            <v>Christian Maier</v>
          </cell>
        </row>
        <row r="10403">
          <cell r="C10403" t="str">
            <v>Clear Mountain Bank_RAS_2025</v>
          </cell>
          <cell r="H10403">
            <v>5047073</v>
          </cell>
          <cell r="AK10403" t="str">
            <v>Diane Banks</v>
          </cell>
        </row>
        <row r="10404">
          <cell r="C10404" t="str">
            <v>First National Bank of Pic_RAS_2025</v>
          </cell>
          <cell r="H10404">
            <v>5039648</v>
          </cell>
          <cell r="AK10404" t="str">
            <v>Diane Banks</v>
          </cell>
        </row>
        <row r="10405">
          <cell r="C10405" t="str">
            <v>First National Bank of Ten_RAS_2024</v>
          </cell>
          <cell r="H10405">
            <v>5039649</v>
          </cell>
          <cell r="AK10405" t="str">
            <v>Diane Banks</v>
          </cell>
        </row>
        <row r="10406">
          <cell r="C10406" t="str">
            <v>SVB- Commerical Card Support 2025</v>
          </cell>
          <cell r="H10406">
            <v>5051041</v>
          </cell>
          <cell r="AK10406" t="str">
            <v>Seth Berman</v>
          </cell>
        </row>
        <row r="10407">
          <cell r="C10407" t="str">
            <v>Auto Club Group_RAS_2024</v>
          </cell>
          <cell r="H10407">
            <v>5039443</v>
          </cell>
          <cell r="AK10407" t="str">
            <v>Rebecca Breland</v>
          </cell>
        </row>
        <row r="10408">
          <cell r="C10408" t="str">
            <v>Dean Co-Operative Bank_RAS_2025</v>
          </cell>
          <cell r="H10408">
            <v>5039476</v>
          </cell>
          <cell r="AK10408" t="str">
            <v>Diane Banks</v>
          </cell>
        </row>
        <row r="10409">
          <cell r="C10409" t="str">
            <v>First Security Bank - SD_RAS_2025</v>
          </cell>
          <cell r="H10409">
            <v>5039654</v>
          </cell>
          <cell r="AK10409" t="str">
            <v>Rebecca Breland</v>
          </cell>
        </row>
        <row r="10410">
          <cell r="C10410" t="str">
            <v>RECURRING Clear Mtn Bank CMS 2025</v>
          </cell>
          <cell r="H10410">
            <v>5054471</v>
          </cell>
          <cell r="AK10410" t="str">
            <v>Louvera Walden</v>
          </cell>
        </row>
        <row r="10411">
          <cell r="C10411" t="str">
            <v>RECURRING 1st Exchange CMSO</v>
          </cell>
          <cell r="H10411">
            <v>5054391</v>
          </cell>
          <cell r="AK10411" t="str">
            <v>Jeanette Wampler</v>
          </cell>
        </row>
        <row r="10412">
          <cell r="C10412" t="str">
            <v>Fidelity Alternative Investments Platform Modernization - Squad 2</v>
          </cell>
          <cell r="H10412">
            <v>5053879</v>
          </cell>
          <cell r="AK10412" t="str">
            <v>Lakshmi Talluri</v>
          </cell>
        </row>
        <row r="10413">
          <cell r="C10413" t="str">
            <v>Harford Bank_RAS_2025</v>
          </cell>
          <cell r="H10413">
            <v>5043534</v>
          </cell>
          <cell r="AK10413" t="str">
            <v>Diane Banks</v>
          </cell>
        </row>
        <row r="10414">
          <cell r="C10414" t="str">
            <v>Haven Savings Bank_RAS_2025</v>
          </cell>
          <cell r="H10414">
            <v>5039671</v>
          </cell>
          <cell r="AK10414" t="str">
            <v>Diane Banks</v>
          </cell>
        </row>
        <row r="10415">
          <cell r="C10415" t="str">
            <v>Pru - PGIM - AEM Platform Go-Live</v>
          </cell>
          <cell r="H10415">
            <v>5053950</v>
          </cell>
          <cell r="AK10415" t="str">
            <v>Diego Sarai</v>
          </cell>
        </row>
        <row r="10416">
          <cell r="C10416" t="str">
            <v>HSBC-WSB-GPS Canadian Dollar Card Program Extension #2</v>
          </cell>
          <cell r="H10416">
            <v>5052375</v>
          </cell>
          <cell r="AK10416" t="str">
            <v>James Kane</v>
          </cell>
        </row>
        <row r="10417">
          <cell r="C10417" t="str">
            <v>Santander - Back Office 2025</v>
          </cell>
          <cell r="H10417">
            <v>5053446</v>
          </cell>
          <cell r="AK10417" t="str">
            <v>Dana Schwaeber</v>
          </cell>
        </row>
        <row r="10418">
          <cell r="C10418" t="str">
            <v>United Security Bank_RAS_2025</v>
          </cell>
          <cell r="H10418">
            <v>5043822</v>
          </cell>
          <cell r="AK10418" t="str">
            <v>Diane Banks</v>
          </cell>
        </row>
        <row r="10419">
          <cell r="C10419" t="str">
            <v>Cathay Bank_RAS_2025</v>
          </cell>
          <cell r="H10419">
            <v>5039460</v>
          </cell>
          <cell r="AK10419" t="str">
            <v>Diane Banks</v>
          </cell>
        </row>
        <row r="10420">
          <cell r="C10420" t="str">
            <v>Cetera Advice Works Platform - Bridge Extenion</v>
          </cell>
          <cell r="H10420">
            <v>5043912</v>
          </cell>
          <cell r="AK10420" t="str">
            <v>Scott Jurgensen</v>
          </cell>
        </row>
        <row r="10421">
          <cell r="C10421" t="str">
            <v>Truist_SOW #20 CO#1_NYDFS Remediation Core Team Expansion</v>
          </cell>
          <cell r="H10421">
            <v>5053235</v>
          </cell>
          <cell r="AK10421" t="str">
            <v>Jori Heikkinen</v>
          </cell>
        </row>
        <row r="10422">
          <cell r="C10422" t="str">
            <v>First Southern State Bank_RAS</v>
          </cell>
          <cell r="H10422">
            <v>5039499</v>
          </cell>
          <cell r="AK10422" t="str">
            <v>Rebecca Breland</v>
          </cell>
        </row>
        <row r="10423">
          <cell r="C10423" t="str">
            <v>Citi_Wealth Tech PMO Extension</v>
          </cell>
          <cell r="H10423">
            <v>5050593</v>
          </cell>
          <cell r="AK10423" t="str">
            <v>Raymond Ortiz II</v>
          </cell>
        </row>
        <row r="10424">
          <cell r="C10424" t="str">
            <v>First Financial Bank_RAS_2024</v>
          </cell>
          <cell r="H10424">
            <v>5039641</v>
          </cell>
          <cell r="AK10424" t="str">
            <v>Diane Banks</v>
          </cell>
        </row>
        <row r="10425">
          <cell r="C10425" t="str">
            <v>Pru -  CTO - Meera Malde CY 2025 Extension</v>
          </cell>
          <cell r="H10425">
            <v>5050313</v>
          </cell>
          <cell r="AK10425" t="str">
            <v>Bharath Chikkamaranahalli Bhaskar</v>
          </cell>
        </row>
        <row r="10426">
          <cell r="C10426" t="str">
            <v>Cape Cod Five Cents Saving_RAS_2025</v>
          </cell>
          <cell r="H10426">
            <v>5039559</v>
          </cell>
          <cell r="AK10426" t="str">
            <v>Diane Banks</v>
          </cell>
        </row>
        <row r="10427">
          <cell r="C10427" t="str">
            <v>Pru - DMN - Distributor Foundational - Extension - CY 2025</v>
          </cell>
          <cell r="H10427">
            <v>5053691</v>
          </cell>
          <cell r="AK10427" t="str">
            <v>Vivek Natarajan</v>
          </cell>
        </row>
        <row r="10428">
          <cell r="C10428" t="str">
            <v>UVA Contact Center Implementation - Write Off</v>
          </cell>
          <cell r="H10428">
            <v>5052967</v>
          </cell>
          <cell r="AK10428" t="str">
            <v>George Lilly</v>
          </cell>
        </row>
        <row r="10429">
          <cell r="C10429" t="str">
            <v>MS_TPPM Business_FY25 Q4</v>
          </cell>
          <cell r="H10429">
            <v>5051792</v>
          </cell>
          <cell r="AK10429" t="str">
            <v>Dan Schutzman</v>
          </cell>
        </row>
        <row r="10430">
          <cell r="C10430" t="str">
            <v>Watertown Savings Bank- MA_RAS_2025</v>
          </cell>
          <cell r="H10430">
            <v>5040148</v>
          </cell>
          <cell r="AK10430" t="str">
            <v>Diane Banks</v>
          </cell>
        </row>
        <row r="10431">
          <cell r="C10431" t="str">
            <v>DB-CAO-INV-BS-Recurring Fair Lending</v>
          </cell>
          <cell r="H10431">
            <v>5054179</v>
          </cell>
          <cell r="AK10431" t="str">
            <v>Leigh Tribou</v>
          </cell>
        </row>
        <row r="10432">
          <cell r="C10432" t="str">
            <v>MS_WM Tech FY25 Q4 (US)</v>
          </cell>
          <cell r="H10432">
            <v>5051802</v>
          </cell>
          <cell r="AK10432" t="str">
            <v>Dan Schutzman</v>
          </cell>
        </row>
        <row r="10433">
          <cell r="C10433" t="str">
            <v>Industrial &amp; Commercial Ba_RAS_2025</v>
          </cell>
          <cell r="H10433">
            <v>5039517</v>
          </cell>
          <cell r="AK10433" t="str">
            <v>Diane Banks</v>
          </cell>
        </row>
        <row r="10434">
          <cell r="C10434" t="str">
            <v>United Security Bank_RAS_2025</v>
          </cell>
          <cell r="H10434">
            <v>5043822</v>
          </cell>
          <cell r="AK10434" t="str">
            <v>Diane Banks</v>
          </cell>
        </row>
        <row r="10435">
          <cell r="C10435" t="str">
            <v>Patriot Bank National Ass_RAS_2025</v>
          </cell>
          <cell r="H10435">
            <v>5039537</v>
          </cell>
          <cell r="AK10435" t="str">
            <v>Diane Banks</v>
          </cell>
        </row>
        <row r="10436">
          <cell r="C10436" t="str">
            <v>New Millennium Bank_RAS_2025</v>
          </cell>
          <cell r="H10436">
            <v>5039529</v>
          </cell>
          <cell r="AK10436" t="str">
            <v>Diane Banks</v>
          </cell>
        </row>
        <row r="10437">
          <cell r="C10437" t="str">
            <v>Bank Star_RAS_2025</v>
          </cell>
          <cell r="H10437">
            <v>5039596</v>
          </cell>
          <cell r="AK10437" t="str">
            <v>Rebecca Breland</v>
          </cell>
        </row>
        <row r="10438">
          <cell r="C10438" t="str">
            <v>The Dime Bank_RAS_2025</v>
          </cell>
          <cell r="H10438">
            <v>5039560</v>
          </cell>
          <cell r="AK10438" t="str">
            <v>Diane Banks</v>
          </cell>
        </row>
        <row r="10439">
          <cell r="C10439" t="str">
            <v>BTC Bank_RAS_2024</v>
          </cell>
          <cell r="H10439">
            <v>5039602</v>
          </cell>
          <cell r="AK10439" t="str">
            <v>Diane Banks</v>
          </cell>
        </row>
        <row r="10440">
          <cell r="C10440" t="str">
            <v>Morton Community bank_RAS_2025</v>
          </cell>
          <cell r="H10440">
            <v>5040133</v>
          </cell>
          <cell r="AK10440" t="str">
            <v>Diane Banks</v>
          </cell>
        </row>
        <row r="10441">
          <cell r="C10441" t="str">
            <v>MS_ISG_ BSA/AML &amp; OFAC Testing Support FY25 Q4</v>
          </cell>
          <cell r="H10441">
            <v>5052311</v>
          </cell>
          <cell r="AK10441" t="str">
            <v>Ruben Sooriya</v>
          </cell>
        </row>
        <row r="10442">
          <cell r="C10442" t="str">
            <v>MS_WMT Advisory Tech India_FY25 Q4</v>
          </cell>
          <cell r="H10442">
            <v>5051829</v>
          </cell>
          <cell r="AK10442" t="str">
            <v>Dan Schutzman</v>
          </cell>
        </row>
        <row r="10443">
          <cell r="C10443" t="str">
            <v>MS_ISG Mumbai FY25 Q4</v>
          </cell>
          <cell r="H10443">
            <v>5051889</v>
          </cell>
          <cell r="AK10443" t="str">
            <v>Ruben Sooriya</v>
          </cell>
        </row>
        <row r="10444">
          <cell r="C10444" t="str">
            <v>FrMc_CDT Program 2025</v>
          </cell>
          <cell r="H10444">
            <v>5051994</v>
          </cell>
          <cell r="AK10444" t="str">
            <v>Jeffrey Diaz Vega</v>
          </cell>
        </row>
        <row r="10445">
          <cell r="C10445" t="str">
            <v>Calhoun Banks_RAS_2024</v>
          </cell>
          <cell r="H10445">
            <v>5039458</v>
          </cell>
          <cell r="AK10445" t="str">
            <v>Rebecca Breland</v>
          </cell>
        </row>
        <row r="10446">
          <cell r="C10446" t="str">
            <v>First Exchange Bank_RAS_2025</v>
          </cell>
          <cell r="H10446">
            <v>5041450</v>
          </cell>
          <cell r="AK10446" t="str">
            <v>Diane Banks</v>
          </cell>
        </row>
        <row r="10447">
          <cell r="C10447" t="str">
            <v>Citizens Business Bank_RAS_2025</v>
          </cell>
          <cell r="H10447">
            <v>5039465</v>
          </cell>
          <cell r="AK10447" t="str">
            <v>Diane Banks</v>
          </cell>
        </row>
        <row r="10448">
          <cell r="C10448" t="str">
            <v>5039485 - Farmers&amp;Merchants Bank_AR_RAS</v>
          </cell>
          <cell r="H10448">
            <v>5039485</v>
          </cell>
          <cell r="AK10448" t="str">
            <v>Rebecca Breland</v>
          </cell>
        </row>
        <row r="10449">
          <cell r="C10449" t="str">
            <v>Bank of Monroe_RAS_2024</v>
          </cell>
          <cell r="H10449">
            <v>5039449</v>
          </cell>
          <cell r="AK10449" t="str">
            <v>Diane Banks</v>
          </cell>
        </row>
        <row r="10450">
          <cell r="C10450" t="str">
            <v>Leader Bank National Asso_RAS_2025</v>
          </cell>
          <cell r="H10450">
            <v>5039521</v>
          </cell>
          <cell r="AK10450" t="str">
            <v>Diane Banks</v>
          </cell>
        </row>
        <row r="10451">
          <cell r="C10451" t="str">
            <v>FNCB Bank_PA_RAS_2025</v>
          </cell>
          <cell r="H10451">
            <v>5039651</v>
          </cell>
          <cell r="AK10451" t="str">
            <v>Diane Banks</v>
          </cell>
        </row>
        <row r="10452">
          <cell r="C10452" t="str">
            <v>MS_ISG Bangalore FY25 Q4</v>
          </cell>
          <cell r="H10452">
            <v>5051890</v>
          </cell>
          <cell r="AK10452" t="str">
            <v>Ruben Sooriya</v>
          </cell>
        </row>
        <row r="10453">
          <cell r="C10453" t="str">
            <v>NorthEast Community Bank_RAS_2025</v>
          </cell>
          <cell r="H10453">
            <v>5039533</v>
          </cell>
          <cell r="AK10453" t="str">
            <v>Diane Banks</v>
          </cell>
        </row>
        <row r="10454">
          <cell r="C10454" t="str">
            <v>MS Data FY25 Q4</v>
          </cell>
          <cell r="H10454">
            <v>5051790</v>
          </cell>
          <cell r="AK10454" t="str">
            <v>Erik Johnson</v>
          </cell>
        </row>
        <row r="10455">
          <cell r="C10455" t="str">
            <v>FCB_ITAM Support Extension H1 2025</v>
          </cell>
          <cell r="H10455">
            <v>5050113</v>
          </cell>
          <cell r="AK10455" t="str">
            <v>Souma Basu</v>
          </cell>
        </row>
        <row r="10456">
          <cell r="C10456" t="str">
            <v>East Cambridge Savings Ban_RAS_2024</v>
          </cell>
          <cell r="H10456">
            <v>5039482</v>
          </cell>
          <cell r="AK10456" t="str">
            <v>Diane Banks</v>
          </cell>
        </row>
        <row r="10457">
          <cell r="C10457" t="str">
            <v>FX Program Management_Project Falcon FY25 Q4</v>
          </cell>
          <cell r="H10457">
            <v>5051671</v>
          </cell>
          <cell r="AK10457" t="str">
            <v>Ruben Sooriya</v>
          </cell>
        </row>
        <row r="10458">
          <cell r="C10458" t="str">
            <v>Jeff_SK Application Services Boomerang UK Revenue Adj</v>
          </cell>
          <cell r="H10458">
            <v>5051004</v>
          </cell>
          <cell r="AK10458" t="str">
            <v>Afsa Shafiq</v>
          </cell>
        </row>
        <row r="10459">
          <cell r="C10459" t="str">
            <v>Marsh Change and Training Support- FYQ4 2025</v>
          </cell>
          <cell r="H10459">
            <v>5052397</v>
          </cell>
          <cell r="AK10459" t="str">
            <v>Lucy Geringer</v>
          </cell>
        </row>
        <row r="10460">
          <cell r="C10460" t="str">
            <v>Popular Mortgage Managed Services CRA Amnd 2</v>
          </cell>
          <cell r="H10460">
            <v>5053579</v>
          </cell>
          <cell r="AK10460" t="str">
            <v>Juan Pimentel</v>
          </cell>
        </row>
        <row r="10461">
          <cell r="C10461" t="str">
            <v>Jeff_Legal and Compliance BA FY25 H1</v>
          </cell>
          <cell r="H10461">
            <v>5054184</v>
          </cell>
          <cell r="AK10461" t="str">
            <v>Conor Dowling</v>
          </cell>
        </row>
        <row r="10462">
          <cell r="C10462" t="str">
            <v>Recurring FNB Elmer CMS 2025/26</v>
          </cell>
          <cell r="H10462">
            <v>5054177</v>
          </cell>
          <cell r="AK10462" t="str">
            <v>Diane Banks</v>
          </cell>
        </row>
        <row r="10463">
          <cell r="C10463" t="str">
            <v>Pru - GI - Salesforce Developer</v>
          </cell>
          <cell r="H10463">
            <v>5054187</v>
          </cell>
          <cell r="AK10463" t="str">
            <v>Deb Nelis</v>
          </cell>
        </row>
        <row r="10464">
          <cell r="C10464" t="str">
            <v>RECURRING Blue Foundry CMS 2025</v>
          </cell>
          <cell r="H10464">
            <v>5054425</v>
          </cell>
          <cell r="AK10464" t="str">
            <v>Jeanette Wampler</v>
          </cell>
        </row>
        <row r="10465">
          <cell r="C10465" t="str">
            <v>Recurring CNB CMS Support</v>
          </cell>
          <cell r="H10465">
            <v>5054719</v>
          </cell>
          <cell r="AK10465" t="str">
            <v>Jeanette Wampler</v>
          </cell>
        </row>
        <row r="10466">
          <cell r="C10466" t="str">
            <v>Citizens State Bank (Royal Oaks)-RAS</v>
          </cell>
          <cell r="H10466">
            <v>5054139</v>
          </cell>
          <cell r="AK10466" t="str">
            <v>Diane Banks</v>
          </cell>
        </row>
        <row r="10467">
          <cell r="C10467" t="str">
            <v>FCB_Payments TSR Phase 1 Investment</v>
          </cell>
          <cell r="H10467">
            <v>5054029</v>
          </cell>
          <cell r="AK10467" t="str">
            <v>Thomas Wilson</v>
          </cell>
        </row>
        <row r="10468">
          <cell r="C10468" t="str">
            <v>Transcend JAC Deliverables</v>
          </cell>
          <cell r="H10468">
            <v>5053751</v>
          </cell>
          <cell r="AK10468" t="str">
            <v>Matthew Rodgers</v>
          </cell>
        </row>
        <row r="10469">
          <cell r="C10469" t="str">
            <v>Eagle Bank - Mapping</v>
          </cell>
          <cell r="H10469">
            <v>5053511</v>
          </cell>
          <cell r="AK10469" t="str">
            <v>Elanna Kooistra</v>
          </cell>
        </row>
        <row r="10470">
          <cell r="C10470" t="str">
            <v>Connecticut Community Bank_RAS</v>
          </cell>
          <cell r="H10470">
            <v>5053702</v>
          </cell>
          <cell r="AK10470" t="str">
            <v>Diane Banks</v>
          </cell>
        </row>
        <row r="10471">
          <cell r="C10471" t="str">
            <v>Community Bank of Parkersburg</v>
          </cell>
          <cell r="H10471">
            <v>5054265</v>
          </cell>
          <cell r="AK10471" t="str">
            <v>Jeanette Wampler</v>
          </cell>
        </row>
        <row r="10472">
          <cell r="C10472" t="str">
            <v>NCB CMS Support 2025 extension</v>
          </cell>
          <cell r="H10472">
            <v>5052938</v>
          </cell>
          <cell r="AK10472" t="str">
            <v>Eugene Collett</v>
          </cell>
        </row>
        <row r="10473">
          <cell r="C10473" t="str">
            <v>M&amp;A_Staffing UK Acquisition_Althea &amp; Shalom_US_Ext 1</v>
          </cell>
          <cell r="H10473">
            <v>5054183</v>
          </cell>
          <cell r="AK10473" t="str">
            <v>Thea Smith</v>
          </cell>
        </row>
        <row r="10474">
          <cell r="C10474" t="str">
            <v>HNB BOL CY25-Q1</v>
          </cell>
          <cell r="H10474">
            <v>5054080</v>
          </cell>
          <cell r="AK10474" t="str">
            <v>Spencer Feuer</v>
          </cell>
        </row>
        <row r="10475">
          <cell r="C10475" t="str">
            <v>Jeff SEC Rule 10c-1 Implementation Bridge</v>
          </cell>
          <cell r="H10475">
            <v>5054337</v>
          </cell>
          <cell r="AK10475" t="str">
            <v>Matthew Rodgers</v>
          </cell>
        </row>
        <row r="10476">
          <cell r="C10476" t="str">
            <v>UVA Contact Center Implementation</v>
          </cell>
          <cell r="H10476">
            <v>5052967</v>
          </cell>
          <cell r="AK10476" t="str">
            <v>George Lilly</v>
          </cell>
        </row>
        <row r="10477">
          <cell r="C10477" t="str">
            <v>HNB Dig Lob Credit Mod-CY25-Q1</v>
          </cell>
          <cell r="H10477">
            <v>5051940</v>
          </cell>
          <cell r="AK10477" t="str">
            <v>Bemo Itoe</v>
          </cell>
        </row>
        <row r="10478">
          <cell r="C10478" t="str">
            <v>Scotia 3rd Party Risk</v>
          </cell>
          <cell r="H10478">
            <v>5053996</v>
          </cell>
          <cell r="AK10478" t="str">
            <v>Steven D'Angelo</v>
          </cell>
        </row>
        <row r="10479">
          <cell r="C10479" t="str">
            <v>Scotia 3rd Party Risk negative Sales</v>
          </cell>
          <cell r="H10479">
            <v>5053996</v>
          </cell>
          <cell r="AK10479" t="str">
            <v>Steven D'Angelo</v>
          </cell>
        </row>
        <row r="10480">
          <cell r="C10480" t="str">
            <v>RECURRING Farmers and Merchants CMS</v>
          </cell>
          <cell r="H10480">
            <v>5054244</v>
          </cell>
          <cell r="AK10480" t="str">
            <v>David Stalnaker</v>
          </cell>
        </row>
        <row r="10481">
          <cell r="C10481" t="str">
            <v>JDS - Strategic Build (Phase 0)</v>
          </cell>
          <cell r="H10481">
            <v>5054259</v>
          </cell>
          <cell r="AK10481" t="str">
            <v>Imran Parekh</v>
          </cell>
        </row>
        <row r="10482">
          <cell r="C10482" t="str">
            <v>RECURRING New Millennium Bank CMS 2025</v>
          </cell>
          <cell r="H10482">
            <v>5054628</v>
          </cell>
          <cell r="AK10482" t="str">
            <v>Eugene Collett</v>
          </cell>
        </row>
        <row r="10483">
          <cell r="C10483" t="str">
            <v>Jeff_Flow Monitor Developer 2025 H1 Extension</v>
          </cell>
          <cell r="H10483">
            <v>5054126</v>
          </cell>
          <cell r="AK10483" t="str">
            <v>Irina Szilagyi</v>
          </cell>
        </row>
        <row r="10484">
          <cell r="C10484" t="str">
            <v>Valley National Bank Overflow Ad Review 2025 - RAS</v>
          </cell>
          <cell r="H10484">
            <v>5053632</v>
          </cell>
          <cell r="AK10484" t="str">
            <v>Diane Banks</v>
          </cell>
        </row>
        <row r="10485">
          <cell r="C10485" t="str">
            <v>HNB_Family Banking API Acceleration 2.0</v>
          </cell>
          <cell r="H10485">
            <v>5054220</v>
          </cell>
          <cell r="AK10485" t="str">
            <v>Spencer Feuer</v>
          </cell>
        </row>
        <row r="10486">
          <cell r="C10486" t="str">
            <v>Recurring MSB CMS</v>
          </cell>
          <cell r="H10486">
            <v>5054178</v>
          </cell>
          <cell r="AK10486" t="str">
            <v>David Stalnaker</v>
          </cell>
        </row>
        <row r="10487">
          <cell r="C10487" t="str">
            <v>Mitsui RMSC OFAC Extn</v>
          </cell>
          <cell r="H10487">
            <v>5054736</v>
          </cell>
          <cell r="AK10487" t="str">
            <v>Helen Person</v>
          </cell>
        </row>
        <row r="10488">
          <cell r="C10488" t="str">
            <v>Jefferies_Managed Services_KYC Surge Capacity</v>
          </cell>
          <cell r="H10488">
            <v>5052447</v>
          </cell>
          <cell r="AK10488" t="str">
            <v>Chelsea Mattias</v>
          </cell>
        </row>
        <row r="10489">
          <cell r="C10489" t="str">
            <v>Target CO#6 - Interim Workaround Development</v>
          </cell>
          <cell r="H10489">
            <v>5049312</v>
          </cell>
          <cell r="AK10489" t="str">
            <v>Ryan Keller</v>
          </cell>
        </row>
        <row r="10490">
          <cell r="C10490" t="str">
            <v>Extension Sarah Sheehy</v>
          </cell>
          <cell r="H10490">
            <v>5052453</v>
          </cell>
          <cell r="AK10490" t="str">
            <v>Nitin Raju</v>
          </cell>
        </row>
        <row r="10491">
          <cell r="C10491" t="str">
            <v>Pru - ILI - NBUW Journey</v>
          </cell>
          <cell r="H10491">
            <v>5054164</v>
          </cell>
          <cell r="AK10491" t="str">
            <v>Deb Nelis</v>
          </cell>
        </row>
        <row r="10492">
          <cell r="C10492" t="str">
            <v>Pru - DMN - Distributor Foundational - Domain QA</v>
          </cell>
          <cell r="H10492">
            <v>5053691</v>
          </cell>
          <cell r="AK10492" t="str">
            <v>Vivek Natarajan</v>
          </cell>
        </row>
        <row r="10493">
          <cell r="C10493" t="str">
            <v>Lazard - Security Awareness Modernization</v>
          </cell>
          <cell r="H10493">
            <v>5053104</v>
          </cell>
          <cell r="AK10493" t="str">
            <v>Danielle Theroux</v>
          </cell>
        </row>
        <row r="10494">
          <cell r="C10494" t="str">
            <v>USB_RMS Quad Squad Execution Ext</v>
          </cell>
          <cell r="H10494">
            <v>5052936</v>
          </cell>
          <cell r="AK10494" t="str">
            <v>Samuel Awsumb</v>
          </cell>
        </row>
        <row r="10495">
          <cell r="C10495" t="str">
            <v>Allianz - Data Migration Support</v>
          </cell>
          <cell r="H10495">
            <v>5051615</v>
          </cell>
          <cell r="AK10495" t="str">
            <v>Danielle Lutkus</v>
          </cell>
        </row>
        <row r="10496">
          <cell r="C10496" t="str">
            <v>Pru - DMN - Contract Money-In - Development POD Expansion</v>
          </cell>
          <cell r="H10496">
            <v>5052987</v>
          </cell>
          <cell r="AK10496" t="str">
            <v>Seth Berman</v>
          </cell>
        </row>
        <row r="10497">
          <cell r="C10497" t="str">
            <v>Pru - GI - Mobile App - Web App Support Additions</v>
          </cell>
          <cell r="H10497">
            <v>5052841</v>
          </cell>
          <cell r="AK10497" t="str">
            <v>Deb Nelis</v>
          </cell>
        </row>
        <row r="10498">
          <cell r="C10498" t="str">
            <v>Heritage Bank  (WV)-RAS</v>
          </cell>
          <cell r="H10498">
            <v>5054138</v>
          </cell>
          <cell r="AK10498" t="str">
            <v>Diane Banks</v>
          </cell>
        </row>
        <row r="10499">
          <cell r="C10499" t="str">
            <v>Wealth Team Extension &amp; Expansion CY25</v>
          </cell>
          <cell r="H10499">
            <v>5054261</v>
          </cell>
          <cell r="AK10499" t="str">
            <v>Jennifer Hsiung</v>
          </cell>
        </row>
        <row r="10500">
          <cell r="C10500" t="str">
            <v>CMA Channel Islands Wave 3 (CLSM &amp; RKI)</v>
          </cell>
          <cell r="H10500">
            <v>5053455</v>
          </cell>
          <cell r="AK10500" t="str">
            <v>Brett Knickle</v>
          </cell>
        </row>
        <row r="10501">
          <cell r="C10501" t="str">
            <v>DB-CAO-AFC-BC-AFC T&amp;R - OQA- Market Conduct Risk Opp</v>
          </cell>
          <cell r="H10501">
            <v>5054057</v>
          </cell>
          <cell r="AK10501" t="str">
            <v>Thanh Le Xuan</v>
          </cell>
        </row>
        <row r="10502">
          <cell r="C10502" t="str">
            <v>Pru - GI - Mobile App - Web App Support</v>
          </cell>
          <cell r="H10502">
            <v>5052841</v>
          </cell>
          <cell r="AK10502" t="str">
            <v>Deb Nelis</v>
          </cell>
        </row>
        <row r="10503">
          <cell r="C10503" t="str">
            <v>Pru - PII - Intl PMO Lead</v>
          </cell>
          <cell r="H10503">
            <v>5054221</v>
          </cell>
          <cell r="AK10503" t="str">
            <v>Tedd Patel</v>
          </cell>
        </row>
        <row r="10504">
          <cell r="C10504" t="str">
            <v>Citi CDO DCRM 2025  (Jan -Mar) US Only</v>
          </cell>
          <cell r="H10504">
            <v>5054289</v>
          </cell>
          <cell r="AK10504" t="str">
            <v>Ifeoluwa Ajelabi</v>
          </cell>
        </row>
        <row r="10505">
          <cell r="C10505" t="str">
            <v>Citi Securities Services Issues Management Surge 2025 Jan- Mar (US Only)</v>
          </cell>
          <cell r="H10505">
            <v>5054286</v>
          </cell>
          <cell r="AK10505" t="str">
            <v>Ifeoluwa Ajelabi</v>
          </cell>
        </row>
        <row r="10506">
          <cell r="C10506" t="str">
            <v>RECURRING Auto-Renewing VNB GRC Compliance Content</v>
          </cell>
          <cell r="H10506">
            <v>5056892</v>
          </cell>
          <cell r="AK10506" t="str">
            <v>Gregg Henzel</v>
          </cell>
        </row>
        <row r="10507">
          <cell r="C10507" t="str">
            <v>Citi CDO DQ&amp; Forensics 2025(Jan-Mar) US Only</v>
          </cell>
          <cell r="H10507">
            <v>5054290</v>
          </cell>
          <cell r="AK10507" t="str">
            <v>Ifeoluwa Ajelabi</v>
          </cell>
        </row>
        <row r="10508">
          <cell r="C10508" t="str">
            <v>Citi CDO Business Execution 2025 (Jan -Mar) US Only</v>
          </cell>
          <cell r="H10508">
            <v>5054319</v>
          </cell>
          <cell r="AK10508" t="str">
            <v>Ifeoluwa Ajelabi</v>
          </cell>
        </row>
        <row r="10509">
          <cell r="C10509" t="str">
            <v>Citi_SM&amp;C Data Lineage 2025 Jan- Mar (US Only)</v>
          </cell>
          <cell r="H10509">
            <v>5054287</v>
          </cell>
          <cell r="AK10509" t="str">
            <v>Hayden McMurrey</v>
          </cell>
        </row>
        <row r="10510">
          <cell r="C10510" t="str">
            <v>Customers Bank VDD 24 Extension  (RECURRING -AUTO RENEW)</v>
          </cell>
          <cell r="H10510">
            <v>5053371</v>
          </cell>
          <cell r="AK10510" t="str">
            <v>Eugene Collett</v>
          </cell>
        </row>
        <row r="10511">
          <cell r="C10511" t="str">
            <v>Jeff_Risk Program Tech Support - Ext</v>
          </cell>
          <cell r="H10511">
            <v>5053327</v>
          </cell>
          <cell r="AK10511" t="str">
            <v>Imran Parekh</v>
          </cell>
        </row>
        <row r="10512">
          <cell r="C10512" t="str">
            <v>CSA PM Trade Reporting</v>
          </cell>
          <cell r="H10512">
            <v>5054342</v>
          </cell>
          <cell r="AK10512" t="str">
            <v>Matthew Rodgers</v>
          </cell>
        </row>
        <row r="10513">
          <cell r="C10513" t="str">
            <v>Wealth Phase 3 Extension (Jan-Jun 2025)</v>
          </cell>
          <cell r="H10513">
            <v>5052506</v>
          </cell>
          <cell r="AK10513" t="str">
            <v>Shruti Vashist</v>
          </cell>
        </row>
        <row r="10514">
          <cell r="C10514" t="str">
            <v>Battle Bank System Integration Extension- Phase 15</v>
          </cell>
          <cell r="H10514">
            <v>5050428</v>
          </cell>
          <cell r="AK10514" t="str">
            <v>James Kane</v>
          </cell>
        </row>
        <row r="10515">
          <cell r="C10515" t="str">
            <v>Bank of San Francisco / Digital Banking Risk Assessment</v>
          </cell>
          <cell r="H10515">
            <v>5054176</v>
          </cell>
          <cell r="AK10515" t="str">
            <v>Robert Farmer</v>
          </cell>
        </row>
        <row r="10516">
          <cell r="C10516" t="str">
            <v>Lennar Mortgage BSA Risk Assessment</v>
          </cell>
          <cell r="H10516">
            <v>5054407</v>
          </cell>
          <cell r="AK10516" t="str">
            <v>Eugene Collett</v>
          </cell>
        </row>
        <row r="10517">
          <cell r="C10517" t="str">
            <v>Pru - PA - Project Granite</v>
          </cell>
          <cell r="H10517">
            <v>5054385</v>
          </cell>
          <cell r="AK10517" t="str">
            <v>Stanley Rodrigues</v>
          </cell>
        </row>
        <row r="10518">
          <cell r="C10518" t="str">
            <v>MCB_IAM and PROD Security Ext_Alex</v>
          </cell>
          <cell r="H10518">
            <v>5054577</v>
          </cell>
          <cell r="AK10518" t="str">
            <v>Ridha Mesli</v>
          </cell>
        </row>
        <row r="10519">
          <cell r="C10519" t="str">
            <v>Antares Ops Transformation - Reconciliation</v>
          </cell>
          <cell r="H10519">
            <v>5054368</v>
          </cell>
          <cell r="AK10519" t="str">
            <v>Kirby Pulver</v>
          </cell>
        </row>
        <row r="10520">
          <cell r="C10520" t="str">
            <v>Right Shore- US PM Resources</v>
          </cell>
          <cell r="H10520">
            <v>5053515</v>
          </cell>
          <cell r="AK10520" t="str">
            <v>Lucy Geringer</v>
          </cell>
        </row>
        <row r="10521">
          <cell r="C10521" t="str">
            <v>SF Tech Developer - Negative Sale</v>
          </cell>
          <cell r="H10521">
            <v>5054388</v>
          </cell>
          <cell r="AK10521" t="str">
            <v>Matthew Rodgers</v>
          </cell>
        </row>
        <row r="10522">
          <cell r="C10522" t="str">
            <v>SF Tech Developer</v>
          </cell>
          <cell r="H10522">
            <v>5054388</v>
          </cell>
          <cell r="AK10522" t="str">
            <v>Matthew Rodgers</v>
          </cell>
        </row>
        <row r="10523">
          <cell r="C10523" t="str">
            <v>Citi_SM&amp;C Reg Remediation  2025 Jan-Mar (US Roles)</v>
          </cell>
          <cell r="H10523">
            <v>5054328</v>
          </cell>
          <cell r="AK10523" t="str">
            <v>George Georgiou</v>
          </cell>
        </row>
        <row r="10524">
          <cell r="C10524" t="str">
            <v>Citi_SM&amp;C MRD &amp; Risk &amp; COntrol 2025 Jan-Mar (US Roles)</v>
          </cell>
          <cell r="H10524">
            <v>5054349</v>
          </cell>
          <cell r="AK10524" t="str">
            <v>George Georgiou</v>
          </cell>
        </row>
        <row r="10525">
          <cell r="C10525" t="str">
            <v>Mastercard_Data and Platforms Engineering and Testing - EXP</v>
          </cell>
          <cell r="H10525">
            <v>5054153</v>
          </cell>
          <cell r="AK10525" t="str">
            <v>Shiv Kumar Raghuwanshi</v>
          </cell>
        </row>
        <row r="10526">
          <cell r="C10526" t="str">
            <v>Popular Bank - 2024 HMDA CRA Scrub Finalization</v>
          </cell>
          <cell r="H10526">
            <v>5054447</v>
          </cell>
          <cell r="AK10526" t="str">
            <v>Susan Stevenson</v>
          </cell>
        </row>
        <row r="10527">
          <cell r="C10527" t="str">
            <v>Government of Cayman - GRC Implementation/Support</v>
          </cell>
          <cell r="H10527">
            <v>5057478</v>
          </cell>
          <cell r="AK10527" t="str">
            <v>Gregg Henzel</v>
          </cell>
        </row>
        <row r="10528">
          <cell r="C10528" t="str">
            <v>AAA NE - Internal Audits</v>
          </cell>
          <cell r="H10528">
            <v>5054343</v>
          </cell>
          <cell r="AK10528" t="str">
            <v>Mary Louise Radley</v>
          </cell>
        </row>
        <row r="10529">
          <cell r="C10529" t="str">
            <v>Midflorida 10B Readiness</v>
          </cell>
          <cell r="H10529">
            <v>5054350</v>
          </cell>
          <cell r="AK10529" t="str">
            <v>Kari Raimondi</v>
          </cell>
        </row>
        <row r="10530">
          <cell r="C10530" t="str">
            <v>USB_RMS Quad Squad Ext</v>
          </cell>
          <cell r="H10530">
            <v>5052936</v>
          </cell>
          <cell r="AK10530" t="str">
            <v>Samuel Awsumb</v>
          </cell>
        </row>
        <row r="10531">
          <cell r="C10531" t="str">
            <v>MCB_IAM and PROD Security Ext_Alex</v>
          </cell>
          <cell r="H10531">
            <v>5047074</v>
          </cell>
          <cell r="AK10531" t="str">
            <v>Ridha Mesli</v>
          </cell>
        </row>
        <row r="10532">
          <cell r="C10532" t="str">
            <v>HSBC-GFP-FIN-Magnus-ARIS Mapping Phase 2</v>
          </cell>
          <cell r="H10532">
            <v>5053182</v>
          </cell>
          <cell r="AK10532" t="str">
            <v>Rahul Govada</v>
          </cell>
        </row>
        <row r="10533">
          <cell r="C10533" t="str">
            <v>HMDA Scrub - Country Bank</v>
          </cell>
          <cell r="H10533">
            <v>5054374</v>
          </cell>
          <cell r="AK10533" t="str">
            <v>Pamela Acciardo</v>
          </cell>
        </row>
        <row r="10534">
          <cell r="C10534" t="str">
            <v>TRCU_10B Readiness Assessment</v>
          </cell>
          <cell r="H10534">
            <v>5054260</v>
          </cell>
          <cell r="AK10534" t="str">
            <v>Jessica Seifer</v>
          </cell>
        </row>
        <row r="10535">
          <cell r="C10535" t="str">
            <v>Liberty Bank - Compliance Monitoring &amp; Testing</v>
          </cell>
          <cell r="H10535">
            <v>5054424</v>
          </cell>
          <cell r="AK10535" t="str">
            <v>David Belfer</v>
          </cell>
        </row>
        <row r="10536">
          <cell r="C10536" t="str">
            <v>nCino-Compl Consult 2024-2025</v>
          </cell>
          <cell r="H10536">
            <v>5054433</v>
          </cell>
          <cell r="AK10536" t="str">
            <v>Eugene Collett</v>
          </cell>
        </row>
        <row r="10537">
          <cell r="C10537" t="str">
            <v>Harford Bank TRID Training</v>
          </cell>
          <cell r="H10537">
            <v>5054202</v>
          </cell>
          <cell r="AK10537" t="str">
            <v>W. Annette Dredden</v>
          </cell>
        </row>
        <row r="10538">
          <cell r="C10538" t="str">
            <v>Mifflinburg Bank &amp; Trust C_RAS_2025</v>
          </cell>
          <cell r="H10538">
            <v>5039688</v>
          </cell>
          <cell r="AK10538" t="str">
            <v>Diane Banks</v>
          </cell>
        </row>
        <row r="10539">
          <cell r="C10539" t="str">
            <v>Dime Community Bank - FL HMDA CRA</v>
          </cell>
          <cell r="H10539">
            <v>5054344</v>
          </cell>
          <cell r="AK10539" t="str">
            <v>Leigh Tribou</v>
          </cell>
        </row>
        <row r="10540">
          <cell r="C10540" t="str">
            <v>CMB FCRM Review</v>
          </cell>
          <cell r="H10540">
            <v>5053863</v>
          </cell>
          <cell r="AK10540" t="str">
            <v>William Sachs</v>
          </cell>
        </row>
        <row r="10541">
          <cell r="C10541" t="str">
            <v>First Exchange Bank BSA Staff Augmentation</v>
          </cell>
          <cell r="H10541">
            <v>5054373</v>
          </cell>
          <cell r="AK10541" t="str">
            <v>Alice Judd</v>
          </cell>
        </row>
        <row r="10542">
          <cell r="C10542" t="str">
            <v>Watertown Savings Bank -NY_RAS_2025</v>
          </cell>
          <cell r="H10542">
            <v>5039572</v>
          </cell>
          <cell r="AK10542" t="str">
            <v>Diane Banks</v>
          </cell>
        </row>
        <row r="10543">
          <cell r="C10543" t="str">
            <v>KodaBank_RAS_2025</v>
          </cell>
          <cell r="H10543">
            <v>5039675</v>
          </cell>
          <cell r="AK10543" t="str">
            <v>Diane Banks</v>
          </cell>
        </row>
        <row r="10544">
          <cell r="C10544" t="str">
            <v>Bank of O'Fallon_RAS_2025</v>
          </cell>
          <cell r="H10544">
            <v>5040110</v>
          </cell>
          <cell r="AK10544" t="str">
            <v>Diane Banks</v>
          </cell>
        </row>
        <row r="10545">
          <cell r="C10545" t="str">
            <v>Banco Sabadell_RAS_2025</v>
          </cell>
          <cell r="H10545">
            <v>5039445</v>
          </cell>
          <cell r="AK10545" t="str">
            <v>Diane Banks</v>
          </cell>
        </row>
        <row r="10546">
          <cell r="C10546" t="str">
            <v>Shreya at CACIB</v>
          </cell>
          <cell r="H10546">
            <v>5054392</v>
          </cell>
          <cell r="AK10546" t="str">
            <v>Anika Yan</v>
          </cell>
        </row>
        <row r="10547">
          <cell r="C10547" t="str">
            <v>Citizens Bank - TN_RAS_2025</v>
          </cell>
          <cell r="H10547">
            <v>5040206</v>
          </cell>
          <cell r="AK10547" t="str">
            <v>Diane Banks</v>
          </cell>
        </row>
        <row r="10548">
          <cell r="C10548" t="str">
            <v>First Bank Richmond_RAS_2025</v>
          </cell>
          <cell r="H10548">
            <v>5039633</v>
          </cell>
          <cell r="AK10548" t="str">
            <v>Diane Banks</v>
          </cell>
        </row>
        <row r="10549">
          <cell r="C10549" t="str">
            <v>Merchants &amp; Planters Bank_RAS_2025</v>
          </cell>
          <cell r="H10549">
            <v>5039525</v>
          </cell>
          <cell r="AK10549" t="str">
            <v>Diane Banks</v>
          </cell>
        </row>
        <row r="10550">
          <cell r="C10550" t="str">
            <v>Hanover Community Bank_RAS_2025</v>
          </cell>
          <cell r="H10550">
            <v>5039510</v>
          </cell>
          <cell r="AK10550" t="str">
            <v>Diane Banks</v>
          </cell>
        </row>
        <row r="10551">
          <cell r="C10551" t="str">
            <v>Recurring Founders Bank CMS 2025</v>
          </cell>
          <cell r="H10551">
            <v>5054603</v>
          </cell>
          <cell r="AK10551" t="str">
            <v>David Stalnaker</v>
          </cell>
        </row>
        <row r="10552">
          <cell r="C10552" t="str">
            <v>Riley State Bank_RAS_2025</v>
          </cell>
          <cell r="H10552">
            <v>5040141</v>
          </cell>
          <cell r="AK10552" t="str">
            <v>Diane Banks</v>
          </cell>
        </row>
        <row r="10553">
          <cell r="C10553" t="str">
            <v>MCB_Cyber-PM_Extension</v>
          </cell>
          <cell r="H10553">
            <v>5054502</v>
          </cell>
          <cell r="AK10553" t="str">
            <v>Luke Penca</v>
          </cell>
        </row>
        <row r="10554">
          <cell r="C10554" t="str">
            <v>MS_ISG_ BSAAML &amp; OFAC Testing Feb/Mar 2025</v>
          </cell>
          <cell r="H10554">
            <v>5052311</v>
          </cell>
          <cell r="AK10554" t="str">
            <v>Ruben Sooriya</v>
          </cell>
        </row>
        <row r="10555">
          <cell r="C10555" t="str">
            <v>Community Bank Mankato_RAS_2025</v>
          </cell>
          <cell r="H10555">
            <v>5039617</v>
          </cell>
          <cell r="AK10555" t="str">
            <v>Diane Banks</v>
          </cell>
        </row>
        <row r="10556">
          <cell r="C10556" t="str">
            <v>Walden Savings Bank_RAS_2025</v>
          </cell>
          <cell r="H10556">
            <v>5039571</v>
          </cell>
          <cell r="AK10556" t="str">
            <v>Diane Banks</v>
          </cell>
        </row>
        <row r="10557">
          <cell r="C10557" t="str">
            <v>County Bank_RAS_2025</v>
          </cell>
          <cell r="H10557">
            <v>5039619</v>
          </cell>
          <cell r="AK10557" t="str">
            <v>Diane Banks</v>
          </cell>
        </row>
        <row r="10558">
          <cell r="C10558" t="str">
            <v>Dedham Institution for Sav_RAS_2025</v>
          </cell>
          <cell r="H10558">
            <v>5039477</v>
          </cell>
          <cell r="AK10558" t="str">
            <v>Diane Banks</v>
          </cell>
        </row>
        <row r="10559">
          <cell r="C10559" t="str">
            <v>Westfield Bank_RAS</v>
          </cell>
          <cell r="H10559">
            <v>5040149</v>
          </cell>
          <cell r="AK10559" t="str">
            <v>Diane Banks</v>
          </cell>
        </row>
        <row r="10560">
          <cell r="C10560" t="str">
            <v>Providence Bank_RAS</v>
          </cell>
          <cell r="H10560">
            <v>5040159</v>
          </cell>
          <cell r="AK10560" t="str">
            <v>Diane Banks</v>
          </cell>
        </row>
        <row r="10561">
          <cell r="C10561" t="str">
            <v>First National Bank of Mou_RAS_2025</v>
          </cell>
          <cell r="H10561">
            <v>5039496</v>
          </cell>
          <cell r="AK10561" t="str">
            <v>Diane Banks</v>
          </cell>
        </row>
        <row r="10562">
          <cell r="C10562" t="str">
            <v>FNB of Gordon_RAS_2025</v>
          </cell>
          <cell r="H10562">
            <v>5040125</v>
          </cell>
          <cell r="AK10562" t="str">
            <v>Diane Banks</v>
          </cell>
        </row>
        <row r="10563">
          <cell r="C10563" t="str">
            <v>The Harbor Bank of Marylan_RAS_2025</v>
          </cell>
          <cell r="H10563">
            <v>5039563</v>
          </cell>
          <cell r="AK10563" t="str">
            <v>Rebecca Breland</v>
          </cell>
        </row>
        <row r="10564">
          <cell r="C10564" t="str">
            <v>United Bank_RAS_2025</v>
          </cell>
          <cell r="H10564">
            <v>5039738</v>
          </cell>
          <cell r="AK10564" t="str">
            <v>Diane Banks</v>
          </cell>
        </row>
        <row r="10565">
          <cell r="C10565" t="str">
            <v>MCB_IAM and PROD neg sale</v>
          </cell>
          <cell r="H10565">
            <v>5047074</v>
          </cell>
          <cell r="AK10565" t="str">
            <v>Ridha Mesli</v>
          </cell>
        </row>
        <row r="10566">
          <cell r="C10566" t="str">
            <v>NexTier Bank NA_RAS_2025</v>
          </cell>
          <cell r="H10566">
            <v>5039693</v>
          </cell>
          <cell r="AK10566" t="str">
            <v>Diane Banks</v>
          </cell>
        </row>
        <row r="10567">
          <cell r="C10567" t="str">
            <v>FrMc_IC&amp;M Payment Mod 2025</v>
          </cell>
          <cell r="H10567">
            <v>5052346</v>
          </cell>
          <cell r="AK10567" t="str">
            <v>Kalkidan Tedla</v>
          </cell>
        </row>
        <row r="10568">
          <cell r="C10568" t="str">
            <v>EDO Design Adoption (Rest of Q1 Extension) Feb &amp; Mar 2025 (US Only)</v>
          </cell>
          <cell r="H10568">
            <v>5054441</v>
          </cell>
          <cell r="AK10568" t="str">
            <v>Ifeoluwa Ajelabi</v>
          </cell>
        </row>
        <row r="10569">
          <cell r="C10569" t="str">
            <v>RECURRING Artisans CMS Support 25</v>
          </cell>
          <cell r="H10569">
            <v>5054092</v>
          </cell>
          <cell r="AK10569" t="str">
            <v>David Stalnaker</v>
          </cell>
        </row>
        <row r="10570">
          <cell r="C10570" t="str">
            <v>Hanover Bank - 2024 HMDA Sample Review</v>
          </cell>
          <cell r="H10570">
            <v>5054593</v>
          </cell>
          <cell r="AK10570" t="str">
            <v>Juan Pimentel</v>
          </cell>
        </row>
        <row r="10571">
          <cell r="C10571" t="str">
            <v>Dean Bank</v>
          </cell>
          <cell r="H10571">
            <v>5054409</v>
          </cell>
          <cell r="AK10571" t="str">
            <v>Louvera Walden</v>
          </cell>
        </row>
        <row r="10572">
          <cell r="C10572" t="str">
            <v>GLIC Annual SOW Renewal</v>
          </cell>
          <cell r="H10572">
            <v>5054458</v>
          </cell>
          <cell r="AK10572" t="str">
            <v>Michelle Rosen</v>
          </cell>
        </row>
        <row r="10573">
          <cell r="C10573" t="str">
            <v>Citizens Bank - IN_RAS_2025</v>
          </cell>
          <cell r="H10573">
            <v>5040205</v>
          </cell>
          <cell r="AK10573" t="str">
            <v>Diane Banks</v>
          </cell>
        </row>
        <row r="10574">
          <cell r="C10574" t="str">
            <v>CCB Information Technology Risk Assessment 2025</v>
          </cell>
          <cell r="H10574">
            <v>5054372</v>
          </cell>
          <cell r="AK10574" t="str">
            <v>Mary Louise Radley</v>
          </cell>
        </row>
        <row r="10575">
          <cell r="C10575" t="str">
            <v>Calhoun Banks - Supplemental Monitoring 2025</v>
          </cell>
          <cell r="H10575">
            <v>5053967</v>
          </cell>
          <cell r="AK10575" t="str">
            <v>Eugene Collett</v>
          </cell>
        </row>
        <row r="10576">
          <cell r="C10576" t="str">
            <v>Hyperion Bank - CRA PE</v>
          </cell>
          <cell r="H10576">
            <v>5054590</v>
          </cell>
          <cell r="AK10576" t="str">
            <v>Steve Manitzas</v>
          </cell>
        </row>
        <row r="10577">
          <cell r="C10577" t="str">
            <v>FrMc_SecOps Modernization Support</v>
          </cell>
          <cell r="H10577">
            <v>5053956</v>
          </cell>
          <cell r="AK10577" t="str">
            <v>Gregory Barry</v>
          </cell>
        </row>
        <row r="10578">
          <cell r="C10578" t="str">
            <v>Conor at CACIB</v>
          </cell>
          <cell r="H10578">
            <v>5054389</v>
          </cell>
          <cell r="AK10578" t="str">
            <v>Garry Harvey</v>
          </cell>
        </row>
        <row r="10579">
          <cell r="C10579" t="str">
            <v>Aura Mortgage Advisors LL_RAS_2025</v>
          </cell>
          <cell r="H10579">
            <v>5039454</v>
          </cell>
          <cell r="AK10579" t="str">
            <v>Rebecca Breland</v>
          </cell>
        </row>
        <row r="10580">
          <cell r="C10580" t="str">
            <v>Wash Trust Co - HMDA Review</v>
          </cell>
          <cell r="H10580">
            <v>5054338</v>
          </cell>
          <cell r="AK10580" t="str">
            <v>Pamela Acciardo</v>
          </cell>
        </row>
        <row r="10581">
          <cell r="C10581" t="str">
            <v>Carlsbad National Bank_RAS_2025</v>
          </cell>
          <cell r="H10581">
            <v>5039459</v>
          </cell>
          <cell r="AK10581" t="str">
            <v>Diane Banks</v>
          </cell>
        </row>
        <row r="10582">
          <cell r="C10582" t="str">
            <v>Grove Bank &amp; Trust_RAS_2025</v>
          </cell>
          <cell r="H10582">
            <v>5044597</v>
          </cell>
          <cell r="AK10582" t="str">
            <v>Diane Banks</v>
          </cell>
        </row>
        <row r="10583">
          <cell r="C10583" t="str">
            <v>Lake Central Bank_RAS_2026</v>
          </cell>
          <cell r="H10583">
            <v>5039676</v>
          </cell>
          <cell r="AK10583" t="str">
            <v>Diane Banks</v>
          </cell>
        </row>
        <row r="10584">
          <cell r="C10584" t="str">
            <v>Community National Bank TX_RAS_2025</v>
          </cell>
          <cell r="H10584">
            <v>5048525</v>
          </cell>
          <cell r="AK10584" t="str">
            <v>Diane Banks</v>
          </cell>
        </row>
        <row r="10585">
          <cell r="C10585" t="str">
            <v>Inwood National Bank_RAS_2025</v>
          </cell>
          <cell r="H10585">
            <v>5040131</v>
          </cell>
          <cell r="AK10585" t="str">
            <v>Diane Banks</v>
          </cell>
        </row>
        <row r="10586">
          <cell r="C10586" t="str">
            <v>State Bank Financial_RAS_2025</v>
          </cell>
          <cell r="H10586">
            <v>5039553</v>
          </cell>
          <cell r="AK10586" t="str">
            <v>Diane Banks</v>
          </cell>
        </row>
        <row r="10587">
          <cell r="C10587" t="str">
            <v>CC Capital - Contact Center Negative Sale</v>
          </cell>
          <cell r="H10587">
            <v>5053711</v>
          </cell>
          <cell r="AK10587" t="str">
            <v>Randy Love</v>
          </cell>
        </row>
        <row r="10588">
          <cell r="C10588" t="str">
            <v>CGB Agri Fin Services_RAS_2025</v>
          </cell>
          <cell r="H10588">
            <v>5044533</v>
          </cell>
          <cell r="AK10588" t="str">
            <v>Diane Banks</v>
          </cell>
        </row>
        <row r="10589">
          <cell r="C10589" t="str">
            <v>Savings Bank of Danbury_RAS_2025</v>
          </cell>
          <cell r="H10589">
            <v>5039721</v>
          </cell>
          <cell r="AK10589" t="str">
            <v>Diane Banks</v>
          </cell>
        </row>
        <row r="10590">
          <cell r="C10590" t="str">
            <v>Arthur State Bank_RAS_2025</v>
          </cell>
          <cell r="H10590">
            <v>5039586</v>
          </cell>
          <cell r="AK10590" t="str">
            <v>Diane Banks</v>
          </cell>
        </row>
        <row r="10591">
          <cell r="C10591" t="str">
            <v>FrMc_Data Modernization Principals AMD</v>
          </cell>
          <cell r="H10591">
            <v>5052732</v>
          </cell>
          <cell r="AK10591" t="str">
            <v>Michael Mathew</v>
          </cell>
        </row>
        <row r="10592">
          <cell r="C10592" t="str">
            <v>Liberty Bank_AL_RAS_2025</v>
          </cell>
          <cell r="H10592">
            <v>5039678</v>
          </cell>
          <cell r="AK10592" t="str">
            <v>Diane Banks</v>
          </cell>
        </row>
        <row r="10593">
          <cell r="C10593" t="str">
            <v>Dime Community Bank_RAS_2025</v>
          </cell>
          <cell r="H10593">
            <v>5039479</v>
          </cell>
          <cell r="AK10593" t="str">
            <v>Diane Banks</v>
          </cell>
        </row>
        <row r="10594">
          <cell r="C10594" t="str">
            <v>Jeff - SPM Team</v>
          </cell>
          <cell r="H10594">
            <v>5054450</v>
          </cell>
          <cell r="AK10594" t="str">
            <v>Imran Parekh</v>
          </cell>
        </row>
        <row r="10595">
          <cell r="C10595" t="str">
            <v>Jeff_Firmwide GenAI Program</v>
          </cell>
          <cell r="H10595">
            <v>5054504</v>
          </cell>
          <cell r="AK10595" t="str">
            <v>Chinmoy Bhatiya</v>
          </cell>
        </row>
        <row r="10596">
          <cell r="C10596" t="str">
            <v>HSBC-GFP-PROC-Procurement Systems Integration - 2025</v>
          </cell>
          <cell r="H10596">
            <v>5054448</v>
          </cell>
          <cell r="AK10596" t="str">
            <v>Daisy Pradhan</v>
          </cell>
        </row>
        <row r="10597">
          <cell r="C10597" t="str">
            <v>Jefferies NBC Support</v>
          </cell>
          <cell r="H10597">
            <v>5054452</v>
          </cell>
          <cell r="AK10597" t="str">
            <v>Julia Simmons</v>
          </cell>
        </row>
        <row r="10598">
          <cell r="C10598" t="str">
            <v>AVAN-Governance Assessment</v>
          </cell>
          <cell r="H10598">
            <v>5054420</v>
          </cell>
          <cell r="AK10598" t="str">
            <v>Brett Fisher</v>
          </cell>
        </row>
        <row r="10599">
          <cell r="C10599" t="str">
            <v>Pru - DMN - Contract Money-In - Extension</v>
          </cell>
          <cell r="H10599">
            <v>5052987</v>
          </cell>
          <cell r="AK10599" t="str">
            <v>Seth Berman</v>
          </cell>
        </row>
        <row r="10600">
          <cell r="C10600" t="str">
            <v>Jeff_Managed Services_Mike Brown Extension #5</v>
          </cell>
          <cell r="H10600">
            <v>5052217</v>
          </cell>
          <cell r="AK10600" t="str">
            <v>Samuel Desta</v>
          </cell>
        </row>
        <row r="10601">
          <cell r="C10601" t="str">
            <v>Customers Bank VDD Auto Renewal</v>
          </cell>
          <cell r="H10601">
            <v>5053371</v>
          </cell>
          <cell r="AK10601" t="str">
            <v>Eugene Collett</v>
          </cell>
        </row>
        <row r="10602">
          <cell r="C10602" t="str">
            <v>Pru - DMN - Contract Foundational</v>
          </cell>
          <cell r="H10602">
            <v>5054323</v>
          </cell>
          <cell r="AK10602" t="str">
            <v>Harrison Corupe</v>
          </cell>
        </row>
        <row r="10603">
          <cell r="C10603" t="str">
            <v>Jefferies TCE Support Grace K - FY25 H1 Extension</v>
          </cell>
          <cell r="H10603">
            <v>5052914</v>
          </cell>
          <cell r="AK10603" t="str">
            <v>Imran Parekh</v>
          </cell>
        </row>
        <row r="10604">
          <cell r="C10604" t="str">
            <v>Pru - GI - Web Development Pod</v>
          </cell>
          <cell r="H10604">
            <v>5054455</v>
          </cell>
          <cell r="AK10604" t="str">
            <v>Deb Nelis</v>
          </cell>
        </row>
        <row r="10605">
          <cell r="C10605" t="str">
            <v>nCino_RAS</v>
          </cell>
          <cell r="H10605">
            <v>5054429</v>
          </cell>
          <cell r="AK10605" t="str">
            <v>Diane Banks</v>
          </cell>
        </row>
        <row r="10606">
          <cell r="C10606" t="str">
            <v>Jeff_Equity Swaps Global PM</v>
          </cell>
          <cell r="H10606">
            <v>5054451</v>
          </cell>
          <cell r="AK10606" t="str">
            <v>Sri Nonabur Srinivasamurthy</v>
          </cell>
        </row>
        <row r="10607">
          <cell r="C10607" t="str">
            <v>CC Capital - 3CLife - Forms Design &amp; Ops Support Extension #2</v>
          </cell>
          <cell r="H10607">
            <v>5053714</v>
          </cell>
          <cell r="AK10607" t="str">
            <v>Randy Love</v>
          </cell>
        </row>
        <row r="10608">
          <cell r="C10608" t="str">
            <v>MS_Data_Caleb Severn</v>
          </cell>
          <cell r="H10608">
            <v>5051790</v>
          </cell>
          <cell r="AK10608" t="str">
            <v>Erik Johnson</v>
          </cell>
        </row>
        <row r="10609">
          <cell r="C10609" t="str">
            <v>Cetera AI Studio 2025</v>
          </cell>
          <cell r="H10609">
            <v>5053032</v>
          </cell>
          <cell r="AK10609" t="str">
            <v>Noah Brooks</v>
          </cell>
        </row>
        <row r="10610">
          <cell r="C10610" t="str">
            <v>CC Capital - 3CLife - Phase 4 Feb Extension</v>
          </cell>
          <cell r="H10610">
            <v>5053732</v>
          </cell>
          <cell r="AK10610" t="str">
            <v>Randy Love</v>
          </cell>
        </row>
        <row r="10611">
          <cell r="C10611" t="str">
            <v>FrMc_SOC/IR Remediation Findings (SA) Role</v>
          </cell>
          <cell r="H10611">
            <v>5052346</v>
          </cell>
          <cell r="AK10611" t="str">
            <v>Kalkidan Tedla</v>
          </cell>
        </row>
        <row r="10612">
          <cell r="C10612" t="str">
            <v>Citi CDO Data Tracing 2025 Feb-Mar (UK Only)</v>
          </cell>
          <cell r="H10612">
            <v>5054480</v>
          </cell>
          <cell r="AK10612" t="str">
            <v>Ambika Kutty</v>
          </cell>
        </row>
        <row r="10613">
          <cell r="C10613" t="str">
            <v>ChTech-Compl-Mgmt-System</v>
          </cell>
          <cell r="H10613">
            <v>5054692</v>
          </cell>
          <cell r="AK10613" t="str">
            <v>Eugene Collett</v>
          </cell>
        </row>
        <row r="10614">
          <cell r="C10614" t="str">
            <v>Coastal Community Bank RCSA Support</v>
          </cell>
          <cell r="H10614">
            <v>5054432</v>
          </cell>
          <cell r="AK10614" t="str">
            <v>Pranay Kalra</v>
          </cell>
        </row>
        <row r="10615">
          <cell r="C10615" t="str">
            <v>Citi CDO Data Tracing 2025 Feb-Mar (US Only)</v>
          </cell>
          <cell r="H10615">
            <v>5054480</v>
          </cell>
          <cell r="AK10615" t="str">
            <v>Ambika Kutty</v>
          </cell>
        </row>
        <row r="10616">
          <cell r="C10616" t="str">
            <v>Vulnerability Mgt Enhancement - Alan</v>
          </cell>
          <cell r="H10616">
            <v>5054489</v>
          </cell>
          <cell r="AK10616" t="str">
            <v>Boris Mallet</v>
          </cell>
        </row>
        <row r="10617">
          <cell r="C10617" t="str">
            <v>GRC Training Refresh</v>
          </cell>
          <cell r="H10617">
            <v>5054847</v>
          </cell>
          <cell r="AK10617" t="str">
            <v>Tania Makuh</v>
          </cell>
        </row>
        <row r="10618">
          <cell r="C10618" t="str">
            <v>SELCO - Sales Operations Discovery</v>
          </cell>
          <cell r="H10618">
            <v>5054473</v>
          </cell>
          <cell r="AK10618" t="str">
            <v>Allison Duffee</v>
          </cell>
        </row>
        <row r="10619">
          <cell r="C10619" t="str">
            <v>USB_007_Brokerage Org Design Ph1</v>
          </cell>
          <cell r="H10619">
            <v>5054491</v>
          </cell>
          <cell r="AK10619" t="str">
            <v>Stephane Ritz</v>
          </cell>
        </row>
        <row r="10620">
          <cell r="C10620" t="str">
            <v>UVA_Leader Mindset Shift</v>
          </cell>
          <cell r="H10620">
            <v>5054262</v>
          </cell>
          <cell r="AK10620" t="str">
            <v>Michael Rappaport</v>
          </cell>
        </row>
        <row r="10621">
          <cell r="C10621" t="str">
            <v>Columbia Bank 2024 HMDA Data Review</v>
          </cell>
          <cell r="H10621">
            <v>5054501</v>
          </cell>
          <cell r="AK10621" t="str">
            <v>Alice Judd</v>
          </cell>
        </row>
        <row r="10622">
          <cell r="C10622" t="str">
            <v>BMO - Marketing Use Case Prioritization (w/ Consent Governance)</v>
          </cell>
          <cell r="H10622">
            <v>5054521</v>
          </cell>
          <cell r="AK10622" t="str">
            <v>Mark Mountan</v>
          </cell>
        </row>
        <row r="10623">
          <cell r="C10623" t="str">
            <v>CC Capital - 3CLife - SME Data Extension</v>
          </cell>
          <cell r="H10623">
            <v>5053922</v>
          </cell>
          <cell r="AK10623" t="str">
            <v>Randy Love</v>
          </cell>
        </row>
        <row r="10624">
          <cell r="C10624" t="str">
            <v>DB OQA Executive Check and Challenge</v>
          </cell>
          <cell r="H10624">
            <v>5054057</v>
          </cell>
          <cell r="AK10624" t="str">
            <v>Thanh Le Xuan</v>
          </cell>
        </row>
        <row r="10625">
          <cell r="C10625" t="str">
            <v>Pru - Assurance - Commissions 2</v>
          </cell>
          <cell r="H10625">
            <v>5054523</v>
          </cell>
          <cell r="AK10625" t="str">
            <v>Eric Fairchild</v>
          </cell>
        </row>
        <row r="10626">
          <cell r="C10626" t="str">
            <v>Citi CDO Data Tooling 2025 Feb-Mar(US Only)</v>
          </cell>
          <cell r="H10626">
            <v>5054548</v>
          </cell>
          <cell r="AK10626" t="str">
            <v>Ifeoluwa Ajelabi</v>
          </cell>
        </row>
        <row r="10627">
          <cell r="C10627" t="str">
            <v>Tompkins Financial_RAS</v>
          </cell>
          <cell r="H10627">
            <v>5054514</v>
          </cell>
          <cell r="AK10627" t="str">
            <v>Diane Banks</v>
          </cell>
        </row>
        <row r="10628">
          <cell r="C10628" t="str">
            <v>Negative - Mill Cities Communities Investments - Compliance Consulting</v>
          </cell>
          <cell r="H10628">
            <v>5048886</v>
          </cell>
          <cell r="AK10628" t="str">
            <v>Louvera Walden</v>
          </cell>
        </row>
        <row r="10629">
          <cell r="C10629" t="str">
            <v>Capital One BD CMBS Assessment</v>
          </cell>
          <cell r="H10629">
            <v>5054615</v>
          </cell>
          <cell r="AK10629" t="str">
            <v>Stephane Ritz</v>
          </cell>
        </row>
        <row r="10630">
          <cell r="C10630" t="str">
            <v>M&amp;T - Data Feed</v>
          </cell>
          <cell r="H10630">
            <v>5054718</v>
          </cell>
          <cell r="AK10630" t="str">
            <v>Leah Robinson</v>
          </cell>
        </row>
        <row r="10631">
          <cell r="C10631" t="str">
            <v>Customers Bank VDD Recurring Auto Renew</v>
          </cell>
          <cell r="H10631">
            <v>5053371</v>
          </cell>
          <cell r="AK10631" t="str">
            <v>Eugene Collett</v>
          </cell>
        </row>
        <row r="10632">
          <cell r="C10632" t="str">
            <v>JDS - Strategic Build (Phase 1)</v>
          </cell>
          <cell r="H10632">
            <v>5054604</v>
          </cell>
          <cell r="AK10632" t="str">
            <v>Neha Patel</v>
          </cell>
        </row>
        <row r="10633">
          <cell r="C10633" t="str">
            <v>Adirondack Trust Company</v>
          </cell>
          <cell r="H10633">
            <v>5054821</v>
          </cell>
          <cell r="AK10633" t="str">
            <v>Robert Farmer</v>
          </cell>
        </row>
        <row r="10634">
          <cell r="C10634" t="str">
            <v>OFS_-_.net Engineering Support</v>
          </cell>
          <cell r="H10634">
            <v>5054616</v>
          </cell>
          <cell r="AK10634" t="str">
            <v>Samuel Awsumb</v>
          </cell>
        </row>
        <row r="10635">
          <cell r="C10635" t="str">
            <v>Pru - PA - Advisor Domain Pod</v>
          </cell>
          <cell r="H10635">
            <v>5054594</v>
          </cell>
          <cell r="AK10635" t="str">
            <v>Stanley Rodrigues</v>
          </cell>
        </row>
        <row r="10636">
          <cell r="C10636" t="str">
            <v>AVAN-Digital Factory</v>
          </cell>
          <cell r="H10636">
            <v>5054606</v>
          </cell>
          <cell r="AK10636" t="str">
            <v>Adam West</v>
          </cell>
        </row>
        <row r="10637">
          <cell r="C10637" t="str">
            <v>NFCU_Mortgage Servicing Analysis</v>
          </cell>
          <cell r="H10637">
            <v>5054106</v>
          </cell>
          <cell r="AK10637" t="str">
            <v>Cody Jenkins</v>
          </cell>
        </row>
        <row r="10638">
          <cell r="C10638" t="str">
            <v>Truist_SOW #28 DCAM Assessment</v>
          </cell>
          <cell r="H10638">
            <v>5054369</v>
          </cell>
          <cell r="AK10638" t="str">
            <v>Kaitlin Cohen</v>
          </cell>
        </row>
        <row r="10639">
          <cell r="C10639" t="str">
            <v>Ives Bank Website Review</v>
          </cell>
          <cell r="H10639">
            <v>5054589</v>
          </cell>
          <cell r="AK10639" t="str">
            <v>Mariana Dumanovsky</v>
          </cell>
        </row>
        <row r="10640">
          <cell r="C10640" t="str">
            <v>NMB FCRM Validation</v>
          </cell>
          <cell r="H10640">
            <v>5054533</v>
          </cell>
          <cell r="AK10640" t="str">
            <v>William Sachs</v>
          </cell>
        </row>
        <row r="10641">
          <cell r="C10641" t="str">
            <v>Oak View Compliance Reviews</v>
          </cell>
          <cell r="H10641">
            <v>5054644</v>
          </cell>
          <cell r="AK10641" t="str">
            <v>David Stalnaker</v>
          </cell>
        </row>
        <row r="10642">
          <cell r="C10642" t="str">
            <v>CMA Channel Islands Wave 4 (CLSM)</v>
          </cell>
          <cell r="H10642">
            <v>5053455</v>
          </cell>
          <cell r="AK10642" t="str">
            <v>Brett Knickle</v>
          </cell>
        </row>
        <row r="10643">
          <cell r="C10643" t="str">
            <v>OHS_BSA Support for Process Documentation and Visualization</v>
          </cell>
          <cell r="H10643">
            <v>5054609</v>
          </cell>
          <cell r="AK10643" t="str">
            <v>Avishek Sinha</v>
          </cell>
        </row>
        <row r="10644">
          <cell r="C10644" t="str">
            <v>Jefferies Infrastructure - Program Project Support Analyst</v>
          </cell>
          <cell r="H10644">
            <v>5054547</v>
          </cell>
          <cell r="AK10644" t="str">
            <v>Imran Parekh</v>
          </cell>
        </row>
        <row r="10645">
          <cell r="C10645" t="str">
            <v>Bread Financial - Privacy Office 2.0 Expansion - Requirements</v>
          </cell>
          <cell r="H10645">
            <v>5053668</v>
          </cell>
          <cell r="AK10645" t="str">
            <v>Andy Soodek</v>
          </cell>
        </row>
        <row r="10646">
          <cell r="C10646" t="str">
            <v>CC Capital - 3CLife - Operations Support SME</v>
          </cell>
          <cell r="H10646">
            <v>5054618</v>
          </cell>
          <cell r="AK10646" t="str">
            <v>Randy Love</v>
          </cell>
        </row>
        <row r="10647">
          <cell r="C10647" t="str">
            <v>USF FCU_RAS</v>
          </cell>
          <cell r="H10647">
            <v>5054637</v>
          </cell>
          <cell r="AK10647" t="str">
            <v>Diane Banks</v>
          </cell>
        </row>
        <row r="10648">
          <cell r="C10648" t="str">
            <v>Schwab_Move Money Deliv Supp</v>
          </cell>
          <cell r="H10648">
            <v>5054493</v>
          </cell>
          <cell r="AK10648" t="str">
            <v>Ian Guidash</v>
          </cell>
        </row>
        <row r="10649">
          <cell r="C10649" t="str">
            <v>Right Shore- US Program Mgmt</v>
          </cell>
          <cell r="H10649">
            <v>5053515</v>
          </cell>
          <cell r="AK10649" t="str">
            <v>Lucy Geringer</v>
          </cell>
        </row>
        <row r="10650">
          <cell r="C10650" t="str">
            <v>OFS_-_.net Engineering Support</v>
          </cell>
          <cell r="H10650">
            <v>5054616</v>
          </cell>
          <cell r="AK10650" t="str">
            <v>Samuel Awsumb</v>
          </cell>
        </row>
        <row r="10651">
          <cell r="C10651" t="str">
            <v>OFS_-_.net Engineering Support</v>
          </cell>
          <cell r="H10651">
            <v>5054616</v>
          </cell>
          <cell r="AK10651" t="str">
            <v>Samuel Awsumb</v>
          </cell>
        </row>
        <row r="10652">
          <cell r="C10652" t="str">
            <v>Naehas Partnership Solution Architect SE</v>
          </cell>
          <cell r="H10652">
            <v>5054630</v>
          </cell>
          <cell r="AK10652" t="str">
            <v>Mark Mountan</v>
          </cell>
        </row>
        <row r="10653">
          <cell r="C10653" t="str">
            <v>CNB - ISO 20022 Readiness Assessment</v>
          </cell>
          <cell r="H10653">
            <v>5054608</v>
          </cell>
          <cell r="AK10653" t="str">
            <v>Glen Gannon</v>
          </cell>
        </row>
        <row r="10654">
          <cell r="C10654" t="str">
            <v>Bank Hapoalim - CRA Services</v>
          </cell>
          <cell r="H10654">
            <v>5054693</v>
          </cell>
          <cell r="AK10654" t="str">
            <v>Elanna Kooistra</v>
          </cell>
        </row>
        <row r="10655">
          <cell r="C10655" t="str">
            <v>RBFCU-CMS Review &amp; Gap Analysis</v>
          </cell>
          <cell r="H10655">
            <v>5054694</v>
          </cell>
          <cell r="AK10655" t="str">
            <v>Brian Phillips</v>
          </cell>
        </row>
        <row r="10656">
          <cell r="C10656" t="str">
            <v>Arvest Bank - Data Feed</v>
          </cell>
          <cell r="H10656">
            <v>5054822</v>
          </cell>
          <cell r="AK10656" t="str">
            <v>Leah Robinson</v>
          </cell>
        </row>
        <row r="10657">
          <cell r="C10657" t="str">
            <v>Harford Bank - CRA CD Lending Review</v>
          </cell>
          <cell r="H10657">
            <v>5054641</v>
          </cell>
          <cell r="AK10657" t="str">
            <v>Elanna Kooistra</v>
          </cell>
        </row>
        <row r="10658">
          <cell r="C10658" t="str">
            <v>USAA_Rvw of Purchase Agreements 2025</v>
          </cell>
          <cell r="H10658">
            <v>5054686</v>
          </cell>
          <cell r="AK10658" t="str">
            <v>Michael Austin</v>
          </cell>
        </row>
        <row r="10659">
          <cell r="C10659" t="str">
            <v>Platte Valley Financial Se_RAS_2025</v>
          </cell>
          <cell r="H10659">
            <v>5039542</v>
          </cell>
          <cell r="AK10659" t="str">
            <v>Diane Banks</v>
          </cell>
        </row>
        <row r="10660">
          <cell r="C10660" t="str">
            <v>MS_Diligent Surge Staffing TCV adj</v>
          </cell>
          <cell r="H10660">
            <v>5053188</v>
          </cell>
          <cell r="AK10660" t="str">
            <v>Brett Knickle</v>
          </cell>
        </row>
        <row r="10661">
          <cell r="C10661" t="str">
            <v>Amerant Bank_RAS_2025</v>
          </cell>
          <cell r="H10661">
            <v>5039685</v>
          </cell>
          <cell r="AK10661" t="str">
            <v>Diane Banks</v>
          </cell>
        </row>
        <row r="10662">
          <cell r="C10662" t="str">
            <v>USAA_TILA Good Faith Review 2025</v>
          </cell>
          <cell r="H10662">
            <v>5054687</v>
          </cell>
          <cell r="AK10662" t="str">
            <v>Michael Austin</v>
          </cell>
        </row>
        <row r="10663">
          <cell r="C10663" t="str">
            <v>USB_Offshore Business Bank POs Ext1</v>
          </cell>
          <cell r="H10663">
            <v>5054826</v>
          </cell>
          <cell r="AK10663" t="str">
            <v>Samuel Awsumb</v>
          </cell>
        </row>
        <row r="10664">
          <cell r="C10664" t="str">
            <v>SEIU_CLC EA Project Support Ph16</v>
          </cell>
          <cell r="H10664">
            <v>5041705</v>
          </cell>
          <cell r="AK10664" t="str">
            <v>Eric Fairchild</v>
          </cell>
        </row>
        <row r="10665">
          <cell r="C10665" t="str">
            <v>MVB Bank / Digital Banking Risk Assessment</v>
          </cell>
          <cell r="H10665">
            <v>5054009</v>
          </cell>
          <cell r="AK10665" t="str">
            <v>Robert Farmer</v>
          </cell>
        </row>
        <row r="10666">
          <cell r="C10666" t="str">
            <v>5039697 - Origin Bank_RAS</v>
          </cell>
          <cell r="H10666">
            <v>5039697</v>
          </cell>
          <cell r="AK10666" t="str">
            <v>Diane Banks</v>
          </cell>
        </row>
        <row r="10667">
          <cell r="C10667" t="str">
            <v>Rayne State Bank &amp; Trust C_RAS_2025</v>
          </cell>
          <cell r="H10667">
            <v>5039713</v>
          </cell>
          <cell r="AK10667" t="str">
            <v>Diane Banks</v>
          </cell>
        </row>
        <row r="10668">
          <cell r="C10668" t="str">
            <v>Bank of Millbrook QAR 2025</v>
          </cell>
          <cell r="H10668">
            <v>5053641</v>
          </cell>
          <cell r="AK10668" t="str">
            <v>Mary Louise Radley</v>
          </cell>
        </row>
        <row r="10669">
          <cell r="C10669" t="str">
            <v>Putnam County State Bank_RAS_2025</v>
          </cell>
          <cell r="H10669">
            <v>5039710</v>
          </cell>
          <cell r="AK10669" t="str">
            <v>Diane Banks</v>
          </cell>
        </row>
        <row r="10670">
          <cell r="C10670" t="str">
            <v>FirstBank_RAS_2025</v>
          </cell>
          <cell r="H10670">
            <v>5039662</v>
          </cell>
          <cell r="AK10670" t="str">
            <v>Diane Banks</v>
          </cell>
        </row>
        <row r="10671">
          <cell r="C10671" t="str">
            <v>City Bank &amp; Trust Company_RAS_2025</v>
          </cell>
          <cell r="H10671">
            <v>5039466</v>
          </cell>
          <cell r="AK10671" t="str">
            <v>Diane Banks</v>
          </cell>
        </row>
        <row r="10672">
          <cell r="C10672" t="str">
            <v>Columbia Bank_RAS_2025</v>
          </cell>
          <cell r="H10672">
            <v>5052958</v>
          </cell>
          <cell r="AK10672" t="str">
            <v>Rebecca Breland</v>
          </cell>
        </row>
        <row r="10673">
          <cell r="C10673" t="str">
            <v>ConnectOne Bank_RAS_2025</v>
          </cell>
          <cell r="H10673">
            <v>5039618</v>
          </cell>
          <cell r="AK10673" t="str">
            <v>Diane Banks</v>
          </cell>
        </row>
        <row r="10674">
          <cell r="C10674" t="str">
            <v>Legacy Bank - KS_RAS_2025</v>
          </cell>
          <cell r="H10674">
            <v>5041701</v>
          </cell>
          <cell r="AK10674" t="str">
            <v>Diane Banks</v>
          </cell>
        </row>
        <row r="10675">
          <cell r="C10675" t="str">
            <v>Grand Marais State Bank_RAS_2025</v>
          </cell>
          <cell r="H10675">
            <v>5040129</v>
          </cell>
          <cell r="AK10675" t="str">
            <v>Diane Banks</v>
          </cell>
        </row>
        <row r="10676">
          <cell r="C10676" t="str">
            <v>Westmoreland Federal Savin_RAS_2025</v>
          </cell>
          <cell r="H10676">
            <v>5039745</v>
          </cell>
          <cell r="AK10676" t="str">
            <v>Diane Banks</v>
          </cell>
        </row>
        <row r="10677">
          <cell r="C10677" t="str">
            <v>Peapack-Gladstone Bank_RAS_2025</v>
          </cell>
          <cell r="H10677">
            <v>5040138</v>
          </cell>
          <cell r="AK10677" t="str">
            <v>Rebecca Breland</v>
          </cell>
        </row>
        <row r="10678">
          <cell r="C10678" t="str">
            <v>Citizens First National Ba_RAS_2025</v>
          </cell>
          <cell r="H10678">
            <v>5039610</v>
          </cell>
          <cell r="AK10678" t="str">
            <v>Diane Banks</v>
          </cell>
        </row>
        <row r="10679">
          <cell r="C10679" t="str">
            <v>Optus Bank_RAS_2025</v>
          </cell>
          <cell r="H10679">
            <v>5039696</v>
          </cell>
          <cell r="AK10679" t="str">
            <v>Diane Banks</v>
          </cell>
        </row>
        <row r="10680">
          <cell r="C10680" t="str">
            <v>Orange Bank &amp; Trust Compan_RAS_2025</v>
          </cell>
          <cell r="H10680">
            <v>5039535</v>
          </cell>
          <cell r="AK10680" t="str">
            <v>Diane Banks</v>
          </cell>
        </row>
        <row r="10681">
          <cell r="C10681" t="str">
            <v>Empire State Bank NA - CRA Services and CRA Consulting - RECURRING</v>
          </cell>
          <cell r="H10681">
            <v>5054672</v>
          </cell>
          <cell r="AK10681" t="str">
            <v>Elanna Kooistra</v>
          </cell>
        </row>
        <row r="10682">
          <cell r="C10682" t="str">
            <v>Eagle Bank_RAS_2025</v>
          </cell>
          <cell r="H10682">
            <v>5039623</v>
          </cell>
          <cell r="AK10682" t="str">
            <v>Diane Banks</v>
          </cell>
        </row>
        <row r="10683">
          <cell r="C10683" t="str">
            <v>USAA Redisclosure Desk 2025</v>
          </cell>
          <cell r="H10683">
            <v>5054689</v>
          </cell>
          <cell r="AK10683" t="str">
            <v>Michael Austin</v>
          </cell>
        </row>
        <row r="10684">
          <cell r="C10684" t="str">
            <v>Ridgewood Savings Bank - Recurring FARB and RMSC Services</v>
          </cell>
          <cell r="H10684">
            <v>5054093</v>
          </cell>
          <cell r="AK10684" t="str">
            <v>Leigh Tribou</v>
          </cell>
        </row>
        <row r="10685">
          <cell r="C10685" t="str">
            <v>USAA_CDQA 2025</v>
          </cell>
          <cell r="H10685">
            <v>5054685</v>
          </cell>
          <cell r="AK10685" t="str">
            <v>Michael Austin</v>
          </cell>
        </row>
        <row r="10686">
          <cell r="C10686" t="str">
            <v>Harford Bank CRA Community Development and Small Business Training</v>
          </cell>
          <cell r="H10686">
            <v>5054631</v>
          </cell>
          <cell r="AK10686" t="str">
            <v>W. Annette Dredden</v>
          </cell>
        </row>
        <row r="10687">
          <cell r="C10687" t="str">
            <v>Alight Sanctions (OFAC) Alert Support</v>
          </cell>
          <cell r="H10687">
            <v>5054610</v>
          </cell>
          <cell r="AK10687" t="str">
            <v>Daniel Outcalt</v>
          </cell>
        </row>
        <row r="10688">
          <cell r="C10688" t="str">
            <v>Centennial Post-Close TRID QC</v>
          </cell>
          <cell r="H10688">
            <v>5054629</v>
          </cell>
          <cell r="AK10688" t="str">
            <v>Susan Stevenson</v>
          </cell>
        </row>
        <row r="10689">
          <cell r="C10689" t="str">
            <v>Jefferies PREM Prod Support Team</v>
          </cell>
          <cell r="H10689">
            <v>5054854</v>
          </cell>
          <cell r="AK10689" t="str">
            <v>John McCaffrey</v>
          </cell>
        </row>
        <row r="10690">
          <cell r="C10690" t="str">
            <v>WinTrust Financial Corp_RAS_2025</v>
          </cell>
          <cell r="H10690">
            <v>5040176</v>
          </cell>
          <cell r="AK10690" t="str">
            <v>Diane Banks</v>
          </cell>
        </row>
        <row r="10691">
          <cell r="C10691" t="str">
            <v>CC Capital - 3CLife - Data SME Extension #3</v>
          </cell>
          <cell r="H10691">
            <v>5054669</v>
          </cell>
          <cell r="AK10691" t="str">
            <v>Randy Love</v>
          </cell>
        </row>
        <row r="10692">
          <cell r="C10692" t="str">
            <v>Jeff_Treasury India Support 2025</v>
          </cell>
          <cell r="H10692">
            <v>5054664</v>
          </cell>
          <cell r="AK10692" t="str">
            <v>Conor Dowling</v>
          </cell>
        </row>
        <row r="10693">
          <cell r="C10693" t="str">
            <v>CMA Channel Islands eStatements Ext.</v>
          </cell>
          <cell r="H10693">
            <v>5053455</v>
          </cell>
          <cell r="AK10693" t="str">
            <v>Brett Knickle</v>
          </cell>
        </row>
        <row r="10694">
          <cell r="C10694" t="str">
            <v>Flow Monitor PM &amp; Designer</v>
          </cell>
          <cell r="H10694">
            <v>5052215</v>
          </cell>
          <cell r="AK10694" t="str">
            <v>Irina Szilagyi</v>
          </cell>
        </row>
        <row r="10695">
          <cell r="C10695" t="str">
            <v>JDS - Data PMO Lead</v>
          </cell>
          <cell r="H10695">
            <v>5054709</v>
          </cell>
          <cell r="AK10695" t="str">
            <v>Neha Patel</v>
          </cell>
        </row>
        <row r="10696">
          <cell r="C10696" t="str">
            <v>Pru - PGIM - AEM Program Manager</v>
          </cell>
          <cell r="H10696">
            <v>5053950</v>
          </cell>
          <cell r="AK10696" t="str">
            <v>Diego Sarai</v>
          </cell>
        </row>
        <row r="10697">
          <cell r="C10697" t="str">
            <v>TMC Extension</v>
          </cell>
          <cell r="H10697">
            <v>5054567</v>
          </cell>
          <cell r="AK10697" t="str">
            <v>Burt Yeo</v>
          </cell>
        </row>
        <row r="10698">
          <cell r="C10698" t="str">
            <v>CC Capital - 3CLife - Forms Design Extension #3</v>
          </cell>
          <cell r="H10698">
            <v>5054654</v>
          </cell>
          <cell r="AK10698" t="str">
            <v>Randy Love</v>
          </cell>
        </row>
        <row r="10699">
          <cell r="C10699" t="str">
            <v>CC Capital - 3CLife - Phase 5 Transition</v>
          </cell>
          <cell r="H10699">
            <v>5054653</v>
          </cell>
          <cell r="AK10699" t="str">
            <v>Randy Love</v>
          </cell>
        </row>
        <row r="10700">
          <cell r="C10700" t="str">
            <v>Coastal Community Bank - Issue Validation (Model)</v>
          </cell>
          <cell r="H10700">
            <v>5054500</v>
          </cell>
          <cell r="AK10700" t="str">
            <v>Aiswarya Parameswaran</v>
          </cell>
        </row>
        <row r="10701">
          <cell r="C10701" t="str">
            <v>MS Finance - Unified Billing Initiative (Shruti)</v>
          </cell>
          <cell r="H10701">
            <v>5053411</v>
          </cell>
          <cell r="AK10701" t="str">
            <v>Ruben Sooriya</v>
          </cell>
        </row>
        <row r="10702">
          <cell r="C10702" t="str">
            <v>MS_Project Falcon (Kyle A) March 2025</v>
          </cell>
          <cell r="H10702">
            <v>5051671</v>
          </cell>
          <cell r="AK10702" t="str">
            <v>Ruben Sooriya</v>
          </cell>
        </row>
        <row r="10703">
          <cell r="C10703" t="str">
            <v>Lennar BSA Indep. Test</v>
          </cell>
          <cell r="H10703">
            <v>5054413</v>
          </cell>
          <cell r="AK10703" t="str">
            <v>Eugene Collett</v>
          </cell>
        </row>
        <row r="10704">
          <cell r="C10704" t="str">
            <v>FCB Embedded Payments PM</v>
          </cell>
          <cell r="H10704">
            <v>5054627</v>
          </cell>
          <cell r="AK10704" t="str">
            <v>Seth Berman</v>
          </cell>
        </row>
        <row r="10705">
          <cell r="C10705" t="str">
            <v>Columbia Bank_RAS</v>
          </cell>
          <cell r="H10705">
            <v>5052958</v>
          </cell>
          <cell r="AK10705" t="str">
            <v>Diane Banks</v>
          </cell>
        </row>
        <row r="10706">
          <cell r="C10706" t="str">
            <v>Jefferies IT Problem Management Bridge</v>
          </cell>
          <cell r="H10706">
            <v>5053817</v>
          </cell>
          <cell r="AK10706" t="str">
            <v>John McCaffrey</v>
          </cell>
        </row>
        <row r="10707">
          <cell r="C10707" t="str">
            <v>FrMc_EO&amp;T BA (SA) Role</v>
          </cell>
          <cell r="H10707">
            <v>5052346</v>
          </cell>
          <cell r="AK10707" t="str">
            <v>Kalkidan Tedla</v>
          </cell>
        </row>
        <row r="10708">
          <cell r="C10708" t="str">
            <v>Pru - ILI - Simplified Solutions Expansion (1 Prod Analyst)</v>
          </cell>
          <cell r="H10708">
            <v>5054078</v>
          </cell>
          <cell r="AK10708" t="str">
            <v>Ana Santos</v>
          </cell>
        </row>
        <row r="10709">
          <cell r="C10709" t="str">
            <v>Battle Bank System Integration Extension- Phase 16</v>
          </cell>
          <cell r="H10709">
            <v>5050428</v>
          </cell>
          <cell r="AK10709" t="str">
            <v>James Kane</v>
          </cell>
        </row>
        <row r="10710">
          <cell r="C10710" t="str">
            <v>FCB_LendX_Product Designer Extension H1 2025</v>
          </cell>
          <cell r="H10710">
            <v>5051504</v>
          </cell>
          <cell r="AK10710" t="str">
            <v>Louisa Butler</v>
          </cell>
        </row>
        <row r="10711">
          <cell r="C10711" t="str">
            <v>Pru - DMN - Distributor Foundational - BE Developer - Matchmakers</v>
          </cell>
          <cell r="H10711">
            <v>5053691</v>
          </cell>
          <cell r="AK10711" t="str">
            <v>Vivek Natarajan</v>
          </cell>
        </row>
        <row r="10712">
          <cell r="C10712" t="str">
            <v>Credit Agricole - VPM FED Fixed Fee</v>
          </cell>
          <cell r="H10712">
            <v>5054777</v>
          </cell>
          <cell r="AK10712" t="str">
            <v>Jaydeep Thakkar</v>
          </cell>
        </row>
        <row r="10713">
          <cell r="C10713" t="str">
            <v>ICBC-USA - FLRA and FLSA</v>
          </cell>
          <cell r="H10713">
            <v>5054983</v>
          </cell>
          <cell r="AK10713" t="str">
            <v>Elanna Kooistra</v>
          </cell>
        </row>
        <row r="10714">
          <cell r="C10714" t="str">
            <v>SOW #27 - FFIEC Evidence QA (Subsidiaries and Affiliates) (RFP)</v>
          </cell>
          <cell r="H10714">
            <v>5054776</v>
          </cell>
          <cell r="AK10714" t="str">
            <v>Tyler Conover</v>
          </cell>
        </row>
        <row r="10715">
          <cell r="C10715" t="str">
            <v>USB_009_Repo Netting Report Ph1</v>
          </cell>
          <cell r="H10715">
            <v>5054670</v>
          </cell>
          <cell r="AK10715" t="str">
            <v>Samuel Awsumb</v>
          </cell>
        </row>
        <row r="10716">
          <cell r="C10716" t="str">
            <v>Census FCU</v>
          </cell>
          <cell r="H10716">
            <v>5054781</v>
          </cell>
          <cell r="AK10716" t="str">
            <v>W. Annette Dredden</v>
          </cell>
        </row>
        <row r="10717">
          <cell r="C10717" t="str">
            <v>Pru - GI - Microservices Pod</v>
          </cell>
          <cell r="H10717">
            <v>5054784</v>
          </cell>
          <cell r="AK10717" t="str">
            <v>Deb Nelis</v>
          </cell>
        </row>
        <row r="10718">
          <cell r="C10718" t="str">
            <v>Oak View National Bank_RAS</v>
          </cell>
          <cell r="H10718">
            <v>5054828</v>
          </cell>
          <cell r="AK10718" t="str">
            <v>Diane Banks</v>
          </cell>
        </row>
        <row r="10719">
          <cell r="C10719" t="str">
            <v>ALZ- ATA Supplemental Support - for March 2025</v>
          </cell>
          <cell r="H10719">
            <v>5051615</v>
          </cell>
          <cell r="AK10719" t="str">
            <v>Danielle Lutkus</v>
          </cell>
        </row>
        <row r="10720">
          <cell r="C10720" t="str">
            <v>Jeff_Enterprise Architecture Support</v>
          </cell>
          <cell r="H10720">
            <v>5054752</v>
          </cell>
          <cell r="AK10720" t="str">
            <v>Conor Dowling</v>
          </cell>
        </row>
        <row r="10721">
          <cell r="C10721" t="str">
            <v>Mizuho_US Op Resilience Program Build-Out [RFP]</v>
          </cell>
          <cell r="H10721">
            <v>5054751</v>
          </cell>
          <cell r="AK10721" t="str">
            <v>Dan Schutzman</v>
          </cell>
        </row>
        <row r="10722">
          <cell r="C10722" t="str">
            <v>Choice Bank MRM</v>
          </cell>
          <cell r="H10722">
            <v>5054775</v>
          </cell>
          <cell r="AK10722" t="str">
            <v>William Sachs</v>
          </cell>
        </row>
        <row r="10723">
          <cell r="C10723" t="str">
            <v>Metropolitan Commercial Bank - FLRA/FLSA</v>
          </cell>
          <cell r="H10723">
            <v>5054793</v>
          </cell>
          <cell r="AK10723" t="str">
            <v>Leigh Tribou</v>
          </cell>
        </row>
        <row r="10724">
          <cell r="C10724" t="str">
            <v>Periodic mortgage statement adherence to Reg. Z</v>
          </cell>
          <cell r="H10724">
            <v>5055161</v>
          </cell>
          <cell r="AK10724" t="str">
            <v>Eugene Collett</v>
          </cell>
        </row>
        <row r="10725">
          <cell r="C10725" t="str">
            <v>SEIU CX Support Ph 1</v>
          </cell>
          <cell r="H10725">
            <v>5054785</v>
          </cell>
          <cell r="AK10725" t="str">
            <v>Eric Fairchild</v>
          </cell>
        </row>
        <row r="10726">
          <cell r="C10726" t="str">
            <v>NMB BSA Support</v>
          </cell>
          <cell r="H10726">
            <v>5054750</v>
          </cell>
          <cell r="AK10726" t="str">
            <v>William Sachs</v>
          </cell>
        </row>
        <row r="10727">
          <cell r="C10727" t="str">
            <v>Customers Bank VDD Recurring Auto Renew Apr</v>
          </cell>
          <cell r="H10727">
            <v>5053371</v>
          </cell>
          <cell r="AK10727" t="str">
            <v>Eugene Collett</v>
          </cell>
        </row>
        <row r="10728">
          <cell r="C10728" t="str">
            <v>Manhattan Bank_RAS_2025</v>
          </cell>
          <cell r="H10728">
            <v>5039523</v>
          </cell>
          <cell r="AK10728" t="str">
            <v>Diane Banks</v>
          </cell>
        </row>
        <row r="10729">
          <cell r="C10729" t="str">
            <v>North American Banking Com_RAS_2025</v>
          </cell>
          <cell r="H10729">
            <v>5039694</v>
          </cell>
          <cell r="AK10729" t="str">
            <v>Diane Banks</v>
          </cell>
        </row>
        <row r="10730">
          <cell r="C10730" t="str">
            <v>WTC-Fair Lending Analysis Review &amp; Gap Analysis</v>
          </cell>
          <cell r="H10730">
            <v>5054410</v>
          </cell>
          <cell r="AK10730" t="str">
            <v>Elanna Kooistra</v>
          </cell>
        </row>
        <row r="10731">
          <cell r="C10731" t="str">
            <v>US Bank IMD Strategic Support Extension_FY2026</v>
          </cell>
          <cell r="H10731">
            <v>5054783</v>
          </cell>
          <cell r="AK10731" t="str">
            <v>Christopher De Sousa</v>
          </cell>
        </row>
        <row r="10732">
          <cell r="C10732" t="str">
            <v>2U/NBH Delivery Support - FY2026 Extension</v>
          </cell>
          <cell r="H10732">
            <v>5050472</v>
          </cell>
          <cell r="AK10732" t="str">
            <v>Adam Polson</v>
          </cell>
        </row>
        <row r="10733">
          <cell r="C10733" t="str">
            <v>Jeff_SD Compliance Lead PM Support</v>
          </cell>
          <cell r="H10733">
            <v>5054753</v>
          </cell>
          <cell r="AK10733" t="str">
            <v>Matthew Rodgers</v>
          </cell>
        </row>
        <row r="10734">
          <cell r="C10734" t="str">
            <v>Pru - PA - Advisor Domain Pod - Addition</v>
          </cell>
          <cell r="H10734">
            <v>5054594</v>
          </cell>
          <cell r="AK10734" t="str">
            <v>Stanley Rodrigues</v>
          </cell>
        </row>
        <row r="10735">
          <cell r="C10735" t="str">
            <v>WITS Platform Assessment</v>
          </cell>
          <cell r="H10735">
            <v>5055048</v>
          </cell>
          <cell r="AK10735" t="str">
            <v>Ajay Kumar Upadhyay</v>
          </cell>
        </row>
        <row r="10736">
          <cell r="C10736" t="str">
            <v>MCB_Finance-Ops Reconciliation</v>
          </cell>
          <cell r="H10736">
            <v>5054824</v>
          </cell>
          <cell r="AK10736" t="str">
            <v>Luke Penca</v>
          </cell>
        </row>
        <row r="10737">
          <cell r="C10737" t="str">
            <v>PCB-Compliance-Testing</v>
          </cell>
          <cell r="H10737">
            <v>5054984</v>
          </cell>
          <cell r="AK10737" t="str">
            <v>Eugene Collett</v>
          </cell>
        </row>
        <row r="10738">
          <cell r="C10738" t="str">
            <v>Quality Engineer Extension 2 (1 Developer)</v>
          </cell>
          <cell r="H10738">
            <v>5051148</v>
          </cell>
          <cell r="AK10738" t="str">
            <v>Souma Basu</v>
          </cell>
        </row>
        <row r="10739">
          <cell r="C10739" t="str">
            <v>Jefferies ISO impact and program management</v>
          </cell>
          <cell r="H10739">
            <v>5054754</v>
          </cell>
          <cell r="AK10739" t="str">
            <v>Julia Simmons</v>
          </cell>
        </row>
        <row r="10740">
          <cell r="C10740" t="str">
            <v>Negative Sales - Fidelity Alternative Investments Platform Modernization - Squad 2</v>
          </cell>
          <cell r="H10740">
            <v>5053879</v>
          </cell>
          <cell r="AK10740" t="str">
            <v>Lakshmi Talluri</v>
          </cell>
        </row>
        <row r="10741">
          <cell r="C10741" t="str">
            <v>FrMc_MF (SA) Ext</v>
          </cell>
          <cell r="H10741">
            <v>5052346</v>
          </cell>
          <cell r="AK10741" t="str">
            <v>Kalkidan Tedla</v>
          </cell>
        </row>
        <row r="10742">
          <cell r="C10742" t="str">
            <v>79935 - Compliance, Program Management, and Customer Research Support for MB 4.0 Modernization</v>
          </cell>
          <cell r="H10742">
            <v>5054866</v>
          </cell>
          <cell r="AK10742" t="str">
            <v>Mike McCarty</v>
          </cell>
        </row>
        <row r="10743">
          <cell r="C10743" t="str">
            <v>Negative Wipro Sales - Pru - PGIM - AEM Platform Go-Live</v>
          </cell>
          <cell r="H10743">
            <v>5053950</v>
          </cell>
          <cell r="AK10743" t="str">
            <v>Diego Sarai</v>
          </cell>
        </row>
        <row r="10744">
          <cell r="C10744" t="str">
            <v>Resiliency Enhancements Phase 2</v>
          </cell>
          <cell r="H10744">
            <v>5054970</v>
          </cell>
          <cell r="AK10744" t="str">
            <v>Conor Dowling</v>
          </cell>
        </row>
        <row r="10745">
          <cell r="C10745" t="str">
            <v>OFS_C# Engineering Support</v>
          </cell>
          <cell r="H10745">
            <v>5055062</v>
          </cell>
          <cell r="AK10745" t="str">
            <v>Samuel Awsumb</v>
          </cell>
        </row>
        <row r="10746">
          <cell r="C10746" t="str">
            <v>CMA - API &amp; Integrations Mgmt Resources</v>
          </cell>
          <cell r="H10746">
            <v>5053455</v>
          </cell>
          <cell r="AK10746" t="str">
            <v>Brett Knickle</v>
          </cell>
        </row>
        <row r="10747">
          <cell r="C10747" t="str">
            <v>FINRA Market Regulations Scoping_ Apr 2025</v>
          </cell>
          <cell r="H10747">
            <v>5050888</v>
          </cell>
          <cell r="AK10747" t="str">
            <v>Danny Li</v>
          </cell>
        </row>
        <row r="10748">
          <cell r="C10748" t="str">
            <v>Jeff_E-Comms CMDB IT Analyst Ext #1</v>
          </cell>
          <cell r="H10748">
            <v>5053790</v>
          </cell>
          <cell r="AK10748" t="str">
            <v>Chelsea Mattias</v>
          </cell>
        </row>
        <row r="10749">
          <cell r="C10749" t="str">
            <v>Pru - DMN - Contract Money-In - BA</v>
          </cell>
          <cell r="H10749">
            <v>5052987</v>
          </cell>
          <cell r="AK10749" t="str">
            <v>Seth Berman</v>
          </cell>
        </row>
        <row r="10750">
          <cell r="C10750" t="str">
            <v>SF Tech Developer</v>
          </cell>
          <cell r="H10750">
            <v>5054888</v>
          </cell>
          <cell r="AK10750" t="str">
            <v>Matthew Rodgers</v>
          </cell>
        </row>
        <row r="10751">
          <cell r="C10751" t="str">
            <v>Centennial 2025 HMDA Reviews</v>
          </cell>
          <cell r="H10751">
            <v>5055033</v>
          </cell>
          <cell r="AK10751" t="str">
            <v>Susan Stevenson</v>
          </cell>
        </row>
        <row r="10752">
          <cell r="C10752" t="str">
            <v>Arundel Federal Savings Bank MQC</v>
          </cell>
          <cell r="H10752">
            <v>5055034</v>
          </cell>
          <cell r="AK10752" t="str">
            <v>Christian Maier</v>
          </cell>
        </row>
        <row r="10753">
          <cell r="C10753" t="str">
            <v>Customers Bank_RAS_2025</v>
          </cell>
          <cell r="H10753">
            <v>5045167</v>
          </cell>
          <cell r="AK10753" t="str">
            <v>Diane Banks</v>
          </cell>
        </row>
        <row r="10754">
          <cell r="C10754" t="str">
            <v>Popular 2025  Assessment of Mortgage &amp; Small Business Lending Data for Regulatory Reporting Accuracy</v>
          </cell>
          <cell r="H10754">
            <v>5055433</v>
          </cell>
          <cell r="AK10754" t="str">
            <v>Susan Stevenson</v>
          </cell>
        </row>
        <row r="10755">
          <cell r="C10755" t="str">
            <v>Happy Money, Inc_RAS</v>
          </cell>
          <cell r="H10755">
            <v>5054995</v>
          </cell>
          <cell r="AK10755" t="str">
            <v>Diane Banks</v>
          </cell>
        </row>
        <row r="10756">
          <cell r="C10756" t="str">
            <v>HNB_Family Banking - Caregiver Banking Extension</v>
          </cell>
          <cell r="H10756">
            <v>5052698</v>
          </cell>
          <cell r="AK10756" t="str">
            <v>Spencer Feuer</v>
          </cell>
        </row>
        <row r="10757">
          <cell r="C10757" t="str">
            <v>Jeff_Managed Services_Mike Brown Extension #6</v>
          </cell>
          <cell r="H10757">
            <v>5052217</v>
          </cell>
          <cell r="AK10757" t="str">
            <v>Samuel Desta</v>
          </cell>
        </row>
        <row r="10758">
          <cell r="C10758" t="str">
            <v>SM&amp;C MRD &amp; Risk and Controls  2025 Ext Q2 (US Roles)</v>
          </cell>
          <cell r="H10758">
            <v>5054994</v>
          </cell>
          <cell r="AK10758" t="str">
            <v>George Georgiou</v>
          </cell>
        </row>
        <row r="10759">
          <cell r="C10759" t="str">
            <v>SM&amp;C Data Lineage 2025 Extension Q2 (US Roles)</v>
          </cell>
          <cell r="H10759">
            <v>5054953</v>
          </cell>
          <cell r="AK10759" t="str">
            <v>Hayden McMurrey</v>
          </cell>
        </row>
        <row r="10760">
          <cell r="C10760" t="str">
            <v>Highpoint Community Bank_RAS_2025</v>
          </cell>
          <cell r="H10760">
            <v>5039513</v>
          </cell>
          <cell r="AK10760" t="str">
            <v>Diane Banks</v>
          </cell>
        </row>
        <row r="10761">
          <cell r="C10761" t="str">
            <v>First Bank of Boaz_RAS_2025</v>
          </cell>
          <cell r="H10761">
            <v>5039491</v>
          </cell>
          <cell r="AK10761" t="str">
            <v>Diane Banks</v>
          </cell>
        </row>
        <row r="10762">
          <cell r="C10762" t="str">
            <v>Cetera AdviceWorks Transformation &amp; Support</v>
          </cell>
          <cell r="H10762">
            <v>5054862</v>
          </cell>
          <cell r="AK10762" t="str">
            <v>Cody Watson</v>
          </cell>
        </row>
        <row r="10763">
          <cell r="C10763" t="str">
            <v>FrMc_EO&amp;T PM Ext Roles (SA)</v>
          </cell>
          <cell r="H10763">
            <v>5052346</v>
          </cell>
          <cell r="AK10763" t="str">
            <v>Kalkidan Tedla</v>
          </cell>
        </row>
        <row r="10764">
          <cell r="C10764" t="str">
            <v>Flushing Savings Bank - HMDA &amp; CRA for 2025/2026</v>
          </cell>
          <cell r="H10764">
            <v>5054794</v>
          </cell>
          <cell r="AK10764" t="str">
            <v>David Belfer</v>
          </cell>
        </row>
        <row r="10765">
          <cell r="C10765" t="str">
            <v>FrMc_E&amp;OT Program Ext Roles</v>
          </cell>
          <cell r="H10765">
            <v>5052346</v>
          </cell>
          <cell r="AK10765" t="str">
            <v>Kalkidan Tedla</v>
          </cell>
        </row>
        <row r="10766">
          <cell r="C10766" t="str">
            <v>MS_FDO_PMO Support (Mia Metni/Supreet)</v>
          </cell>
          <cell r="H10766">
            <v>5054778</v>
          </cell>
          <cell r="AK10766" t="str">
            <v>Dan Schutzman</v>
          </cell>
        </row>
        <row r="10767">
          <cell r="C10767" t="str">
            <v>Services Surge 2025 Extension Q2 (US Roles)</v>
          </cell>
          <cell r="H10767">
            <v>5054951</v>
          </cell>
          <cell r="AK10767" t="str">
            <v>Ifeoluwa Ajelabi</v>
          </cell>
        </row>
        <row r="10768">
          <cell r="C10768" t="str">
            <v>EDO Data Tooling 2025 Extension Q2 (US Roles)</v>
          </cell>
          <cell r="H10768">
            <v>5054966</v>
          </cell>
          <cell r="AK10768" t="str">
            <v>Ifeoluwa Ajelabi</v>
          </cell>
        </row>
        <row r="10769">
          <cell r="C10769" t="str">
            <v>EDO Business Execution 2025 Extension Q2-4 (US Roles)</v>
          </cell>
          <cell r="H10769">
            <v>5054990</v>
          </cell>
          <cell r="AK10769" t="str">
            <v>Ifeoluwa Ajelabi</v>
          </cell>
        </row>
        <row r="10770">
          <cell r="C10770" t="str">
            <v>EDO DQ &amp; Forensics 2025 Extension Q2 (US Roles)</v>
          </cell>
          <cell r="H10770">
            <v>5054968</v>
          </cell>
          <cell r="AK10770" t="str">
            <v>Ifeoluwa Ajelabi</v>
          </cell>
        </row>
        <row r="10771">
          <cell r="C10771" t="str">
            <v>Pru - GI - Web Development Pod Additions</v>
          </cell>
          <cell r="H10771">
            <v>5054455</v>
          </cell>
          <cell r="AK10771" t="str">
            <v>Deb Nelis</v>
          </cell>
        </row>
        <row r="10772">
          <cell r="C10772" t="str">
            <v>FrMc_Cyber Role Ext (SA)</v>
          </cell>
          <cell r="H10772">
            <v>5052346</v>
          </cell>
          <cell r="AK10772" t="str">
            <v>Kalkidan Tedla</v>
          </cell>
        </row>
        <row r="10773">
          <cell r="C10773" t="str">
            <v>Blackstone Client Onboarding Transformation</v>
          </cell>
          <cell r="H10773">
            <v>5054932</v>
          </cell>
          <cell r="AK10773" t="str">
            <v>Bhavik Domadia</v>
          </cell>
        </row>
        <row r="10774">
          <cell r="C10774" t="str">
            <v>MS_KYC FY26</v>
          </cell>
          <cell r="H10774">
            <v>5054683</v>
          </cell>
          <cell r="AK10774" t="str">
            <v>Ruben Sooriya</v>
          </cell>
        </row>
        <row r="10775">
          <cell r="C10775" t="str">
            <v>MS_Project Falcon FY26</v>
          </cell>
          <cell r="H10775">
            <v>5054705</v>
          </cell>
          <cell r="AK10775" t="str">
            <v>Ruben Sooriya</v>
          </cell>
        </row>
        <row r="10776">
          <cell r="C10776" t="str">
            <v>MS_TPPM Business FY26</v>
          </cell>
          <cell r="H10776">
            <v>5054716</v>
          </cell>
          <cell r="AK10776" t="str">
            <v>Dan Schutzman</v>
          </cell>
        </row>
        <row r="10777">
          <cell r="C10777" t="str">
            <v>MS_WM Technology FY26</v>
          </cell>
          <cell r="H10777">
            <v>5054717</v>
          </cell>
          <cell r="AK10777" t="str">
            <v>Dan Schutzman</v>
          </cell>
        </row>
        <row r="10778">
          <cell r="C10778" t="str">
            <v>MS_HR Data BA FY26</v>
          </cell>
          <cell r="H10778">
            <v>5054735</v>
          </cell>
          <cell r="AK10778" t="str">
            <v>Kshitij Zaveri</v>
          </cell>
        </row>
        <row r="10779">
          <cell r="C10779" t="str">
            <v>MS_WM Business FY26</v>
          </cell>
          <cell r="H10779">
            <v>5054733</v>
          </cell>
          <cell r="AK10779" t="str">
            <v>Dan Schutzman</v>
          </cell>
        </row>
        <row r="10780">
          <cell r="C10780" t="str">
            <v>American Bank CRA Reviews</v>
          </cell>
          <cell r="H10780">
            <v>5055304</v>
          </cell>
          <cell r="AK10780" t="str">
            <v>Susan Stevenson</v>
          </cell>
        </row>
        <row r="10781">
          <cell r="C10781" t="str">
            <v>Mortgage Loan Exceptions and Disclosure Compliance Consulting</v>
          </cell>
          <cell r="H10781">
            <v>5055155</v>
          </cell>
          <cell r="AK10781" t="str">
            <v>Susan Stevenson</v>
          </cell>
        </row>
        <row r="10782">
          <cell r="C10782" t="str">
            <v>MS_Finance FY26</v>
          </cell>
          <cell r="H10782">
            <v>5054720</v>
          </cell>
          <cell r="AK10782" t="str">
            <v>Ruben Sooriya</v>
          </cell>
        </row>
        <row r="10783">
          <cell r="C10783" t="str">
            <v>Wealth Tech PMO Amendment #4</v>
          </cell>
          <cell r="H10783">
            <v>5055102</v>
          </cell>
          <cell r="AK10783" t="str">
            <v>Jennifer Hsiung</v>
          </cell>
        </row>
        <row r="10784">
          <cell r="C10784" t="str">
            <v>Assessment of Mortgage Lending Data for Regulatory Reporting Accuracy</v>
          </cell>
          <cell r="H10784">
            <v>5055157</v>
          </cell>
          <cell r="AK10784" t="str">
            <v>Susan Stevenson</v>
          </cell>
        </row>
        <row r="10785">
          <cell r="C10785" t="str">
            <v>TBLRC-Compliance-Review-2025</v>
          </cell>
          <cell r="H10785">
            <v>5054991</v>
          </cell>
          <cell r="AK10785" t="str">
            <v>Eugene Collett</v>
          </cell>
        </row>
        <row r="10786">
          <cell r="C10786" t="str">
            <v>GRC Compliance Content License</v>
          </cell>
          <cell r="H10786">
            <v>5054988</v>
          </cell>
          <cell r="AK10786" t="str">
            <v>Gregg Henzel</v>
          </cell>
        </row>
        <row r="10787">
          <cell r="C10787" t="str">
            <v>Banco do Brasil Americas 2025 Mortgage Compliance Reviews</v>
          </cell>
          <cell r="H10787">
            <v>5055129</v>
          </cell>
          <cell r="AK10787" t="str">
            <v>Susan Stevenson</v>
          </cell>
        </row>
        <row r="10788">
          <cell r="C10788" t="str">
            <v>Legal and Compliance BA FY25H2</v>
          </cell>
          <cell r="H10788">
            <v>5055125</v>
          </cell>
          <cell r="AK10788" t="str">
            <v>Conor Dowling</v>
          </cell>
        </row>
        <row r="10789">
          <cell r="C10789" t="str">
            <v>MS_WMT Advisory FY26</v>
          </cell>
          <cell r="H10789">
            <v>5054734</v>
          </cell>
          <cell r="AK10789" t="str">
            <v>Dan Schutzman</v>
          </cell>
        </row>
        <row r="10790">
          <cell r="C10790" t="str">
            <v>MS_US ISG Ops Bangalore FY26</v>
          </cell>
          <cell r="H10790">
            <v>5054681</v>
          </cell>
          <cell r="AK10790" t="str">
            <v>Csaba Biro</v>
          </cell>
        </row>
        <row r="10791">
          <cell r="C10791" t="str">
            <v>MS_WM Operations FY26</v>
          </cell>
          <cell r="H10791">
            <v>5054738</v>
          </cell>
          <cell r="AK10791" t="str">
            <v>Dan Schutzman</v>
          </cell>
        </row>
        <row r="10792">
          <cell r="C10792" t="str">
            <v>First Metro Bank_RAS_2025</v>
          </cell>
          <cell r="H10792">
            <v>5039643</v>
          </cell>
          <cell r="AK10792" t="str">
            <v>Diane Banks</v>
          </cell>
        </row>
        <row r="10793">
          <cell r="C10793" t="str">
            <v>Jefferies_Managed Service - Adverse News Reviews Extension 4</v>
          </cell>
          <cell r="H10793">
            <v>5052396</v>
          </cell>
          <cell r="AK10793" t="str">
            <v>Samuel Desta</v>
          </cell>
        </row>
        <row r="10794">
          <cell r="C10794" t="str">
            <v>MS_US ISG Ops Mumbai FY26</v>
          </cell>
          <cell r="H10794">
            <v>5054682</v>
          </cell>
          <cell r="AK10794" t="str">
            <v>Csaba Biro</v>
          </cell>
        </row>
        <row r="10795">
          <cell r="C10795" t="str">
            <v>MS_MSIM FY26</v>
          </cell>
          <cell r="H10795">
            <v>5054706</v>
          </cell>
          <cell r="AK10795" t="str">
            <v>Dan Schutzman</v>
          </cell>
        </row>
        <row r="10796">
          <cell r="C10796" t="str">
            <v>MS_ISG Operations FY26</v>
          </cell>
          <cell r="H10796">
            <v>5054762</v>
          </cell>
          <cell r="AK10796" t="str">
            <v>Csaba Biro</v>
          </cell>
        </row>
        <row r="10797">
          <cell r="C10797" t="str">
            <v>Banco do Brasil Americas HMDA CRA Reviews 2025</v>
          </cell>
          <cell r="H10797">
            <v>5055109</v>
          </cell>
          <cell r="AK10797" t="str">
            <v>Susan Stevenson</v>
          </cell>
        </row>
        <row r="10798">
          <cell r="C10798" t="str">
            <v>RECURRING_PSB&amp;T_CMS Optimizer 2025</v>
          </cell>
          <cell r="H10798">
            <v>5054795</v>
          </cell>
          <cell r="AK10798" t="str">
            <v>Jeanette Wampler</v>
          </cell>
        </row>
        <row r="10799">
          <cell r="C10799" t="str">
            <v>WTB 2025 Compliance Testing for HMDA Data</v>
          </cell>
          <cell r="H10799">
            <v>5055815</v>
          </cell>
          <cell r="AK10799" t="str">
            <v>Susan Stevenson</v>
          </cell>
        </row>
        <row r="10800">
          <cell r="C10800" t="str">
            <v>SM&amp;C Reg Remediation 2025 Extension Q2 (US Roles)</v>
          </cell>
          <cell r="H10800">
            <v>5054958</v>
          </cell>
          <cell r="AK10800" t="str">
            <v>George Georgiou</v>
          </cell>
        </row>
        <row r="10801">
          <cell r="C10801" t="str">
            <v>Peapack Private Bank and Trust</v>
          </cell>
          <cell r="H10801">
            <v>5054867</v>
          </cell>
          <cell r="AK10801" t="str">
            <v>Christian Maier</v>
          </cell>
        </row>
        <row r="10802">
          <cell r="C10802" t="str">
            <v>EDO DCRM Governance Metrics &amp; Reporting  Extension 2025 Q2 (US Roles)</v>
          </cell>
          <cell r="H10802">
            <v>5054967</v>
          </cell>
          <cell r="AK10802" t="str">
            <v>Ifeoluwa Ajelabi</v>
          </cell>
        </row>
        <row r="10803">
          <cell r="C10803" t="str">
            <v>Comm Bank of Texas N.A._RAS_2025</v>
          </cell>
          <cell r="H10803">
            <v>5040178</v>
          </cell>
          <cell r="AK10803" t="str">
            <v>Diane Banks</v>
          </cell>
        </row>
        <row r="10804">
          <cell r="C10804" t="str">
            <v>Assessment of Small Business Lending Records for Regulatory Reporting Accuracy</v>
          </cell>
          <cell r="H10804">
            <v>5055156</v>
          </cell>
          <cell r="AK10804" t="str">
            <v>Susan Stevenson</v>
          </cell>
        </row>
        <row r="10805">
          <cell r="C10805" t="str">
            <v>HSBC-GFP-DAT-WIPRO-Platform Engineering</v>
          </cell>
          <cell r="H10805">
            <v>5054986</v>
          </cell>
          <cell r="AK10805" t="str">
            <v>Janardhan Devarajan</v>
          </cell>
        </row>
        <row r="10806">
          <cell r="C10806" t="str">
            <v>MS_Data FY26</v>
          </cell>
          <cell r="H10806">
            <v>5054704</v>
          </cell>
          <cell r="AK10806" t="str">
            <v>Dan Schutzman</v>
          </cell>
        </row>
        <row r="10807">
          <cell r="C10807" t="str">
            <v>Isabella Bank_RAS_2025</v>
          </cell>
          <cell r="H10807">
            <v>5040180</v>
          </cell>
          <cell r="AK10807" t="str">
            <v>Diane Banks</v>
          </cell>
        </row>
        <row r="10808">
          <cell r="C10808" t="str">
            <v>Unified Bank Risk Assessments</v>
          </cell>
          <cell r="H10808">
            <v>5054868</v>
          </cell>
          <cell r="AK10808" t="str">
            <v>Louvera Walden</v>
          </cell>
        </row>
        <row r="10809">
          <cell r="C10809" t="str">
            <v>Parkersburg_CSI Validation</v>
          </cell>
          <cell r="H10809">
            <v>5054823</v>
          </cell>
          <cell r="AK10809" t="str">
            <v>William Sachs</v>
          </cell>
        </row>
        <row r="10810">
          <cell r="C10810" t="str">
            <v>Target - Circle Card Day 2 Team</v>
          </cell>
          <cell r="H10810">
            <v>5049312</v>
          </cell>
          <cell r="AK10810" t="str">
            <v>Ryan Keller</v>
          </cell>
        </row>
        <row r="10811">
          <cell r="C10811" t="str">
            <v>MS - IN - Data Big ID FY26</v>
          </cell>
          <cell r="H10811">
            <v>5054996</v>
          </cell>
          <cell r="AK10811" t="str">
            <v>Paul Laurent</v>
          </cell>
        </row>
        <row r="10812">
          <cell r="C10812" t="str">
            <v>NFCU KYC / Ozark Extension</v>
          </cell>
          <cell r="H10812">
            <v>5054884</v>
          </cell>
          <cell r="AK10812" t="str">
            <v>Daniel Outcalt</v>
          </cell>
        </row>
        <row r="10813">
          <cell r="C10813" t="str">
            <v>RSB - FL CRA HMDA Services_Oct2024</v>
          </cell>
          <cell r="H10813">
            <v>5051904</v>
          </cell>
          <cell r="AK10813" t="str">
            <v>Leigh Tribou</v>
          </cell>
        </row>
        <row r="10814">
          <cell r="C10814" t="str">
            <v>Magnolia State Bank_RAS_2025</v>
          </cell>
          <cell r="H10814">
            <v>5039681</v>
          </cell>
          <cell r="AK10814" t="str">
            <v>Rebecca Breland</v>
          </cell>
        </row>
        <row r="10815">
          <cell r="C10815" t="str">
            <v>Traditions First Bank_RAS_2025</v>
          </cell>
          <cell r="H10815">
            <v>5039735</v>
          </cell>
          <cell r="AK10815" t="str">
            <v>Rebecca Breland</v>
          </cell>
        </row>
        <row r="10816">
          <cell r="C10816" t="str">
            <v>Altoona First Savings Bank_RAS_2025</v>
          </cell>
          <cell r="H10816">
            <v>5039581</v>
          </cell>
          <cell r="AK10816" t="str">
            <v>Diane Banks</v>
          </cell>
        </row>
        <row r="10817">
          <cell r="C10817" t="str">
            <v>First United Bank &amp; Trust _RAS_2025</v>
          </cell>
          <cell r="H10817">
            <v>5039501</v>
          </cell>
          <cell r="AK10817" t="str">
            <v>Diane Banks</v>
          </cell>
        </row>
        <row r="10818">
          <cell r="C10818" t="str">
            <v>Pru - ILI - NBUW Journey - API Dev Amendment</v>
          </cell>
          <cell r="H10818">
            <v>5054164</v>
          </cell>
          <cell r="AK10818" t="str">
            <v>Deb Nelis</v>
          </cell>
        </row>
        <row r="10819">
          <cell r="C10819" t="str">
            <v>Truist_SOW#20 CO#2 NYDFS Core Team Expansion 2025 Extension</v>
          </cell>
          <cell r="H10819">
            <v>5053235</v>
          </cell>
          <cell r="AK10819" t="str">
            <v>Jori Heikkinen</v>
          </cell>
        </row>
        <row r="10820">
          <cell r="C10820" t="str">
            <v>Jefferies_Managed Services - Transaction Monitoring Ext 4</v>
          </cell>
          <cell r="H10820">
            <v>5052378</v>
          </cell>
          <cell r="AK10820" t="str">
            <v>Samuel Desta</v>
          </cell>
        </row>
        <row r="10821">
          <cell r="C10821" t="str">
            <v>Target Extension Offshore Testing Resources</v>
          </cell>
          <cell r="H10821">
            <v>5052860</v>
          </cell>
          <cell r="AK10821" t="str">
            <v>Atul Shivraj</v>
          </cell>
        </row>
        <row r="10822">
          <cell r="C10822" t="str">
            <v>MS_ISG BSA/AML &amp; OFAC Testing Support Apr-Sept</v>
          </cell>
          <cell r="H10822">
            <v>5052311</v>
          </cell>
          <cell r="AK10822" t="str">
            <v>Ruben Sooriya</v>
          </cell>
        </row>
        <row r="10823">
          <cell r="C10823" t="str">
            <v>First Citizens National Ba_RAS_2025</v>
          </cell>
          <cell r="H10823">
            <v>5039635</v>
          </cell>
          <cell r="AK10823" t="str">
            <v>Diane Banks</v>
          </cell>
        </row>
        <row r="10824">
          <cell r="C10824" t="str">
            <v>MMC HR Support/Right Shore program</v>
          </cell>
          <cell r="H10824">
            <v>5053515</v>
          </cell>
          <cell r="AK10824" t="str">
            <v>Lucy Geringer</v>
          </cell>
        </row>
        <row r="10825">
          <cell r="C10825" t="str">
            <v>Magnolia State Bank_RAS_2025</v>
          </cell>
          <cell r="H10825">
            <v>5040203</v>
          </cell>
          <cell r="AK10825" t="str">
            <v>Diane Banks</v>
          </cell>
        </row>
        <row r="10826">
          <cell r="C10826" t="str">
            <v>Albany Bank &amp; Trust Compan_RAS_25</v>
          </cell>
          <cell r="H10826">
            <v>5039438</v>
          </cell>
          <cell r="AK10826" t="str">
            <v>Rebecca Breland</v>
          </cell>
        </row>
        <row r="10827">
          <cell r="C10827" t="str">
            <v>Community Bank - KS_RAS_2025</v>
          </cell>
          <cell r="H10827">
            <v>5040118</v>
          </cell>
          <cell r="AK10827" t="str">
            <v>Diane Banks</v>
          </cell>
        </row>
        <row r="10828">
          <cell r="C10828" t="str">
            <v>USB_Tech Risk Control Work</v>
          </cell>
          <cell r="H10828">
            <v>5054999</v>
          </cell>
          <cell r="AK10828" t="str">
            <v>Samuel Awsumb</v>
          </cell>
        </row>
        <row r="10829">
          <cell r="C10829" t="str">
            <v>LCEF Accounting and Finance Org. Design</v>
          </cell>
          <cell r="H10829">
            <v>5055013</v>
          </cell>
          <cell r="AK10829" t="str">
            <v>Emily Glaessner</v>
          </cell>
        </row>
        <row r="10830">
          <cell r="C10830" t="str">
            <v>AB - Private Wealth Marketing Activation &amp; Transformation</v>
          </cell>
          <cell r="H10830">
            <v>5055042</v>
          </cell>
          <cell r="AK10830" t="str">
            <v>Allison Duffee</v>
          </cell>
        </row>
        <row r="10831">
          <cell r="C10831" t="str">
            <v>Davies Life and Health Infrastructure Assessment</v>
          </cell>
          <cell r="H10831">
            <v>5055024</v>
          </cell>
          <cell r="AK10831" t="str">
            <v>Deb Nelis</v>
          </cell>
        </row>
        <row r="10832">
          <cell r="C10832" t="str">
            <v>Jeff_Mulesoft Decom work</v>
          </cell>
          <cell r="H10832">
            <v>5055025</v>
          </cell>
          <cell r="AK10832" t="str">
            <v>John McCaffrey</v>
          </cell>
        </row>
        <row r="10833">
          <cell r="C10833" t="str">
            <v>Lazard - Security Awareness Extension</v>
          </cell>
          <cell r="H10833">
            <v>5053104</v>
          </cell>
          <cell r="AK10833" t="str">
            <v>Danielle Theroux</v>
          </cell>
        </row>
        <row r="10834">
          <cell r="C10834" t="str">
            <v>Jefferies GCO Support</v>
          </cell>
          <cell r="H10834">
            <v>5055127</v>
          </cell>
          <cell r="AK10834" t="str">
            <v>Raymond Ortiz II</v>
          </cell>
        </row>
        <row r="10835">
          <cell r="C10835" t="str">
            <v>Pru - PGIM - AEM Developers</v>
          </cell>
          <cell r="H10835">
            <v>5053950</v>
          </cell>
          <cell r="AK10835" t="str">
            <v>Diego Sarai</v>
          </cell>
        </row>
        <row r="10836">
          <cell r="C10836" t="str">
            <v>Credit Agricole - JIRA VPM Role</v>
          </cell>
          <cell r="H10836">
            <v>5055086</v>
          </cell>
          <cell r="AK10836" t="str">
            <v>Jaydeep Thakkar</v>
          </cell>
        </row>
        <row r="10837">
          <cell r="C10837" t="str">
            <v>FrMc_IC&amp;M BA Role (SA)</v>
          </cell>
          <cell r="H10837">
            <v>5052346</v>
          </cell>
          <cell r="AK10837" t="str">
            <v>Kalkidan Tedla</v>
          </cell>
        </row>
        <row r="10838">
          <cell r="C10838" t="str">
            <v>Pru - GI - Mobile App - Web App Support Extension</v>
          </cell>
          <cell r="H10838">
            <v>5052841</v>
          </cell>
          <cell r="AK10838" t="str">
            <v>Deb Nelis</v>
          </cell>
        </row>
        <row r="10839">
          <cell r="C10839" t="str">
            <v>Equities FO Tech PM Support Ext June 30 2025</v>
          </cell>
          <cell r="H10839">
            <v>5055069</v>
          </cell>
          <cell r="AK10839" t="str">
            <v>Sri Nonabur Srinivasamurthy</v>
          </cell>
        </row>
        <row r="10840">
          <cell r="C10840" t="str">
            <v>Pru - DMN - Contract Money-In - Springboard Team Extension</v>
          </cell>
          <cell r="H10840">
            <v>5052987</v>
          </cell>
          <cell r="AK10840" t="str">
            <v>Seth Berman</v>
          </cell>
        </row>
        <row r="10841">
          <cell r="C10841" t="str">
            <v>HSBC-GFP-DAT-Application Rvw 2</v>
          </cell>
          <cell r="H10841">
            <v>5055027</v>
          </cell>
          <cell r="AK10841" t="str">
            <v>Daisy Pradhan</v>
          </cell>
        </row>
        <row r="10842">
          <cell r="C10842" t="str">
            <v>FrMc_MF Role Extension (SA)</v>
          </cell>
          <cell r="H10842">
            <v>5052346</v>
          </cell>
          <cell r="AK10842" t="str">
            <v>Kalkidan Tedla</v>
          </cell>
        </row>
        <row r="10843">
          <cell r="C10843" t="str">
            <v>FrMc_Cyber Role Ext (SA)</v>
          </cell>
          <cell r="H10843">
            <v>5052346</v>
          </cell>
          <cell r="AK10843" t="str">
            <v>Kalkidan Tedla</v>
          </cell>
        </row>
        <row r="10844">
          <cell r="C10844" t="str">
            <v>Santander - KYC Refresh</v>
          </cell>
          <cell r="H10844">
            <v>5055073</v>
          </cell>
          <cell r="AK10844" t="str">
            <v>Dana Schwaeber</v>
          </cell>
        </row>
        <row r="10845">
          <cell r="C10845" t="str">
            <v>Jeff_Risk Program Tech Support FY26 1H</v>
          </cell>
          <cell r="H10845">
            <v>5055126</v>
          </cell>
          <cell r="AK10845" t="str">
            <v>Imran Parekh</v>
          </cell>
        </row>
        <row r="10846">
          <cell r="C10846" t="str">
            <v>GRC - Policy and Document Management Solution License and Support Fee</v>
          </cell>
          <cell r="H10846">
            <v>5055593</v>
          </cell>
          <cell r="AK10846" t="str">
            <v>Gregg Henzel</v>
          </cell>
        </row>
        <row r="10847">
          <cell r="C10847" t="str">
            <v>First County Bank - Interim CCO</v>
          </cell>
          <cell r="H10847">
            <v>5055162</v>
          </cell>
          <cell r="AK10847" t="str">
            <v>Eugene Collett</v>
          </cell>
        </row>
        <row r="10848">
          <cell r="C10848" t="str">
            <v>Coastal Community Bank RCSA Support 2</v>
          </cell>
          <cell r="H10848">
            <v>5054432</v>
          </cell>
          <cell r="AK10848" t="str">
            <v>Pranay Kalra</v>
          </cell>
        </row>
        <row r="10849">
          <cell r="C10849" t="str">
            <v>Freddie GenAI (Discovery)</v>
          </cell>
          <cell r="H10849">
            <v>5052346</v>
          </cell>
          <cell r="AK10849" t="str">
            <v>Kalkidan Tedla</v>
          </cell>
        </row>
        <row r="10850">
          <cell r="C10850" t="str">
            <v>Customers Bank VDD Recurring Auto Renew May</v>
          </cell>
          <cell r="H10850">
            <v>5053371</v>
          </cell>
          <cell r="AK10850" t="str">
            <v>Eugene Collett</v>
          </cell>
        </row>
        <row r="10851">
          <cell r="C10851" t="str">
            <v>GLIC- ALIP System Stabilization</v>
          </cell>
          <cell r="H10851">
            <v>5054458</v>
          </cell>
          <cell r="AK10851" t="str">
            <v>Michelle Rosen</v>
          </cell>
        </row>
        <row r="10852">
          <cell r="C10852" t="str">
            <v>ALZ Cloud/Conversion Support</v>
          </cell>
          <cell r="H10852">
            <v>5051615</v>
          </cell>
          <cell r="AK10852" t="str">
            <v>Danielle Lutkus</v>
          </cell>
        </row>
        <row r="10853">
          <cell r="C10853" t="str">
            <v>Nomura Trade Reporting Support</v>
          </cell>
          <cell r="H10853">
            <v>5054937</v>
          </cell>
          <cell r="AK10853" t="str">
            <v>Salim Modi</v>
          </cell>
        </row>
        <row r="10854">
          <cell r="C10854" t="str">
            <v>Hidden River CU / Cybersecurity Assessment &amp; ITGCA</v>
          </cell>
          <cell r="H10854">
            <v>5054852</v>
          </cell>
          <cell r="AK10854" t="str">
            <v>Robert Farmer</v>
          </cell>
        </row>
        <row r="10855">
          <cell r="C10855" t="str">
            <v>TruStage - CPM &amp; Data Management</v>
          </cell>
          <cell r="H10855">
            <v>5055117</v>
          </cell>
          <cell r="AK10855" t="str">
            <v>Andy Soodek</v>
          </cell>
        </row>
        <row r="10856">
          <cell r="C10856" t="str">
            <v>Bread Financial - Consent &amp; Preferences</v>
          </cell>
          <cell r="H10856">
            <v>5055104</v>
          </cell>
          <cell r="AK10856" t="str">
            <v>Paul Laurent</v>
          </cell>
        </row>
        <row r="10857">
          <cell r="C10857" t="str">
            <v>CC Capital/Ceres Senior Data Engineer Phase 6</v>
          </cell>
          <cell r="H10857">
            <v>5055093</v>
          </cell>
          <cell r="AK10857" t="str">
            <v>Randy Love</v>
          </cell>
        </row>
        <row r="10858">
          <cell r="C10858" t="str">
            <v>FCB_Payments TSR Phase 2 Extension</v>
          </cell>
          <cell r="H10858">
            <v>5055032</v>
          </cell>
          <cell r="AK10858" t="str">
            <v>Thomas Wilson</v>
          </cell>
        </row>
        <row r="10859">
          <cell r="C10859" t="str">
            <v>CC Capital - Ceres Forms Phase 6</v>
          </cell>
          <cell r="H10859">
            <v>5055092</v>
          </cell>
          <cell r="AK10859" t="str">
            <v>Randy Love</v>
          </cell>
        </row>
        <row r="10860">
          <cell r="C10860" t="str">
            <v>CC Capital-Ceres Core Team Phase 6 Implementation</v>
          </cell>
          <cell r="H10860">
            <v>5055091</v>
          </cell>
          <cell r="AK10860" t="str">
            <v>Randy Love</v>
          </cell>
        </row>
        <row r="10861">
          <cell r="C10861" t="str">
            <v>GRC Implementation and Support Services</v>
          </cell>
          <cell r="H10861">
            <v>5055244</v>
          </cell>
          <cell r="AK10861" t="str">
            <v>Gregg Henzel</v>
          </cell>
        </row>
        <row r="10862">
          <cell r="C10862" t="str">
            <v>Treasury Support Build Out</v>
          </cell>
          <cell r="H10862">
            <v>5055151</v>
          </cell>
          <cell r="AK10862" t="str">
            <v>John McCaffrey</v>
          </cell>
        </row>
        <row r="10863">
          <cell r="C10863" t="str">
            <v>Mizuho - RRP PM Support</v>
          </cell>
          <cell r="H10863">
            <v>5055240</v>
          </cell>
          <cell r="AK10863" t="str">
            <v>Mark Wadley</v>
          </cell>
        </row>
        <row r="10864">
          <cell r="C10864" t="str">
            <v>Axiom Bank / Digital Banking Risk Assessment</v>
          </cell>
          <cell r="H10864">
            <v>5055233</v>
          </cell>
          <cell r="AK10864" t="str">
            <v>Robert Farmer</v>
          </cell>
        </row>
        <row r="10865">
          <cell r="C10865" t="str">
            <v>Pru - DMN - Domain BE Developer</v>
          </cell>
          <cell r="H10865">
            <v>5053691</v>
          </cell>
          <cell r="AK10865" t="str">
            <v>Vivek Natarajan</v>
          </cell>
        </row>
        <row r="10866">
          <cell r="C10866" t="str">
            <v>NGRD_DERM_Strategy</v>
          </cell>
          <cell r="H10866">
            <v>5055159</v>
          </cell>
          <cell r="AK10866" t="str">
            <v>Fotis Voutsinas</v>
          </cell>
        </row>
        <row r="10867">
          <cell r="C10867" t="str">
            <v>Desjardins - Card Conversions QA Proposal</v>
          </cell>
          <cell r="H10867">
            <v>5055152</v>
          </cell>
          <cell r="AK10867" t="str">
            <v>Victor Plante</v>
          </cell>
        </row>
        <row r="10868">
          <cell r="C10868" t="str">
            <v>MS - GLS - Automation [Maria/Andrew K/Diya]</v>
          </cell>
          <cell r="H10868">
            <v>5054762</v>
          </cell>
          <cell r="AK10868" t="str">
            <v>Csaba Biro</v>
          </cell>
        </row>
        <row r="10869">
          <cell r="C10869" t="str">
            <v>NIST assessment</v>
          </cell>
          <cell r="H10869">
            <v>5054790</v>
          </cell>
          <cell r="AK10869" t="str">
            <v>Boris Mallet</v>
          </cell>
        </row>
        <row r="10870">
          <cell r="C10870" t="str">
            <v>UCSB BSA Systems Integration</v>
          </cell>
          <cell r="H10870">
            <v>5055143</v>
          </cell>
          <cell r="AK10870" t="str">
            <v>Daniel Outcalt</v>
          </cell>
        </row>
        <row r="10871">
          <cell r="C10871" t="str">
            <v>WF WHLSL Ops - MSFT D365 GenAI Copilot</v>
          </cell>
          <cell r="H10871">
            <v>5055181</v>
          </cell>
          <cell r="AK10871" t="str">
            <v>Patrick Deckbar</v>
          </cell>
        </row>
        <row r="10872">
          <cell r="C10872" t="str">
            <v>Seacoast - M&amp;A Data Integration Support</v>
          </cell>
          <cell r="H10872">
            <v>5055077</v>
          </cell>
          <cell r="AK10872" t="str">
            <v>Ameya Deolalkar</v>
          </cell>
        </row>
        <row r="10873">
          <cell r="C10873" t="str">
            <v>Pru - CTO - IAM Platform Support 2025 Extension#2</v>
          </cell>
          <cell r="H10873">
            <v>5053849</v>
          </cell>
          <cell r="AK10873" t="str">
            <v>Bharath Chikkamaranahalli Bhaskar</v>
          </cell>
        </row>
        <row r="10874">
          <cell r="C10874" t="str">
            <v>United Mississippi Bank_RAS_2025</v>
          </cell>
          <cell r="H10874">
            <v>5039740</v>
          </cell>
          <cell r="AK10874" t="str">
            <v>Diane Banks</v>
          </cell>
        </row>
        <row r="10875">
          <cell r="C10875" t="str">
            <v>OFS_Python Engineering Support</v>
          </cell>
          <cell r="H10875">
            <v>5055062</v>
          </cell>
          <cell r="AK10875" t="str">
            <v>Samuel Awsumb</v>
          </cell>
        </row>
        <row r="10876">
          <cell r="C10876" t="str">
            <v>Arvest Bank - Data Feed TCV Correction</v>
          </cell>
          <cell r="H10876">
            <v>5054822</v>
          </cell>
          <cell r="AK10876" t="str">
            <v>Leah Robinson</v>
          </cell>
        </row>
        <row r="10877">
          <cell r="C10877" t="str">
            <v>Newton Federal Bank_RAS</v>
          </cell>
          <cell r="H10877">
            <v>5040354</v>
          </cell>
          <cell r="AK10877" t="str">
            <v>Diane Banks</v>
          </cell>
        </row>
        <row r="10878">
          <cell r="C10878" t="str">
            <v>5039614 - Clinton Savings Bank_RAS</v>
          </cell>
          <cell r="H10878">
            <v>5039614</v>
          </cell>
          <cell r="AK10878" t="str">
            <v>Diane Banks</v>
          </cell>
        </row>
        <row r="10879">
          <cell r="C10879" t="str">
            <v>5039483 - Empire State Bank_RAS</v>
          </cell>
          <cell r="H10879">
            <v>5039483</v>
          </cell>
          <cell r="AK10879" t="str">
            <v>Diane Banks</v>
          </cell>
        </row>
        <row r="10880">
          <cell r="C10880" t="str">
            <v>Project Diligent_Core and Config Team TCV reduction</v>
          </cell>
          <cell r="H10880">
            <v>5053472</v>
          </cell>
          <cell r="AK10880" t="str">
            <v>Prateek Duhan</v>
          </cell>
        </row>
        <row r="10881">
          <cell r="C10881" t="str">
            <v>HNB_Caregiver Banking - PMO</v>
          </cell>
          <cell r="H10881">
            <v>5054182</v>
          </cell>
          <cell r="AK10881" t="str">
            <v>Harshita Balaga</v>
          </cell>
        </row>
        <row r="10882">
          <cell r="C10882" t="str">
            <v>Santander Horizon - T&amp;E to Fees May 2025</v>
          </cell>
          <cell r="H10882">
            <v>5045590</v>
          </cell>
          <cell r="AK10882" t="str">
            <v>Dana Schwaeber</v>
          </cell>
        </row>
        <row r="10883">
          <cell r="C10883" t="str">
            <v>Project Priceless Extension</v>
          </cell>
          <cell r="H10883">
            <v>5052955</v>
          </cell>
          <cell r="AK10883" t="str">
            <v>Anna Stawowy</v>
          </cell>
        </row>
        <row r="10884">
          <cell r="C10884" t="str">
            <v>CMA Channel Islands eStatements Ext. 2</v>
          </cell>
          <cell r="H10884">
            <v>5053455</v>
          </cell>
          <cell r="AK10884" t="str">
            <v>Brett Knickle</v>
          </cell>
        </row>
        <row r="10885">
          <cell r="C10885" t="str">
            <v>Charlesbridge MHC_RAS</v>
          </cell>
          <cell r="H10885">
            <v>5055253</v>
          </cell>
          <cell r="AK10885" t="str">
            <v>Diane Banks</v>
          </cell>
        </row>
        <row r="10886">
          <cell r="C10886" t="str">
            <v>RBC Cap Mkts IT - April 2 month extension</v>
          </cell>
          <cell r="H10886">
            <v>5044766</v>
          </cell>
          <cell r="AK10886" t="str">
            <v>Kirby Pulver</v>
          </cell>
        </row>
        <row r="10887">
          <cell r="C10887" t="str">
            <v>Cross County Bank_RAS_2025</v>
          </cell>
          <cell r="H10887">
            <v>5039620</v>
          </cell>
          <cell r="AK10887" t="str">
            <v>Diane Banks</v>
          </cell>
        </row>
        <row r="10888">
          <cell r="C10888" t="str">
            <v>Finxact Battle Bank Implementation Sprints Extension 11 CO#10</v>
          </cell>
          <cell r="H10888">
            <v>5050611</v>
          </cell>
          <cell r="AK10888" t="str">
            <v>James Kane</v>
          </cell>
        </row>
        <row r="10889">
          <cell r="C10889" t="str">
            <v>HSBC-WSB-GPS Canadian Dollar Card Program Extension #3</v>
          </cell>
          <cell r="H10889">
            <v>5052375</v>
          </cell>
          <cell r="AK10889" t="str">
            <v>James Kane</v>
          </cell>
        </row>
        <row r="10890">
          <cell r="C10890" t="str">
            <v>CMA Channel Islands CLSM 1 Month Bridge Extension</v>
          </cell>
          <cell r="H10890">
            <v>5053455</v>
          </cell>
          <cell r="AK10890" t="str">
            <v>Brett Knickle</v>
          </cell>
        </row>
        <row r="10891">
          <cell r="C10891" t="str">
            <v>Pathward NationalAssociati_RAS_2025</v>
          </cell>
          <cell r="H10891">
            <v>5039526</v>
          </cell>
          <cell r="AK10891" t="str">
            <v>Diane Banks</v>
          </cell>
        </row>
        <row r="10892">
          <cell r="C10892" t="str">
            <v>RECURRING-Peapack - CMS 2025-2026</v>
          </cell>
          <cell r="H10892">
            <v>5055150</v>
          </cell>
          <cell r="AK10892" t="str">
            <v>Louvera Walden</v>
          </cell>
        </row>
        <row r="10893">
          <cell r="C10893" t="str">
            <v>Jefferies - Tech Change Enablement FY26 1H Extension</v>
          </cell>
          <cell r="H10893">
            <v>5055210</v>
          </cell>
          <cell r="AK10893" t="str">
            <v>Imran Parekh</v>
          </cell>
        </row>
        <row r="10894">
          <cell r="C10894" t="str">
            <v>Pru - PGIM - AEM Developers Extension</v>
          </cell>
          <cell r="H10894">
            <v>5053950</v>
          </cell>
          <cell r="AK10894" t="str">
            <v>Diego Sarai</v>
          </cell>
        </row>
        <row r="10895">
          <cell r="C10895" t="str">
            <v>BanQLinQ  LLC- RAS_2025</v>
          </cell>
          <cell r="H10895">
            <v>5052202</v>
          </cell>
          <cell r="AK10895" t="str">
            <v>Diane Banks</v>
          </cell>
        </row>
        <row r="10896">
          <cell r="C10896" t="str">
            <v>FrMc_MF EDO</v>
          </cell>
          <cell r="H10896">
            <v>5055413</v>
          </cell>
          <cell r="AK10896" t="str">
            <v>Kalkidan Tedla</v>
          </cell>
        </row>
        <row r="10897">
          <cell r="C10897" t="str">
            <v>HSBC-GFP-DBS-ProjectOAK Tranche 1</v>
          </cell>
          <cell r="H10897">
            <v>5055842</v>
          </cell>
          <cell r="AK10897" t="str">
            <v>Daisy Pradhan</v>
          </cell>
        </row>
        <row r="10898">
          <cell r="C10898" t="str">
            <v>Unity Bank of Mississippi_RAS_2025</v>
          </cell>
          <cell r="H10898">
            <v>5045525</v>
          </cell>
          <cell r="AK10898" t="str">
            <v>Diane Banks</v>
          </cell>
        </row>
        <row r="10899">
          <cell r="C10899" t="str">
            <v>Coastal Model Risk Management Support</v>
          </cell>
          <cell r="H10899">
            <v>5055192</v>
          </cell>
          <cell r="AK10899" t="str">
            <v>Daniel Outcalt</v>
          </cell>
        </row>
        <row r="10900">
          <cell r="C10900" t="str">
            <v>OHS_IT PM Support Expansion Extension</v>
          </cell>
          <cell r="H10900">
            <v>5055194</v>
          </cell>
          <cell r="AK10900" t="str">
            <v>Avishek Sinha</v>
          </cell>
        </row>
        <row r="10901">
          <cell r="C10901" t="str">
            <v>Enterprise B &amp; T - Policies</v>
          </cell>
          <cell r="H10901">
            <v>5055128</v>
          </cell>
          <cell r="AK10901" t="str">
            <v>Tania Makuh</v>
          </cell>
        </row>
        <row r="10902">
          <cell r="C10902" t="str">
            <v>Harford Bank CMS</v>
          </cell>
          <cell r="H10902">
            <v>5055199</v>
          </cell>
          <cell r="AK10902" t="str">
            <v>W. Annette Dredden</v>
          </cell>
        </row>
        <row r="10903">
          <cell r="C10903" t="str">
            <v>CMA Channel Islands RKI Extension</v>
          </cell>
          <cell r="H10903">
            <v>5053455</v>
          </cell>
          <cell r="AK10903" t="str">
            <v>Brett Knickle</v>
          </cell>
        </row>
        <row r="10904">
          <cell r="C10904" t="str">
            <v>Prudential Brazil Bench</v>
          </cell>
          <cell r="H10904">
            <v>5055288</v>
          </cell>
          <cell r="AK10904" t="str">
            <v>Fabio Takemura</v>
          </cell>
        </row>
        <row r="10905">
          <cell r="C10905" t="str">
            <v>Popular Bank - Mi Banco 4.0 - All resource extensions for 2025</v>
          </cell>
          <cell r="H10905">
            <v>5055183</v>
          </cell>
          <cell r="AK10905" t="str">
            <v>Eugene Collett</v>
          </cell>
        </row>
        <row r="10906">
          <cell r="C10906" t="str">
            <v>Recurring SCB BSA Independent Test</v>
          </cell>
          <cell r="H10906">
            <v>5055103</v>
          </cell>
          <cell r="AK10906" t="str">
            <v>William Sachs</v>
          </cell>
        </row>
        <row r="10907">
          <cell r="C10907" t="str">
            <v>Lazard - 2025 InfoSec Tabletop Exercises</v>
          </cell>
          <cell r="H10907">
            <v>5054889</v>
          </cell>
          <cell r="AK10907" t="str">
            <v>Tim Sutton</v>
          </cell>
        </row>
        <row r="10908">
          <cell r="C10908" t="str">
            <v>WSFS</v>
          </cell>
          <cell r="H10908">
            <v>5055529</v>
          </cell>
          <cell r="AK10908" t="str">
            <v>Jeanette Wampler</v>
          </cell>
        </row>
        <row r="10909">
          <cell r="C10909" t="str">
            <v>Jefferies Equities PM / BA Ext 4</v>
          </cell>
          <cell r="H10909">
            <v>5055209</v>
          </cell>
          <cell r="AK10909" t="str">
            <v>Sri Nonabur Srinivasamurthy</v>
          </cell>
        </row>
        <row r="10910">
          <cell r="C10910" t="str">
            <v>Extension Dave / Yahya ITAM/EOL sustainability</v>
          </cell>
          <cell r="H10910">
            <v>5054380</v>
          </cell>
          <cell r="AK10910" t="str">
            <v>Ridha Mesli</v>
          </cell>
        </row>
        <row r="10911">
          <cell r="C10911" t="str">
            <v>Ian VPM transition</v>
          </cell>
          <cell r="H10911">
            <v>5049370</v>
          </cell>
          <cell r="AK10911" t="str">
            <v>Boris Mallet</v>
          </cell>
        </row>
        <row r="10912">
          <cell r="C10912" t="str">
            <v>US TD Cards_Re Org PM Support</v>
          </cell>
          <cell r="H10912">
            <v>5055261</v>
          </cell>
          <cell r="AK10912" t="str">
            <v>Michael Rappaport</v>
          </cell>
        </row>
        <row r="10913">
          <cell r="C10913" t="str">
            <v>USB_RMS Quad Squad Ext</v>
          </cell>
          <cell r="H10913">
            <v>5052936</v>
          </cell>
          <cell r="AK10913" t="str">
            <v>Samuel Awsumb</v>
          </cell>
        </row>
        <row r="10914">
          <cell r="C10914" t="str">
            <v>Santander PagoNxt_ T&amp;E to Fees May 2025</v>
          </cell>
          <cell r="H10914">
            <v>5053760</v>
          </cell>
          <cell r="AK10914" t="str">
            <v>Dana Schwaeber</v>
          </cell>
        </row>
        <row r="10915">
          <cell r="C10915" t="str">
            <v>Compliance - Mystery Shopping</v>
          </cell>
          <cell r="H10915">
            <v>5055259</v>
          </cell>
          <cell r="AK10915" t="str">
            <v>Eugene Collett</v>
          </cell>
        </row>
        <row r="10916">
          <cell r="C10916" t="str">
            <v>VPM Support Alan Extension May June 2025</v>
          </cell>
          <cell r="H10916">
            <v>5054489</v>
          </cell>
          <cell r="AK10916" t="str">
            <v>Boris Mallet</v>
          </cell>
        </row>
        <row r="10917">
          <cell r="C10917" t="str">
            <v>DPES - Merchant Data Quality</v>
          </cell>
          <cell r="H10917">
            <v>5054153</v>
          </cell>
          <cell r="AK10917" t="str">
            <v>Shiv Kumar Raghuwanshi</v>
          </cell>
        </row>
        <row r="10918">
          <cell r="C10918" t="str">
            <v>OFS_Optum Insight AI Support</v>
          </cell>
          <cell r="H10918">
            <v>5055229</v>
          </cell>
          <cell r="AK10918" t="str">
            <v>Samuel Awsumb</v>
          </cell>
        </row>
        <row r="10919">
          <cell r="C10919" t="str">
            <v>The Farmers Bank_RAS</v>
          </cell>
          <cell r="H10919">
            <v>5055324</v>
          </cell>
          <cell r="AK10919" t="str">
            <v>Diane Banks</v>
          </cell>
        </row>
        <row r="10920">
          <cell r="C10920" t="str">
            <v>BMO - EXT Marketing Use Case Prioritization</v>
          </cell>
          <cell r="H10920">
            <v>5055212</v>
          </cell>
          <cell r="AK10920" t="str">
            <v>Mark Mountan</v>
          </cell>
        </row>
        <row r="10921">
          <cell r="C10921" t="str">
            <v>CMA - CAT Application Modernization Resources</v>
          </cell>
          <cell r="H10921">
            <v>5053455</v>
          </cell>
          <cell r="AK10921" t="str">
            <v>Brett Knickle</v>
          </cell>
        </row>
        <row r="10922">
          <cell r="C10922" t="str">
            <v>BOKF_Core Banking Strategy (CONFIDENTIAL)</v>
          </cell>
          <cell r="H10922">
            <v>5055255</v>
          </cell>
          <cell r="AK10922" t="str">
            <v>Anna Stawowy</v>
          </cell>
        </row>
        <row r="10923">
          <cell r="C10923" t="str">
            <v>Artisans Bank_RAS</v>
          </cell>
          <cell r="H10923">
            <v>5055232</v>
          </cell>
          <cell r="AK10923" t="str">
            <v>Diane Banks</v>
          </cell>
        </row>
        <row r="10924">
          <cell r="C10924" t="str">
            <v>Battle Bank System Integration Extension- Phase 17</v>
          </cell>
          <cell r="H10924">
            <v>5050428</v>
          </cell>
          <cell r="AK10924" t="str">
            <v>James Kane</v>
          </cell>
        </row>
        <row r="10925">
          <cell r="C10925" t="str">
            <v>TMC Extension #2</v>
          </cell>
          <cell r="H10925">
            <v>5055193</v>
          </cell>
          <cell r="AK10925" t="str">
            <v>Burt Yeo</v>
          </cell>
        </row>
        <row r="10926">
          <cell r="C10926" t="str">
            <v>Santander - PagoNxt Testing 2025</v>
          </cell>
          <cell r="H10926">
            <v>5055378</v>
          </cell>
          <cell r="AK10926" t="str">
            <v>Dana Schwaeber</v>
          </cell>
        </row>
        <row r="10927">
          <cell r="C10927" t="str">
            <v>Jefferies Infrastructure - Program Project Support Lead</v>
          </cell>
          <cell r="H10927">
            <v>5055263</v>
          </cell>
          <cell r="AK10927" t="str">
            <v>Imran Parekh</v>
          </cell>
        </row>
        <row r="10928">
          <cell r="C10928" t="str">
            <v>Jeff_ION QA</v>
          </cell>
          <cell r="H10928">
            <v>5055339</v>
          </cell>
          <cell r="AK10928" t="str">
            <v>Nikin Karunakaran Nambiar</v>
          </cell>
        </row>
        <row r="10929">
          <cell r="C10929" t="str">
            <v>Customers Bank VDD Recurring Auto Renew Jun</v>
          </cell>
          <cell r="H10929">
            <v>5053371</v>
          </cell>
          <cell r="AK10929" t="str">
            <v>Eugene Collett</v>
          </cell>
        </row>
        <row r="10930">
          <cell r="C10930" t="str">
            <v>2U/NBH FY2026 Q2 Extension</v>
          </cell>
          <cell r="H10930">
            <v>5050472</v>
          </cell>
          <cell r="AK10930" t="str">
            <v>Adam Polson</v>
          </cell>
        </row>
        <row r="10931">
          <cell r="C10931" t="str">
            <v>Aegon Asset Management IT Op Model</v>
          </cell>
          <cell r="H10931">
            <v>5055600</v>
          </cell>
          <cell r="AK10931" t="str">
            <v>Stephen Stantiall</v>
          </cell>
        </row>
        <row r="10932">
          <cell r="C10932" t="str">
            <v>Jeff_Ibond NearShore DevOps Support</v>
          </cell>
          <cell r="H10932">
            <v>5055326</v>
          </cell>
          <cell r="AK10932" t="str">
            <v>Conor Dowling</v>
          </cell>
        </row>
        <row r="10933">
          <cell r="C10933" t="str">
            <v>NFCU Mortgage Servicing Bridge</v>
          </cell>
          <cell r="H10933">
            <v>5055227</v>
          </cell>
          <cell r="AK10933" t="str">
            <v>Cody Jenkins</v>
          </cell>
        </row>
        <row r="10934">
          <cell r="C10934" t="str">
            <v>MVO Resiliency Enhancements and Table Tops</v>
          </cell>
          <cell r="H10934">
            <v>5055358</v>
          </cell>
          <cell r="AK10934" t="str">
            <v>Conor Dowling</v>
          </cell>
        </row>
        <row r="10935">
          <cell r="C10935" t="str">
            <v>Santander - Testing 2025</v>
          </cell>
          <cell r="H10935">
            <v>5055377</v>
          </cell>
          <cell r="AK10935" t="str">
            <v>Dana Schwaeber</v>
          </cell>
        </row>
        <row r="10936">
          <cell r="C10936" t="str">
            <v>Extension Scotia 3rd Party Risk</v>
          </cell>
          <cell r="H10936">
            <v>5053996</v>
          </cell>
          <cell r="AK10936" t="str">
            <v>Steven D'Angelo</v>
          </cell>
        </row>
        <row r="10937">
          <cell r="C10937" t="str">
            <v>Compliance Staff Augmentation</v>
          </cell>
          <cell r="H10937">
            <v>5055333</v>
          </cell>
          <cell r="AK10937" t="str">
            <v>Eugene Collett</v>
          </cell>
        </row>
        <row r="10938">
          <cell r="C10938" t="str">
            <v>Modern Bank BSA Alert Clearing</v>
          </cell>
          <cell r="H10938">
            <v>5055305</v>
          </cell>
          <cell r="AK10938" t="str">
            <v>Daniel Outcalt</v>
          </cell>
        </row>
        <row r="10939">
          <cell r="C10939" t="str">
            <v>Jefferies Lead Python Developer</v>
          </cell>
          <cell r="H10939">
            <v>5055338</v>
          </cell>
          <cell r="AK10939" t="str">
            <v>John McCaffrey</v>
          </cell>
        </row>
        <row r="10940">
          <cell r="C10940" t="str">
            <v>Pru - PGIM - Emily Clark Extension</v>
          </cell>
          <cell r="H10940">
            <v>5053950</v>
          </cell>
          <cell r="AK10940" t="str">
            <v>Diego Sarai</v>
          </cell>
        </row>
        <row r="10941">
          <cell r="C10941" t="str">
            <v>Truist_SOW#21 CO#1 Cyber Risk Assessment Execution Extension</v>
          </cell>
          <cell r="H10941">
            <v>5053731</v>
          </cell>
          <cell r="AK10941" t="str">
            <v>Christopher Tecchio</v>
          </cell>
        </row>
        <row r="10942">
          <cell r="C10942" t="str">
            <v>Truist_SOW#29 ISO20022 BA</v>
          </cell>
          <cell r="H10942">
            <v>5055320</v>
          </cell>
          <cell r="AK10942" t="str">
            <v>Kaitlin Cohen</v>
          </cell>
        </row>
        <row r="10943">
          <cell r="C10943" t="str">
            <v>CCB CRA Strategic Plan</v>
          </cell>
          <cell r="H10943">
            <v>5055394</v>
          </cell>
          <cell r="AK10943" t="str">
            <v>Elanna Kooistra</v>
          </cell>
        </row>
        <row r="10944">
          <cell r="C10944" t="str">
            <v>Wintrust Financial</v>
          </cell>
          <cell r="H10944">
            <v>5040176</v>
          </cell>
          <cell r="AK10944" t="str">
            <v>Diane Banks</v>
          </cell>
        </row>
        <row r="10945">
          <cell r="C10945" t="str">
            <v>USB_Offshore Finance Data Analyst</v>
          </cell>
          <cell r="H10945">
            <v>5055409</v>
          </cell>
          <cell r="AK10945" t="str">
            <v>Samuel Awsumb</v>
          </cell>
        </row>
        <row r="10946">
          <cell r="C10946" t="str">
            <v>Santander - Channel Transformation P10 2025</v>
          </cell>
          <cell r="H10946">
            <v>5045590</v>
          </cell>
          <cell r="AK10946" t="str">
            <v>Dana Schwaeber</v>
          </cell>
        </row>
        <row r="10947">
          <cell r="C10947" t="str">
            <v>Seacoast - M&amp;A Data Integration Support - Extension</v>
          </cell>
          <cell r="H10947">
            <v>5055077</v>
          </cell>
          <cell r="AK10947" t="str">
            <v>Ameya Deolalkar</v>
          </cell>
        </row>
        <row r="10948">
          <cell r="C10948" t="str">
            <v>Negative Sales - CC Capital - 3CLife - Operations Support SME</v>
          </cell>
          <cell r="H10948">
            <v>5054618</v>
          </cell>
          <cell r="AK10948" t="str">
            <v>Randy Love</v>
          </cell>
        </row>
        <row r="10949">
          <cell r="C10949" t="str">
            <v>Middlesex Federal Savings _RAS_2025</v>
          </cell>
          <cell r="H10949">
            <v>5039527</v>
          </cell>
          <cell r="AK10949" t="str">
            <v>Diane Banks</v>
          </cell>
        </row>
        <row r="10950">
          <cell r="C10950" t="str">
            <v>Sunrise Bank_RAS_2025</v>
          </cell>
          <cell r="H10950">
            <v>5039556</v>
          </cell>
          <cell r="AK10950" t="str">
            <v>Diane Banks</v>
          </cell>
        </row>
        <row r="10951">
          <cell r="C10951" t="str">
            <v>Citizens St Bank&amp;Trust Co_RAS_25</v>
          </cell>
          <cell r="H10951">
            <v>5040116</v>
          </cell>
          <cell r="AK10951" t="str">
            <v>Diane Banks</v>
          </cell>
        </row>
        <row r="10952">
          <cell r="C10952" t="str">
            <v>5045717 - Hanscom Federal CU_RAS_2025</v>
          </cell>
          <cell r="H10952">
            <v>5045717</v>
          </cell>
          <cell r="AK10952" t="str">
            <v>Diane Banks</v>
          </cell>
        </row>
        <row r="10953">
          <cell r="C10953" t="str">
            <v>Jefferies - Compliance PM - FY26 1H</v>
          </cell>
          <cell r="H10953">
            <v>5050862</v>
          </cell>
          <cell r="AK10953" t="str">
            <v>Imran Parekh</v>
          </cell>
        </row>
        <row r="10954">
          <cell r="C10954" t="str">
            <v>Magnolia Bank_RAS_2025</v>
          </cell>
          <cell r="H10954">
            <v>5039680</v>
          </cell>
          <cell r="AK10954" t="str">
            <v>Rebecca Breland</v>
          </cell>
        </row>
        <row r="10955">
          <cell r="C10955" t="str">
            <v>FrMc_CDT OPS (New Workstream Add)</v>
          </cell>
          <cell r="H10955">
            <v>5053679</v>
          </cell>
          <cell r="AK10955" t="str">
            <v>Ambika Kutty</v>
          </cell>
        </row>
        <row r="10956">
          <cell r="C10956" t="str">
            <v>Valley Bank of Kalispell_RAS_2025</v>
          </cell>
          <cell r="H10956">
            <v>5040146</v>
          </cell>
          <cell r="AK10956" t="str">
            <v>Diane Banks</v>
          </cell>
        </row>
        <row r="10957">
          <cell r="C10957" t="str">
            <v>Magnolia State Bank - GA_RAS_2025</v>
          </cell>
          <cell r="H10957">
            <v>5040192</v>
          </cell>
          <cell r="AK10957" t="str">
            <v>Diane Banks</v>
          </cell>
        </row>
        <row r="10958">
          <cell r="C10958" t="str">
            <v>Citizens Independent Bank_RAS_2026</v>
          </cell>
          <cell r="H10958">
            <v>5039611</v>
          </cell>
          <cell r="AK10958" t="str">
            <v>Diane Banks</v>
          </cell>
        </row>
        <row r="10959">
          <cell r="C10959" t="str">
            <v>SM&amp;C MRD &amp; Risk and Controls  2025 UK Revenue Adjustment</v>
          </cell>
          <cell r="H10959">
            <v>5054994</v>
          </cell>
          <cell r="AK10959" t="str">
            <v>George Georgiou</v>
          </cell>
        </row>
        <row r="10960">
          <cell r="C10960" t="str">
            <v>Fed Res Bank Phila Library_RAS_2025</v>
          </cell>
          <cell r="H10960">
            <v>5040122</v>
          </cell>
          <cell r="AK10960" t="str">
            <v>Diane Banks</v>
          </cell>
        </row>
        <row r="10961">
          <cell r="C10961" t="str">
            <v>CFSB External Quality Assessment 2025</v>
          </cell>
          <cell r="H10961">
            <v>5055076</v>
          </cell>
          <cell r="AK10961" t="str">
            <v>Mary Louise Radley</v>
          </cell>
        </row>
        <row r="10962">
          <cell r="C10962" t="str">
            <v>Zeta Services  Inc_RAS_2025</v>
          </cell>
          <cell r="H10962">
            <v>5049649</v>
          </cell>
          <cell r="AK10962" t="str">
            <v>Diane Banks</v>
          </cell>
        </row>
        <row r="10963">
          <cell r="C10963" t="str">
            <v>FrMc_Data Modernization Principals Ext</v>
          </cell>
          <cell r="H10963">
            <v>5052732</v>
          </cell>
          <cell r="AK10963" t="str">
            <v>Michael Mathew</v>
          </cell>
        </row>
        <row r="10964">
          <cell r="C10964" t="str">
            <v>Jeff_Risk Mgmt COO Extension - Negative Sale Booking</v>
          </cell>
          <cell r="H10964">
            <v>5055406</v>
          </cell>
          <cell r="AK10964" t="str">
            <v>Matthew Rodgers</v>
          </cell>
        </row>
        <row r="10965">
          <cell r="C10965" t="str">
            <v>Parkside Financial Bank &amp; _RAS_2025</v>
          </cell>
          <cell r="H10965">
            <v>5039536</v>
          </cell>
          <cell r="AK10965" t="str">
            <v>Diane Banks</v>
          </cell>
        </row>
        <row r="10966">
          <cell r="C10966" t="str">
            <v>Jeff - India Buildout</v>
          </cell>
          <cell r="H10966">
            <v>5055616</v>
          </cell>
          <cell r="AK10966" t="str">
            <v>John McCaffrey</v>
          </cell>
        </row>
        <row r="10967">
          <cell r="C10967" t="str">
            <v>Iron Workers Bank / Risk Assessments</v>
          </cell>
          <cell r="H10967">
            <v>5054408</v>
          </cell>
          <cell r="AK10967" t="str">
            <v>Robert Farmer</v>
          </cell>
        </row>
        <row r="10968">
          <cell r="C10968" t="str">
            <v>Jefferies - IN - Axiom Developer</v>
          </cell>
          <cell r="H10968">
            <v>5055541</v>
          </cell>
          <cell r="AK10968" t="str">
            <v>Nikin Karunakaran Nambiar</v>
          </cell>
        </row>
        <row r="10969">
          <cell r="C10969" t="str">
            <v>Harvard FCU / IT Security Risk Assessment</v>
          </cell>
          <cell r="H10969">
            <v>5054245</v>
          </cell>
          <cell r="AK10969" t="str">
            <v>Robert Farmer</v>
          </cell>
        </row>
        <row r="10970">
          <cell r="C10970" t="str">
            <v>FrMc_MF SA ROLE EXT</v>
          </cell>
          <cell r="H10970">
            <v>5052346</v>
          </cell>
          <cell r="AK10970" t="str">
            <v>Kalkidan Tedla</v>
          </cell>
        </row>
        <row r="10971">
          <cell r="C10971" t="str">
            <v>5040140 - Primebank_RAS_2025</v>
          </cell>
          <cell r="H10971">
            <v>5040140</v>
          </cell>
          <cell r="AK10971" t="str">
            <v>Rebecca Breland</v>
          </cell>
        </row>
        <row r="10972">
          <cell r="C10972" t="str">
            <v>FCSB BSA Review</v>
          </cell>
          <cell r="H10972">
            <v>5054788</v>
          </cell>
          <cell r="AK10972" t="str">
            <v>William Sachs</v>
          </cell>
        </row>
        <row r="10973">
          <cell r="C10973" t="str">
            <v>Dean Bank</v>
          </cell>
          <cell r="H10973">
            <v>5055410</v>
          </cell>
          <cell r="AK10973" t="str">
            <v>Diane Banks</v>
          </cell>
        </row>
        <row r="10974">
          <cell r="C10974" t="str">
            <v>Grand Savings Bank_RAS_2025</v>
          </cell>
          <cell r="H10974">
            <v>5042458</v>
          </cell>
          <cell r="AK10974" t="str">
            <v>Rebecca Breland</v>
          </cell>
        </row>
        <row r="10975">
          <cell r="C10975" t="str">
            <v>Bellwether Community Credi_RAS_2026</v>
          </cell>
          <cell r="H10975">
            <v>5039598</v>
          </cell>
          <cell r="AK10975" t="str">
            <v>Diane Banks</v>
          </cell>
        </row>
        <row r="10976">
          <cell r="C10976" t="str">
            <v>United Fidelity Bank_RAS_2025</v>
          </cell>
          <cell r="H10976">
            <v>5040145</v>
          </cell>
          <cell r="AK10976" t="str">
            <v>Diane Banks</v>
          </cell>
        </row>
        <row r="10977">
          <cell r="C10977" t="str">
            <v>City First Bank / ACH &amp; Digital Banking RA</v>
          </cell>
          <cell r="H10977">
            <v>5054404</v>
          </cell>
          <cell r="AK10977" t="str">
            <v>Robert Farmer</v>
          </cell>
        </row>
        <row r="10978">
          <cell r="C10978" t="str">
            <v>Alpine Capital Bank - Risk Assessments</v>
          </cell>
          <cell r="H10978">
            <v>5055379</v>
          </cell>
          <cell r="AK10978" t="str">
            <v>David Belfer</v>
          </cell>
        </row>
        <row r="10979">
          <cell r="C10979" t="str">
            <v>HSBC-GFP-DAT-WIPRO-DPRIV_ILM-26Q3-US</v>
          </cell>
          <cell r="H10979">
            <v>5055639</v>
          </cell>
          <cell r="AK10979" t="str">
            <v>Parul Chowdhry</v>
          </cell>
        </row>
        <row r="10980">
          <cell r="C10980" t="str">
            <v>Pru - DMN - App Mod LARS Implementation Pod</v>
          </cell>
          <cell r="H10980">
            <v>5055497</v>
          </cell>
          <cell r="AK10980" t="str">
            <v>Zach Gould</v>
          </cell>
        </row>
        <row r="10981">
          <cell r="C10981" t="str">
            <v>Grasshopper Bank_RAS</v>
          </cell>
          <cell r="H10981">
            <v>5045698</v>
          </cell>
          <cell r="AK10981" t="str">
            <v>Diane Banks</v>
          </cell>
        </row>
        <row r="10982">
          <cell r="C10982" t="str">
            <v>KEB Hana Bank USA_RAS_2025</v>
          </cell>
          <cell r="H10982">
            <v>5045892</v>
          </cell>
          <cell r="AK10982" t="str">
            <v>Diane Banks</v>
          </cell>
        </row>
        <row r="10983">
          <cell r="C10983" t="str">
            <v>First National Bank of Ham_RAS_2025</v>
          </cell>
          <cell r="H10983">
            <v>5039646</v>
          </cell>
          <cell r="AK10983" t="str">
            <v>Diane Banks</v>
          </cell>
        </row>
        <row r="10984">
          <cell r="C10984" t="str">
            <v>FINRA Market Regulations Process mapping_ Q1FY26</v>
          </cell>
          <cell r="H10984">
            <v>5055389</v>
          </cell>
          <cell r="AK10984" t="str">
            <v>Ruby Cherian</v>
          </cell>
        </row>
        <row r="10985">
          <cell r="C10985" t="str">
            <v>Valley Trust Compliance Review</v>
          </cell>
          <cell r="H10985">
            <v>5055349</v>
          </cell>
          <cell r="AK10985" t="str">
            <v>David Stalnaker</v>
          </cell>
        </row>
        <row r="10986">
          <cell r="C10986" t="str">
            <v>Jefferies_ProdSupport_CS_SakinaR_Extension FY26 1H</v>
          </cell>
          <cell r="H10986">
            <v>5052373</v>
          </cell>
          <cell r="AK10986" t="str">
            <v>Imran Parekh</v>
          </cell>
        </row>
        <row r="10987">
          <cell r="C10987" t="str">
            <v>ION Developer 2025 - Negative Sale</v>
          </cell>
          <cell r="H10987">
            <v>5055423</v>
          </cell>
          <cell r="AK10987" t="str">
            <v>Conor Dowling</v>
          </cell>
        </row>
        <row r="10988">
          <cell r="C10988" t="str">
            <v>Jefferies GIS - Thomas F Extension FY25 2H</v>
          </cell>
          <cell r="H10988">
            <v>5050984</v>
          </cell>
          <cell r="AK10988" t="str">
            <v>Imran Parekh</v>
          </cell>
        </row>
        <row r="10989">
          <cell r="C10989" t="str">
            <v>Jefferies Infra Project Role - FY26 1H</v>
          </cell>
          <cell r="H10989">
            <v>5050925</v>
          </cell>
          <cell r="AK10989" t="str">
            <v>Imran Parekh</v>
          </cell>
        </row>
        <row r="10990">
          <cell r="C10990" t="str">
            <v>Flow Monitor PM &amp; Designer</v>
          </cell>
          <cell r="H10990">
            <v>5052215</v>
          </cell>
          <cell r="AK10990" t="str">
            <v>Irina Szilagyi</v>
          </cell>
        </row>
        <row r="10991">
          <cell r="C10991" t="str">
            <v>Pru - ILI - NBUW QAs</v>
          </cell>
          <cell r="H10991">
            <v>5054164</v>
          </cell>
          <cell r="AK10991" t="str">
            <v>Deb Nelis</v>
          </cell>
        </row>
        <row r="10992">
          <cell r="C10992" t="str">
            <v>WTC - AML Validation MRM Services</v>
          </cell>
          <cell r="H10992">
            <v>5054406</v>
          </cell>
          <cell r="AK10992" t="str">
            <v>William Sachs</v>
          </cell>
        </row>
        <row r="10993">
          <cell r="C10993" t="str">
            <v>MS WM Business [Melissa and Lijo Extension]</v>
          </cell>
          <cell r="H10993">
            <v>5054733</v>
          </cell>
          <cell r="AK10993" t="str">
            <v>Dan Schutzman</v>
          </cell>
        </row>
        <row r="10994">
          <cell r="C10994" t="str">
            <v>CMA Channel Islands CLSM Ext.</v>
          </cell>
          <cell r="H10994">
            <v>5053455</v>
          </cell>
          <cell r="AK10994" t="str">
            <v>Brett Knickle</v>
          </cell>
        </row>
        <row r="10995">
          <cell r="C10995" t="str">
            <v>Jefferies JDS Data PMO - Extension</v>
          </cell>
          <cell r="H10995">
            <v>5055422</v>
          </cell>
          <cell r="AK10995" t="str">
            <v>Neha Patel</v>
          </cell>
        </row>
        <row r="10996">
          <cell r="C10996" t="str">
            <v>Jeff_GEP Implementation 2025</v>
          </cell>
          <cell r="H10996">
            <v>5055405</v>
          </cell>
          <cell r="AK10996" t="str">
            <v>Conor Dowling</v>
          </cell>
        </row>
        <row r="10997">
          <cell r="C10997" t="str">
            <v>ION Developer 2025</v>
          </cell>
          <cell r="H10997">
            <v>5055423</v>
          </cell>
          <cell r="AK10997" t="str">
            <v>Conor Dowling</v>
          </cell>
        </row>
        <row r="10998">
          <cell r="C10998" t="str">
            <v>Jeff_Risk Mgmt COO Extension</v>
          </cell>
          <cell r="H10998">
            <v>5055406</v>
          </cell>
          <cell r="AK10998" t="str">
            <v>Matthew Rodgers</v>
          </cell>
        </row>
        <row r="10999">
          <cell r="C10999" t="str">
            <v>MSIM - Project Horizon - RFP FF</v>
          </cell>
          <cell r="H10999">
            <v>5055570</v>
          </cell>
          <cell r="AK10999" t="str">
            <v>Dan Schutzman</v>
          </cell>
        </row>
        <row r="11000">
          <cell r="C11000" t="str">
            <v>OHS_Enterprise Content Management Support BA</v>
          </cell>
          <cell r="H11000">
            <v>5054609</v>
          </cell>
          <cell r="AK11000" t="str">
            <v>Avishek Sinha</v>
          </cell>
        </row>
        <row r="11001">
          <cell r="C11001" t="str">
            <v>MetricStream Platform Upgrade Services</v>
          </cell>
          <cell r="H11001">
            <v>5055592</v>
          </cell>
          <cell r="AK11001" t="str">
            <v>Tania Makuh</v>
          </cell>
        </row>
        <row r="11002">
          <cell r="C11002" t="str">
            <v>Pru - ILI - Salesforce Developer for Omniforce</v>
          </cell>
          <cell r="H11002">
            <v>5053689</v>
          </cell>
          <cell r="AK11002" t="str">
            <v>Luiz Abdo Junior</v>
          </cell>
        </row>
        <row r="11003">
          <cell r="C11003" t="str">
            <v>ABI: BSA/CMS Program Oversight / Enhancement</v>
          </cell>
          <cell r="H11003">
            <v>5055466</v>
          </cell>
          <cell r="AK11003" t="str">
            <v>Eugene Collett</v>
          </cell>
        </row>
        <row r="11004">
          <cell r="C11004" t="str">
            <v>Jeff_CIO Project Support</v>
          </cell>
          <cell r="H11004">
            <v>5055525</v>
          </cell>
          <cell r="AK11004" t="str">
            <v>Imran Parekh</v>
          </cell>
        </row>
        <row r="11005">
          <cell r="C11005" t="str">
            <v>HNB Business Deposits Growth Strategy Support</v>
          </cell>
          <cell r="H11005">
            <v>5055432</v>
          </cell>
          <cell r="AK11005" t="str">
            <v>James Kane</v>
          </cell>
        </row>
        <row r="11006">
          <cell r="C11006" t="str">
            <v>MS_WM Ops_PM Case Mgmt [Beau Kim]</v>
          </cell>
          <cell r="H11006">
            <v>5054738</v>
          </cell>
          <cell r="AK11006" t="str">
            <v>Dan Schutzman</v>
          </cell>
        </row>
        <row r="11007">
          <cell r="C11007" t="str">
            <v>VPM enhancements</v>
          </cell>
          <cell r="H11007">
            <v>5049370</v>
          </cell>
          <cell r="AK11007" t="str">
            <v>Boris Mallet</v>
          </cell>
        </row>
        <row r="11008">
          <cell r="C11008" t="str">
            <v>FrMc_ICM Java Dev Role</v>
          </cell>
          <cell r="H11008">
            <v>5052346</v>
          </cell>
          <cell r="AK11008" t="str">
            <v>Kalkidan Tedla</v>
          </cell>
        </row>
        <row r="11009">
          <cell r="C11009" t="str">
            <v>Union Savings Credit MQC</v>
          </cell>
          <cell r="H11009">
            <v>5055470</v>
          </cell>
          <cell r="AK11009" t="str">
            <v>Christian Maier</v>
          </cell>
        </row>
        <row r="11010">
          <cell r="C11010" t="str">
            <v>Phase 7 Forms Design &amp; Development</v>
          </cell>
          <cell r="H11010">
            <v>5055382</v>
          </cell>
          <cell r="AK11010" t="str">
            <v>Randy Love</v>
          </cell>
        </row>
        <row r="11011">
          <cell r="C11011" t="str">
            <v>ICBA- GSP Target Operating Model Design</v>
          </cell>
          <cell r="H11011">
            <v>5055512</v>
          </cell>
          <cell r="AK11011" t="str">
            <v>James Kane</v>
          </cell>
        </row>
        <row r="11012">
          <cell r="C11012" t="str">
            <v>Customers Bank VDD Recurring Auto Renew Jul</v>
          </cell>
          <cell r="H11012">
            <v>5053371</v>
          </cell>
          <cell r="AK11012" t="str">
            <v>Eugene Collett</v>
          </cell>
        </row>
        <row r="11013">
          <cell r="C11013" t="str">
            <v>Jeff_JDS - Strategic Build (Phase 2) June Bridge</v>
          </cell>
          <cell r="H11013">
            <v>5055547</v>
          </cell>
          <cell r="AK11013" t="str">
            <v>Neha Patel</v>
          </cell>
        </row>
        <row r="11014">
          <cell r="C11014" t="str">
            <v>Jeff_Risk Program CoS Support Extension JunAug</v>
          </cell>
          <cell r="H11014">
            <v>5055126</v>
          </cell>
          <cell r="AK11014" t="str">
            <v>Imran Parekh</v>
          </cell>
        </row>
        <row r="11015">
          <cell r="C11015" t="str">
            <v>Maspeth-Compliance-Procedures</v>
          </cell>
          <cell r="H11015">
            <v>5055553</v>
          </cell>
          <cell r="AK11015" t="str">
            <v>Eugene Collett</v>
          </cell>
        </row>
        <row r="11016">
          <cell r="C11016" t="str">
            <v>Truist_SOW #28 CO #1_DCAM Assessment Extension</v>
          </cell>
          <cell r="H11016">
            <v>5054369</v>
          </cell>
          <cell r="AK11016" t="str">
            <v>Kaitlin Cohen</v>
          </cell>
        </row>
        <row r="11017">
          <cell r="C11017" t="str">
            <v>Jefferies Broadridge Study</v>
          </cell>
          <cell r="H11017">
            <v>5055767</v>
          </cell>
          <cell r="AK11017" t="str">
            <v>Ervinas Janavicius</v>
          </cell>
        </row>
        <row r="11018">
          <cell r="C11018" t="str">
            <v>FCB Sourcing Strategic Cost Mgmt</v>
          </cell>
          <cell r="H11018">
            <v>5055522</v>
          </cell>
          <cell r="AK11018" t="str">
            <v>Grant Chukerman</v>
          </cell>
        </row>
        <row r="11019">
          <cell r="C11019" t="str">
            <v>Ceres Life Phase 7 Data Engineer NK</v>
          </cell>
          <cell r="H11019">
            <v>5055383</v>
          </cell>
          <cell r="AK11019" t="str">
            <v>Randy Love</v>
          </cell>
        </row>
        <row r="11020">
          <cell r="C11020" t="str">
            <v>Phase 7 FAST Support Services</v>
          </cell>
          <cell r="H11020">
            <v>5055384</v>
          </cell>
          <cell r="AK11020" t="str">
            <v>Randy Love</v>
          </cell>
        </row>
        <row r="11021">
          <cell r="C11021" t="str">
            <v>ESSA System Review and tuning Neg Sale</v>
          </cell>
          <cell r="H11021">
            <v>5053307</v>
          </cell>
          <cell r="AK11021" t="str">
            <v>William Sachs</v>
          </cell>
        </row>
        <row r="11022">
          <cell r="C11022" t="str">
            <v>Jefferies GCO Support Extension - Negative Sale Booking</v>
          </cell>
          <cell r="H11022">
            <v>5055127</v>
          </cell>
          <cell r="AK11022" t="str">
            <v>Raymond Ortiz II</v>
          </cell>
        </row>
        <row r="11023">
          <cell r="C11023" t="str">
            <v>Battle Bank System Integration Extension- Phase 18</v>
          </cell>
          <cell r="H11023">
            <v>5050428</v>
          </cell>
          <cell r="AK11023" t="str">
            <v>James Kane</v>
          </cell>
        </row>
        <row r="11024">
          <cell r="C11024" t="str">
            <v>USB_005_Mkting Cmpg Exec Strat</v>
          </cell>
          <cell r="H11024">
            <v>5055601</v>
          </cell>
          <cell r="AK11024" t="str">
            <v>Mark Mountan</v>
          </cell>
        </row>
        <row r="11025">
          <cell r="C11025" t="str">
            <v>FCB Microsoft Dynamics Migration</v>
          </cell>
          <cell r="H11025">
            <v>5055490</v>
          </cell>
          <cell r="AK11025" t="str">
            <v>Vijaya Sripathi</v>
          </cell>
        </row>
        <row r="11026">
          <cell r="C11026" t="str">
            <v>BOKF_Power BI Reporting P1</v>
          </cell>
          <cell r="H11026">
            <v>5055598</v>
          </cell>
          <cell r="AK11026" t="str">
            <v>Pete Grebus</v>
          </cell>
        </row>
        <row r="11027">
          <cell r="C11027" t="str">
            <v>MSIM - Project Horizon - RFP TM</v>
          </cell>
          <cell r="H11027">
            <v>5055572</v>
          </cell>
          <cell r="AK11027" t="str">
            <v>Dan Schutzman</v>
          </cell>
        </row>
        <row r="11028">
          <cell r="C11028" t="str">
            <v>Schwab_Move Money Deliv Support P2</v>
          </cell>
          <cell r="H11028">
            <v>5055493</v>
          </cell>
          <cell r="AK11028" t="str">
            <v>Ian Guidash</v>
          </cell>
        </row>
        <row r="11029">
          <cell r="C11029" t="str">
            <v>Jefferies GCO Support Extension</v>
          </cell>
          <cell r="H11029">
            <v>5055127</v>
          </cell>
          <cell r="AK11029" t="str">
            <v>Raymond Ortiz II</v>
          </cell>
        </row>
        <row r="11030">
          <cell r="C11030" t="str">
            <v>MSIM_Project Horizon INDIA TM</v>
          </cell>
          <cell r="H11030">
            <v>5055980</v>
          </cell>
          <cell r="AK11030" t="str">
            <v>Dan Schutzman</v>
          </cell>
        </row>
        <row r="11031">
          <cell r="C11031" t="str">
            <v>NRT 2.0 Expansion 2</v>
          </cell>
          <cell r="H11031">
            <v>5053025</v>
          </cell>
          <cell r="AK11031" t="str">
            <v>Shiv Kumar Raghuwanshi</v>
          </cell>
        </row>
        <row r="11032">
          <cell r="C11032" t="str">
            <v>USB_Tech Risk Control Work CO#1</v>
          </cell>
          <cell r="H11032">
            <v>5054999</v>
          </cell>
          <cell r="AK11032" t="str">
            <v>Samuel Awsumb</v>
          </cell>
        </row>
        <row r="11033">
          <cell r="C11033" t="str">
            <v>First Heritage Financial LLC, Credit Quality Control 2025 Ext</v>
          </cell>
          <cell r="H11033">
            <v>5049672</v>
          </cell>
          <cell r="AK11033" t="str">
            <v>Christian Maier</v>
          </cell>
        </row>
        <row r="11034">
          <cell r="C11034" t="str">
            <v>USB_Offshore Dev Portal Support</v>
          </cell>
          <cell r="H11034">
            <v>5055619</v>
          </cell>
          <cell r="AK11034" t="str">
            <v>Samuel Awsumb</v>
          </cell>
        </row>
        <row r="11035">
          <cell r="C11035" t="str">
            <v>Modern Bank - High Risk/EDD Reviews</v>
          </cell>
          <cell r="H11035">
            <v>5055637</v>
          </cell>
          <cell r="AK11035" t="str">
            <v>Daniel Outcalt</v>
          </cell>
        </row>
        <row r="11036">
          <cell r="C11036" t="str">
            <v>HSBC-GFP-DAT-WIPRO-DPRIV_ILM-26Q3-IN</v>
          </cell>
          <cell r="H11036">
            <v>5055584</v>
          </cell>
          <cell r="AK11036" t="str">
            <v>Prasana Kumar Parthasarathy</v>
          </cell>
        </row>
        <row r="11037">
          <cell r="C11037" t="str">
            <v>Seacoast M&amp;A Data Integration Support</v>
          </cell>
          <cell r="H11037">
            <v>5055077</v>
          </cell>
          <cell r="AK11037" t="str">
            <v>Ameya Deolalkar</v>
          </cell>
        </row>
        <row r="11038">
          <cell r="C11038" t="str">
            <v>Lazard Security Awareness Extension</v>
          </cell>
          <cell r="H11038">
            <v>5053104</v>
          </cell>
          <cell r="AK11038" t="str">
            <v>Danielle Theroux</v>
          </cell>
        </row>
        <row r="11039">
          <cell r="C11039" t="str">
            <v>FCB_Implementation PM for ITAM Jul-Dec 2025 Extension</v>
          </cell>
          <cell r="H11039">
            <v>5052854</v>
          </cell>
          <cell r="AK11039" t="str">
            <v>Souma Basu</v>
          </cell>
        </row>
        <row r="11040">
          <cell r="C11040" t="str">
            <v>MCB - Collibra Implementation Support</v>
          </cell>
          <cell r="H11040">
            <v>5055585</v>
          </cell>
          <cell r="AK11040" t="str">
            <v>Luke Penca</v>
          </cell>
        </row>
        <row r="11041">
          <cell r="C11041" t="str">
            <v>SVB_ISO PT&amp;C BIM Support</v>
          </cell>
          <cell r="H11041">
            <v>5055524</v>
          </cell>
          <cell r="AK11041" t="str">
            <v>Samuel Awsumb</v>
          </cell>
        </row>
        <row r="11042">
          <cell r="C11042" t="str">
            <v>OFS_Engineering Support</v>
          </cell>
          <cell r="H11042">
            <v>5055617</v>
          </cell>
          <cell r="AK11042" t="str">
            <v>Samuel Awsumb</v>
          </cell>
        </row>
        <row r="11043">
          <cell r="C11043" t="str">
            <v>Jeff_SD Compliance Support - DN</v>
          </cell>
          <cell r="H11043">
            <v>5055653</v>
          </cell>
          <cell r="AK11043" t="str">
            <v>Matthew Rodgers</v>
          </cell>
        </row>
        <row r="11044">
          <cell r="C11044" t="str">
            <v>HNB Redesign CY25H2 Ext</v>
          </cell>
          <cell r="H11044">
            <v>5054080</v>
          </cell>
          <cell r="AK11044" t="str">
            <v>Spencer Feuer</v>
          </cell>
        </row>
        <row r="11045">
          <cell r="C11045" t="str">
            <v>5040101 - Bank of Hancock County_RAS</v>
          </cell>
          <cell r="H11045">
            <v>5040101</v>
          </cell>
          <cell r="AK11045" t="str">
            <v>Diane Banks</v>
          </cell>
        </row>
        <row r="11046">
          <cell r="C11046" t="str">
            <v>First United Bank_RAS</v>
          </cell>
          <cell r="H11046">
            <v>5040128</v>
          </cell>
          <cell r="AK11046" t="str">
            <v>Diane Banks</v>
          </cell>
        </row>
        <row r="11047">
          <cell r="C11047" t="str">
            <v>BrattleboroS&amp;L-RAS 2025-2027</v>
          </cell>
          <cell r="H11047">
            <v>5055465</v>
          </cell>
          <cell r="AK11047" t="str">
            <v>Diane Banks</v>
          </cell>
        </row>
        <row r="11048">
          <cell r="C11048" t="str">
            <v>Bank of Hawaii_RAS 2025-2027</v>
          </cell>
          <cell r="H11048">
            <v>5039591</v>
          </cell>
          <cell r="AK11048" t="str">
            <v>Diane Banks</v>
          </cell>
        </row>
        <row r="11049">
          <cell r="C11049" t="str">
            <v>CMA Channel Islands CLSM Ext.</v>
          </cell>
          <cell r="H11049">
            <v>5053455</v>
          </cell>
          <cell r="AK11049" t="str">
            <v>Brett Knickle</v>
          </cell>
        </row>
        <row r="11050">
          <cell r="C11050" t="str">
            <v>MS_Finance FY26 Q2</v>
          </cell>
          <cell r="H11050">
            <v>5054720</v>
          </cell>
          <cell r="AK11050" t="str">
            <v>Ruben Sooriya</v>
          </cell>
        </row>
        <row r="11051">
          <cell r="C11051" t="str">
            <v>F&amp; M Bank_RAS</v>
          </cell>
          <cell r="H11051">
            <v>5040120</v>
          </cell>
          <cell r="AK11051" t="str">
            <v>Diane Banks</v>
          </cell>
        </row>
        <row r="11052">
          <cell r="C11052" t="str">
            <v>Alpine Capital Bank_RAS 2025-2027</v>
          </cell>
          <cell r="H11052">
            <v>5055464</v>
          </cell>
          <cell r="AK11052" t="str">
            <v>Diane Banks</v>
          </cell>
        </row>
        <row r="11053">
          <cell r="C11053" t="str">
            <v>Cape Cod 5 / GLBA Risk Assessment</v>
          </cell>
          <cell r="H11053">
            <v>5055058</v>
          </cell>
          <cell r="AK11053" t="str">
            <v>Robert Farmer</v>
          </cell>
        </row>
        <row r="11054">
          <cell r="C11054" t="str">
            <v>SEIU_CLC EA Project Support Ph17</v>
          </cell>
          <cell r="H11054">
            <v>5041705</v>
          </cell>
          <cell r="AK11054" t="str">
            <v>Eric Fairchild</v>
          </cell>
        </row>
        <row r="11055">
          <cell r="C11055" t="str">
            <v>MVB Bank / RDC Risk Assessment</v>
          </cell>
          <cell r="H11055">
            <v>5055153</v>
          </cell>
          <cell r="AK11055" t="str">
            <v>Robert Farmer</v>
          </cell>
        </row>
        <row r="11056">
          <cell r="C11056" t="str">
            <v>MS_MSIM FY26 Q2</v>
          </cell>
          <cell r="H11056">
            <v>5054706</v>
          </cell>
          <cell r="AK11056" t="str">
            <v>Dan Schutzman</v>
          </cell>
        </row>
        <row r="11057">
          <cell r="C11057" t="str">
            <v>RBC Cpt Mkts IT BI Extension for Sanal V</v>
          </cell>
          <cell r="H11057">
            <v>5044766</v>
          </cell>
          <cell r="AK11057" t="str">
            <v>Kirby Pulver</v>
          </cell>
        </row>
        <row r="11058">
          <cell r="C11058" t="str">
            <v>Preferred Bank EDD Reviews 2025</v>
          </cell>
          <cell r="H11058">
            <v>5054576</v>
          </cell>
          <cell r="AK11058" t="str">
            <v>Mary Louise Radley</v>
          </cell>
        </row>
        <row r="11059">
          <cell r="C11059" t="str">
            <v>Jefferies Global Technical Operations</v>
          </cell>
          <cell r="H11059">
            <v>5052744</v>
          </cell>
          <cell r="AK11059" t="str">
            <v>John McCaffrey</v>
          </cell>
        </row>
        <row r="11060">
          <cell r="C11060" t="str">
            <v>Coastal RCSA Support - Tranche 3</v>
          </cell>
          <cell r="H11060">
            <v>5054432</v>
          </cell>
          <cell r="AK11060" t="str">
            <v>Pranay Kalra</v>
          </cell>
        </row>
        <row r="11061">
          <cell r="C11061" t="str">
            <v>Bank of Hawaii #306_RAS</v>
          </cell>
          <cell r="H11061">
            <v>5039591</v>
          </cell>
          <cell r="AK11061" t="str">
            <v>Diane Banks</v>
          </cell>
        </row>
        <row r="11062">
          <cell r="C11062" t="str">
            <v>Services &amp; Markets Data Lineage Extension Jul 25 - Sep 25 (US Only)</v>
          </cell>
          <cell r="H11062">
            <v>5055660</v>
          </cell>
          <cell r="AK11062" t="str">
            <v>Hayden McMurrey</v>
          </cell>
        </row>
        <row r="11063">
          <cell r="C11063" t="str">
            <v>EDO DCRM Operations  Extension Jul 25-Sep25 (US Roles)</v>
          </cell>
          <cell r="H11063">
            <v>5055661</v>
          </cell>
          <cell r="AK11063" t="str">
            <v>Ifeoluwa Ajelabi</v>
          </cell>
        </row>
        <row r="11064">
          <cell r="C11064" t="str">
            <v>Pru - CTO - IDeX Team 2025 Extension</v>
          </cell>
          <cell r="H11064">
            <v>5054131</v>
          </cell>
          <cell r="AK11064" t="str">
            <v>Bharath Chikkamaranahalli Bhaskar</v>
          </cell>
        </row>
        <row r="11065">
          <cell r="C11065" t="str">
            <v>5052826 - Woodforest National Bank - RAS</v>
          </cell>
          <cell r="H11065">
            <v>5052826</v>
          </cell>
          <cell r="AK11065" t="str">
            <v>Diane Banks</v>
          </cell>
        </row>
        <row r="11066">
          <cell r="C11066" t="str">
            <v>Services Use Case Execution Extension  Jul 25 -Sep 25 (US Roles)</v>
          </cell>
          <cell r="H11066">
            <v>5055659</v>
          </cell>
          <cell r="AK11066" t="str">
            <v>George Georgiou</v>
          </cell>
        </row>
        <row r="11067">
          <cell r="C11067" t="str">
            <v>Pru - ILI - Agile Delivery &amp; PMO Support</v>
          </cell>
          <cell r="H11067">
            <v>5055849</v>
          </cell>
          <cell r="AK11067" t="str">
            <v>Deb Nelis</v>
          </cell>
        </row>
        <row r="11068">
          <cell r="C11068" t="str">
            <v>Pru - PGIM - AEM Platform Q2 Extensions</v>
          </cell>
          <cell r="H11068">
            <v>5053950</v>
          </cell>
          <cell r="AK11068" t="str">
            <v>Diego Sarai</v>
          </cell>
        </row>
        <row r="11069">
          <cell r="C11069" t="str">
            <v>Services Data Quality 2025 Extension Jul 25 - Sep 25 (US Roles)</v>
          </cell>
          <cell r="H11069">
            <v>5055658</v>
          </cell>
          <cell r="AK11069" t="str">
            <v>Ifeoluwa Ajelabi</v>
          </cell>
        </row>
        <row r="11070">
          <cell r="C11070" t="str">
            <v>Movement Bank_RAS</v>
          </cell>
          <cell r="H11070">
            <v>5040134</v>
          </cell>
          <cell r="AK11070" t="str">
            <v>Diane Banks</v>
          </cell>
        </row>
        <row r="11071">
          <cell r="C11071" t="str">
            <v>FrMc_MF Payment Mod Roles Ext</v>
          </cell>
          <cell r="H11071">
            <v>5052346</v>
          </cell>
          <cell r="AK11071" t="str">
            <v>Kalkidan Tedla</v>
          </cell>
        </row>
        <row r="11072">
          <cell r="C11072" t="str">
            <v>Savers Bank_RAS_2026</v>
          </cell>
          <cell r="H11072">
            <v>5042887</v>
          </cell>
          <cell r="AK11072" t="str">
            <v>Diane Banks</v>
          </cell>
        </row>
        <row r="11073">
          <cell r="C11073" t="str">
            <v>Colorado Federal Savings Bank BSA/AML Audit 2025</v>
          </cell>
          <cell r="H11073">
            <v>5055110</v>
          </cell>
          <cell r="AK11073" t="str">
            <v>Mary Louise Radley</v>
          </cell>
        </row>
        <row r="11074">
          <cell r="C11074" t="str">
            <v>Banner Bank_RAS</v>
          </cell>
          <cell r="H11074">
            <v>5040098</v>
          </cell>
          <cell r="AK11074" t="str">
            <v>Diane Banks</v>
          </cell>
        </row>
        <row r="11075">
          <cell r="C11075" t="str">
            <v>Jeff_FO Tech PM / Scrum Master</v>
          </cell>
          <cell r="H11075">
            <v>5055753</v>
          </cell>
          <cell r="AK11075" t="str">
            <v>Sri Nonabur Srinivasamurthy</v>
          </cell>
        </row>
        <row r="11076">
          <cell r="C11076" t="str">
            <v>MS_KYC FY26 Q2</v>
          </cell>
          <cell r="H11076">
            <v>5054683</v>
          </cell>
          <cell r="AK11076" t="str">
            <v>Ruben Sooriya</v>
          </cell>
        </row>
        <row r="11077">
          <cell r="C11077" t="str">
            <v>Pru - GI - Mobile App Pod 1 Extension</v>
          </cell>
          <cell r="H11077">
            <v>5052841</v>
          </cell>
          <cell r="AK11077" t="str">
            <v>Deb Nelis</v>
          </cell>
        </row>
        <row r="11078">
          <cell r="C11078" t="str">
            <v>Grand Valley Bank_RAS</v>
          </cell>
          <cell r="H11078">
            <v>5039666</v>
          </cell>
          <cell r="AK11078" t="str">
            <v>Diane Banks</v>
          </cell>
        </row>
        <row r="11079">
          <cell r="C11079" t="str">
            <v>Brotherhood CU_RAS</v>
          </cell>
          <cell r="H11079">
            <v>5040204</v>
          </cell>
          <cell r="AK11079" t="str">
            <v>Diane Banks</v>
          </cell>
        </row>
        <row r="11080">
          <cell r="C11080" t="str">
            <v>Charles Schwab &amp; Co  Inc_RAS</v>
          </cell>
          <cell r="H11080">
            <v>5042740</v>
          </cell>
          <cell r="AK11080" t="str">
            <v>Diane Banks</v>
          </cell>
        </row>
        <row r="11081">
          <cell r="C11081" t="str">
            <v>BOKF_Project Priceless_TCV Drawdown</v>
          </cell>
          <cell r="H11081">
            <v>5052955</v>
          </cell>
          <cell r="AK11081" t="str">
            <v>Anna Stawowy</v>
          </cell>
        </row>
        <row r="11082">
          <cell r="C11082" t="str">
            <v>Services Use Case Execution Extension Jul 25 -Sep 25 (US Roles) Negative Sale Booking</v>
          </cell>
          <cell r="H11082">
            <v>5055659</v>
          </cell>
          <cell r="AK11082" t="str">
            <v>George Georgiou</v>
          </cell>
        </row>
        <row r="11083">
          <cell r="C11083" t="str">
            <v>MS_WM Technology FY26 Q2</v>
          </cell>
          <cell r="H11083">
            <v>5054717</v>
          </cell>
          <cell r="AK11083" t="str">
            <v>Dan Schutzman</v>
          </cell>
        </row>
        <row r="11084">
          <cell r="C11084" t="str">
            <v>HSBC-GFP-DAT-WIPRO-DPRIV_ILM Add -26Q3-US</v>
          </cell>
          <cell r="H11084">
            <v>5055639</v>
          </cell>
          <cell r="AK11084" t="str">
            <v>Parul Chowdhry</v>
          </cell>
        </row>
        <row r="11085">
          <cell r="C11085" t="str">
            <v>MS_TPPM Business FY26 Q2</v>
          </cell>
          <cell r="H11085">
            <v>5054716</v>
          </cell>
          <cell r="AK11085" t="str">
            <v>Dan Schutzman</v>
          </cell>
        </row>
        <row r="11086">
          <cell r="C11086" t="str">
            <v>National Cap Bank of Wash_RAS</v>
          </cell>
          <cell r="H11086">
            <v>5049855</v>
          </cell>
          <cell r="AK11086" t="str">
            <v>Diane Banks</v>
          </cell>
        </row>
        <row r="11087">
          <cell r="C11087" t="str">
            <v>MS_US ISG Ops Mumbai FY26 Q2</v>
          </cell>
          <cell r="H11087">
            <v>5054682</v>
          </cell>
          <cell r="AK11087" t="str">
            <v>Csaba Biro</v>
          </cell>
        </row>
        <row r="11088">
          <cell r="C11088" t="str">
            <v>MS_US ISG Ops Bangalore FY26 Q2</v>
          </cell>
          <cell r="H11088">
            <v>5054681</v>
          </cell>
          <cell r="AK11088" t="str">
            <v>Csaba Biro</v>
          </cell>
        </row>
        <row r="11089">
          <cell r="C11089" t="str">
            <v>MS_Data FY26 Q2</v>
          </cell>
          <cell r="H11089">
            <v>5054704</v>
          </cell>
          <cell r="AK11089" t="str">
            <v>Dan Schutzman</v>
          </cell>
        </row>
        <row r="11090">
          <cell r="C11090" t="str">
            <v>MS_ISG Operations FY26 Q2</v>
          </cell>
          <cell r="H11090">
            <v>5054762</v>
          </cell>
          <cell r="AK11090" t="str">
            <v>Csaba Biro</v>
          </cell>
        </row>
        <row r="11091">
          <cell r="C11091" t="str">
            <v>TCV Adjustment - MVB Bank / RDC Risk Assessment</v>
          </cell>
          <cell r="H11091">
            <v>5055153</v>
          </cell>
          <cell r="AK11091" t="str">
            <v>Robert Farmer</v>
          </cell>
        </row>
        <row r="11092">
          <cell r="C11092" t="str">
            <v>MS_WMT Advisory FY26 Q2</v>
          </cell>
          <cell r="H11092">
            <v>5054734</v>
          </cell>
          <cell r="AK11092" t="str">
            <v>Dan Schutzman</v>
          </cell>
        </row>
        <row r="11093">
          <cell r="C11093" t="str">
            <v>Pru - GI - Native Design Support Extension</v>
          </cell>
          <cell r="H11093">
            <v>5053782</v>
          </cell>
          <cell r="AK11093" t="str">
            <v>Deb Nelis</v>
          </cell>
        </row>
        <row r="11094">
          <cell r="C11094" t="str">
            <v>United Business Bank_RAS_2025</v>
          </cell>
          <cell r="H11094">
            <v>5039739</v>
          </cell>
          <cell r="AK11094" t="str">
            <v>Diane Banks</v>
          </cell>
        </row>
        <row r="11095">
          <cell r="C11095" t="str">
            <v>BOKF_Power BI Reporting P2</v>
          </cell>
          <cell r="H11095">
            <v>5055598</v>
          </cell>
          <cell r="AK11095" t="str">
            <v>Pete Grebus</v>
          </cell>
        </row>
        <row r="11096">
          <cell r="C11096" t="str">
            <v>Blue Foundry Bank CMS Addendum</v>
          </cell>
          <cell r="H11096">
            <v>5054425</v>
          </cell>
          <cell r="AK11096" t="str">
            <v>Jeanette Wampler</v>
          </cell>
        </row>
        <row r="11097">
          <cell r="C11097" t="str">
            <v>MS_FDO PMO Support FY26 Q2</v>
          </cell>
          <cell r="H11097">
            <v>5054778</v>
          </cell>
          <cell r="AK11097" t="str">
            <v>Dan Schutzman</v>
          </cell>
        </row>
        <row r="11098">
          <cell r="C11098" t="str">
            <v>National Capital Bank</v>
          </cell>
          <cell r="H11098">
            <v>5052938</v>
          </cell>
          <cell r="AK11098" t="str">
            <v>Eugene Collett</v>
          </cell>
        </row>
        <row r="11099">
          <cell r="C11099" t="str">
            <v>Arthur State Bank Interim Compliance Mgmt Support</v>
          </cell>
          <cell r="H11099">
            <v>5053386</v>
          </cell>
          <cell r="AK11099" t="str">
            <v>Eugene Collett</v>
          </cell>
        </row>
        <row r="11100">
          <cell r="C11100" t="str">
            <v>JDS - Strategic Build (Phase 2)</v>
          </cell>
          <cell r="H11100">
            <v>5055547</v>
          </cell>
          <cell r="AK11100" t="str">
            <v>Neha Patel</v>
          </cell>
        </row>
        <row r="11101">
          <cell r="C11101" t="str">
            <v>LifeStore Bank_RAS_2025</v>
          </cell>
          <cell r="H11101">
            <v>5040181</v>
          </cell>
          <cell r="AK11101" t="str">
            <v>Diane Banks</v>
          </cell>
        </row>
        <row r="11102">
          <cell r="C11102" t="str">
            <v>Jeff_SF Tech Java Developer - Shiva</v>
          </cell>
          <cell r="H11102">
            <v>5055829</v>
          </cell>
          <cell r="AK11102" t="str">
            <v>Matthew Rodgers</v>
          </cell>
        </row>
        <row r="11103">
          <cell r="C11103" t="str">
            <v>Marsh-Change Management Role Supporting Austin</v>
          </cell>
          <cell r="H11103">
            <v>5055714</v>
          </cell>
          <cell r="AK11103" t="str">
            <v>Lucy Geringer</v>
          </cell>
        </row>
        <row r="11104">
          <cell r="C11104" t="str">
            <v>Adirondack Trust Co / Virtual CISO</v>
          </cell>
          <cell r="H11104">
            <v>5055552</v>
          </cell>
          <cell r="AK11104" t="str">
            <v>Robert Farmer</v>
          </cell>
        </row>
        <row r="11105">
          <cell r="C11105" t="str">
            <v>Right Shore -2nd half of the year</v>
          </cell>
          <cell r="H11105">
            <v>5055712</v>
          </cell>
          <cell r="AK11105" t="str">
            <v>Lucy Geringer</v>
          </cell>
        </row>
        <row r="11106">
          <cell r="C11106" t="str">
            <v>Jefferies GETS (T+1) QA Extension</v>
          </cell>
          <cell r="H11106">
            <v>5055835</v>
          </cell>
          <cell r="AK11106" t="str">
            <v>John McCaffrey</v>
          </cell>
        </row>
        <row r="11107">
          <cell r="C11107" t="str">
            <v>Burke &amp; Herbert Bank_RAS</v>
          </cell>
          <cell r="H11107">
            <v>5054869</v>
          </cell>
          <cell r="AK11107" t="str">
            <v>Diane Banks</v>
          </cell>
        </row>
        <row r="11108">
          <cell r="C11108" t="str">
            <v>Jefferies Risk IT Environment Team 2025 H2 Extension</v>
          </cell>
          <cell r="H11108">
            <v>5055830</v>
          </cell>
          <cell r="AK11108" t="str">
            <v>John McCaffrey</v>
          </cell>
        </row>
        <row r="11109">
          <cell r="C11109" t="str">
            <v>Jeff_Transcend Final Program Support</v>
          </cell>
          <cell r="H11109">
            <v>5055755</v>
          </cell>
          <cell r="AK11109" t="str">
            <v>Matthew Rodgers</v>
          </cell>
        </row>
        <row r="11110">
          <cell r="C11110" t="str">
            <v>MS_WM Operations FY26 Q2</v>
          </cell>
          <cell r="H11110">
            <v>5054738</v>
          </cell>
          <cell r="AK11110" t="str">
            <v>Dan Schutzman</v>
          </cell>
        </row>
        <row r="11111">
          <cell r="C11111" t="str">
            <v>FNB South_RAS</v>
          </cell>
          <cell r="H11111">
            <v>5039661</v>
          </cell>
          <cell r="AK11111" t="str">
            <v>Diane Banks</v>
          </cell>
        </row>
        <row r="11112">
          <cell r="C11112" t="str">
            <v>Onyx_Onboarding Appian Phase 4</v>
          </cell>
          <cell r="H11112">
            <v>5054932</v>
          </cell>
          <cell r="AK11112" t="str">
            <v>Bhavik Domadia</v>
          </cell>
        </row>
        <row r="11113">
          <cell r="C11113" t="str">
            <v>CC5 2025 Compliance Testing for HMDA Data</v>
          </cell>
          <cell r="H11113">
            <v>5055875</v>
          </cell>
          <cell r="AK11113" t="str">
            <v>Susan Stevenson</v>
          </cell>
        </row>
        <row r="11114">
          <cell r="C11114" t="str">
            <v>MS_HR Data BA FY26 Q2</v>
          </cell>
          <cell r="H11114">
            <v>5054735</v>
          </cell>
          <cell r="AK11114" t="str">
            <v>Kshitij Zaveri</v>
          </cell>
        </row>
        <row r="11115">
          <cell r="C11115" t="str">
            <v>Community Bank NA - NY_RAS</v>
          </cell>
          <cell r="H11115">
            <v>5040158</v>
          </cell>
          <cell r="AK11115" t="str">
            <v>Diane Banks</v>
          </cell>
        </row>
        <row r="11116">
          <cell r="C11116" t="str">
            <v>EDO Data Tooling Extension Jul 25 - Sep 25 (US Only)</v>
          </cell>
          <cell r="H11116">
            <v>5055657</v>
          </cell>
          <cell r="AK11116" t="str">
            <v>Ifeoluwa Ajelabi</v>
          </cell>
        </row>
        <row r="11117">
          <cell r="C11117" t="str">
            <v>EDO Data Exception Extension Jul 25 -Sep 25 (US Roles)</v>
          </cell>
          <cell r="H11117">
            <v>5055681</v>
          </cell>
          <cell r="AK11117" t="str">
            <v>Ifeoluwa Ajelabi</v>
          </cell>
        </row>
        <row r="11118">
          <cell r="C11118" t="str">
            <v>MS_WM Business FY26 Q2</v>
          </cell>
          <cell r="H11118">
            <v>5054733</v>
          </cell>
          <cell r="AK11118" t="str">
            <v>Dan Schutzman</v>
          </cell>
        </row>
        <row r="11119">
          <cell r="C11119" t="str">
            <v>5039486 - FCB Banks_RAS</v>
          </cell>
          <cell r="H11119">
            <v>5039486</v>
          </cell>
          <cell r="AK11119" t="str">
            <v>Diane Banks</v>
          </cell>
        </row>
        <row r="11120">
          <cell r="C11120" t="str">
            <v>M&amp;A_Staffing UK Acquisition_Althea &amp; Shalom_US_Ext 2</v>
          </cell>
          <cell r="H11120">
            <v>5054183</v>
          </cell>
          <cell r="AK11120" t="str">
            <v>Thea Smith</v>
          </cell>
        </row>
        <row r="11121">
          <cell r="C11121" t="str">
            <v>Jeff_Flow Monitor Developer H2.2025 Extension</v>
          </cell>
          <cell r="H11121">
            <v>5055733</v>
          </cell>
          <cell r="AK11121" t="str">
            <v>Irina Szilagyi</v>
          </cell>
        </row>
        <row r="11122">
          <cell r="C11122" t="str">
            <v>NMB BSA Support Additional Hours</v>
          </cell>
          <cell r="H11122">
            <v>5054750</v>
          </cell>
          <cell r="AK11122" t="str">
            <v>William Sachs</v>
          </cell>
        </row>
        <row r="11123">
          <cell r="C11123" t="str">
            <v>Leader Bank - FARB Services</v>
          </cell>
          <cell r="H11123">
            <v>5053947</v>
          </cell>
          <cell r="AK11123" t="str">
            <v>Elanna Kooistra</v>
          </cell>
        </row>
        <row r="11124">
          <cell r="C11124" t="str">
            <v>Jeff_Project Journey - US PMO Lead</v>
          </cell>
          <cell r="H11124">
            <v>5055738</v>
          </cell>
          <cell r="AK11124" t="str">
            <v>Neha Patel</v>
          </cell>
        </row>
        <row r="11125">
          <cell r="C11125" t="str">
            <v>HSBC-GFP-DAT-WIPRO-Platform Engineering</v>
          </cell>
          <cell r="H11125">
            <v>5054986</v>
          </cell>
          <cell r="AK11125" t="str">
            <v>Janardhan Devarajan</v>
          </cell>
        </row>
        <row r="11126">
          <cell r="C11126" t="str">
            <v>Pru - DMN - Contract Command API Team Extension</v>
          </cell>
          <cell r="H11126">
            <v>5054323</v>
          </cell>
          <cell r="AK11126" t="str">
            <v>Harrison Corupe</v>
          </cell>
        </row>
        <row r="11127">
          <cell r="C11127" t="str">
            <v>Pru - DMN - Contract Domain Money-In Extension</v>
          </cell>
          <cell r="H11127">
            <v>5052987</v>
          </cell>
          <cell r="AK11127" t="str">
            <v>Seth Berman</v>
          </cell>
        </row>
        <row r="11128">
          <cell r="C11128" t="str">
            <v>Rosedale Federal Credit Underwriting MQC</v>
          </cell>
          <cell r="H11128">
            <v>5050176</v>
          </cell>
          <cell r="AK11128" t="str">
            <v>Christian Maier</v>
          </cell>
        </row>
        <row r="11129">
          <cell r="C11129" t="str">
            <v>Jeff_Wealth Phase 3 Extension (Jul-Nov 2025)</v>
          </cell>
          <cell r="H11129">
            <v>5052506</v>
          </cell>
          <cell r="AK11129" t="str">
            <v>Shruti Vashist</v>
          </cell>
        </row>
        <row r="11130">
          <cell r="C11130" t="str">
            <v>Obso tracker automation and dashboard</v>
          </cell>
          <cell r="H11130">
            <v>5054380</v>
          </cell>
          <cell r="AK11130" t="str">
            <v>Ridha Mesli</v>
          </cell>
        </row>
        <row r="11131">
          <cell r="C11131" t="str">
            <v>FCB_Payments Transformation Implementation - Phase 2</v>
          </cell>
          <cell r="H11131">
            <v>5055741</v>
          </cell>
          <cell r="AK11131" t="str">
            <v>Brent DeLeo</v>
          </cell>
        </row>
        <row r="11132">
          <cell r="C11132" t="str">
            <v>Carlyle_Investor Relations</v>
          </cell>
          <cell r="H11132">
            <v>5055843</v>
          </cell>
          <cell r="AK11132" t="str">
            <v>Keshav Khanna</v>
          </cell>
        </row>
        <row r="11133">
          <cell r="C11133" t="str">
            <v>Carlyle_AlpInvest Team</v>
          </cell>
          <cell r="H11133">
            <v>5055966</v>
          </cell>
          <cell r="AK11133" t="str">
            <v>Keshav Khanna</v>
          </cell>
        </row>
        <row r="11134">
          <cell r="C11134" t="str">
            <v>Rogue CU - GTM Strategy for Service Area Expansion</v>
          </cell>
          <cell r="H11134">
            <v>5055612</v>
          </cell>
          <cell r="AK11134" t="str">
            <v>Allison Duffee</v>
          </cell>
        </row>
        <row r="11135">
          <cell r="C11135" t="str">
            <v>Mastercard - Wipro - Account Level Management</v>
          </cell>
          <cell r="H11135">
            <v>5055905</v>
          </cell>
          <cell r="AK11135" t="str">
            <v>Shiv Kumar Raghuwanshi</v>
          </cell>
        </row>
        <row r="11136">
          <cell r="C11136" t="str">
            <v>Carlyle_Private Equity Product Team</v>
          </cell>
          <cell r="H11136">
            <v>5055831</v>
          </cell>
          <cell r="AK11136" t="str">
            <v>Keshav Khanna</v>
          </cell>
        </row>
        <row r="11137">
          <cell r="C11137" t="str">
            <v>Carlyle_AI Scaler Initiatives</v>
          </cell>
          <cell r="H11137">
            <v>5055832</v>
          </cell>
          <cell r="AK11137" t="str">
            <v>Keshav Khanna</v>
          </cell>
        </row>
        <row r="11138">
          <cell r="C11138" t="str">
            <v>Blue Foundry Bank Interim CCO</v>
          </cell>
          <cell r="H11138">
            <v>5055814</v>
          </cell>
          <cell r="AK11138" t="str">
            <v>Eugene Collett</v>
          </cell>
        </row>
        <row r="11139">
          <cell r="C11139" t="str">
            <v>CMA_Channel Islands Change Order 12</v>
          </cell>
          <cell r="H11139">
            <v>5053455</v>
          </cell>
          <cell r="AK11139" t="str">
            <v>Brett Knickle</v>
          </cell>
        </row>
        <row r="11140">
          <cell r="C11140" t="str">
            <v>Jeff_OTD .net Core Developer Offshore - Jayesh</v>
          </cell>
          <cell r="H11140">
            <v>5055909</v>
          </cell>
          <cell r="AK11140" t="str">
            <v>Matthew Rodgers</v>
          </cell>
        </row>
        <row r="11141">
          <cell r="C11141" t="str">
            <v>Allianz Program Mgmt -Extension</v>
          </cell>
          <cell r="H11141">
            <v>5055724</v>
          </cell>
          <cell r="AK11141" t="str">
            <v>Danielle Lutkus</v>
          </cell>
        </row>
        <row r="11142">
          <cell r="C11142" t="str">
            <v>WTB CMS Support - 2025 - 2026</v>
          </cell>
          <cell r="H11142">
            <v>5055813</v>
          </cell>
          <cell r="AK11142" t="str">
            <v>Mary Louise Radley</v>
          </cell>
        </row>
        <row r="11143">
          <cell r="C11143" t="str">
            <v>Pru - ILI - Distribution Journey Tech Delivery H2 2025 Expansion</v>
          </cell>
          <cell r="H11143">
            <v>5053689</v>
          </cell>
          <cell r="AK11143" t="str">
            <v>Luiz Abdo Junior</v>
          </cell>
        </row>
        <row r="11144">
          <cell r="C11144" t="str">
            <v>Early Termination_USB Tech Risk Control Work</v>
          </cell>
          <cell r="H11144">
            <v>5054999</v>
          </cell>
          <cell r="AK11144" t="str">
            <v>Samuel Awsumb</v>
          </cell>
        </row>
        <row r="11145">
          <cell r="C11145" t="str">
            <v>SF DATA TECH</v>
          </cell>
          <cell r="H11145">
            <v>5051994</v>
          </cell>
          <cell r="AK11145" t="str">
            <v>Jeffrey Diaz Vega</v>
          </cell>
        </row>
        <row r="11146">
          <cell r="C11146" t="str">
            <v>CMA_Channel Islands Change Order 13</v>
          </cell>
          <cell r="H11146">
            <v>5053455</v>
          </cell>
          <cell r="AK11146" t="str">
            <v>Brett Knickle</v>
          </cell>
        </row>
        <row r="11147">
          <cell r="C11147" t="str">
            <v>Battle Bank System Integration Extension- Phase 19</v>
          </cell>
          <cell r="H11147">
            <v>5050428</v>
          </cell>
          <cell r="AK11147" t="str">
            <v>James Kane</v>
          </cell>
        </row>
        <row r="11148">
          <cell r="C11148" t="str">
            <v>GRC TCV Update</v>
          </cell>
          <cell r="H11148">
            <v>5055593</v>
          </cell>
          <cell r="AK11148" t="str">
            <v>Gregg Henzel</v>
          </cell>
        </row>
        <row r="11149">
          <cell r="C11149" t="str">
            <v>WF AI Engineering Support</v>
          </cell>
          <cell r="H11149">
            <v>5055976</v>
          </cell>
          <cell r="AK11149" t="str">
            <v>Varun Putchala</v>
          </cell>
        </row>
        <row r="11150">
          <cell r="C11150" t="str">
            <v>FCB_FDIC 370 BAU Client Outreach Enhancements</v>
          </cell>
          <cell r="H11150">
            <v>5055850</v>
          </cell>
          <cell r="AK11150" t="str">
            <v>Lee Leonard</v>
          </cell>
        </row>
        <row r="11151">
          <cell r="C11151" t="str">
            <v>HNB Business Deposits Growth Strategy Support - CO 1</v>
          </cell>
          <cell r="H11151">
            <v>5055432</v>
          </cell>
          <cell r="AK11151" t="str">
            <v>James Kane</v>
          </cell>
        </row>
        <row r="11152">
          <cell r="C11152" t="str">
            <v>Customers Bank VDD Recurring Auto Renew Aug</v>
          </cell>
          <cell r="H11152">
            <v>5053371</v>
          </cell>
          <cell r="AK11152" t="str">
            <v>Eugene Collett</v>
          </cell>
        </row>
        <row r="11153">
          <cell r="C11153" t="str">
            <v>CIBC_MSL Transformation Workshop</v>
          </cell>
          <cell r="H11153">
            <v>5055916</v>
          </cell>
          <cell r="AK11153" t="str">
            <v>Tara Goderez</v>
          </cell>
        </row>
        <row r="11154">
          <cell r="C11154" t="str">
            <v>UVA _ Design Thinking Workshops</v>
          </cell>
          <cell r="H11154">
            <v>5055736</v>
          </cell>
          <cell r="AK11154" t="str">
            <v>Michael Rappaport</v>
          </cell>
        </row>
        <row r="11155">
          <cell r="C11155" t="str">
            <v>Nomura Reg Ops FTE Backfill</v>
          </cell>
          <cell r="H11155">
            <v>5055866</v>
          </cell>
          <cell r="AK11155" t="str">
            <v>Matthew Fischer</v>
          </cell>
        </row>
        <row r="11156">
          <cell r="C11156" t="str">
            <v>Jeff_SF Tech Arranged Financing Java Developer - Venkata</v>
          </cell>
          <cell r="H11156">
            <v>5055927</v>
          </cell>
          <cell r="AK11156" t="str">
            <v>Matthew Rodgers</v>
          </cell>
        </row>
        <row r="11157">
          <cell r="C11157" t="str">
            <v>Jeff_SF Tech Sr WPF Developer Incremental</v>
          </cell>
          <cell r="H11157">
            <v>5055933</v>
          </cell>
          <cell r="AK11157" t="str">
            <v>Matthew Rodgers</v>
          </cell>
        </row>
        <row r="11158">
          <cell r="C11158" t="str">
            <v>Pru - ILI - Distribution Journey - Sr BE Dev for Model Citizen</v>
          </cell>
          <cell r="H11158">
            <v>5053689</v>
          </cell>
          <cell r="AK11158" t="str">
            <v>Luiz Abdo Junior</v>
          </cell>
        </row>
        <row r="11159">
          <cell r="C11159" t="str">
            <v>EDO Business Execution 2025 Extension Q2-4 (US Roles) Negative Sale booking</v>
          </cell>
          <cell r="H11159">
            <v>5054990</v>
          </cell>
          <cell r="AK11159" t="str">
            <v>Ifeoluwa Ajelabi</v>
          </cell>
        </row>
        <row r="11160">
          <cell r="C11160" t="str">
            <v>MS_ISG_US Legacy Mod Operations</v>
          </cell>
          <cell r="H11160">
            <v>5055981</v>
          </cell>
          <cell r="AK11160" t="str">
            <v>Csaba Biro</v>
          </cell>
        </row>
        <row r="11161">
          <cell r="C11161" t="str">
            <v>Truist_SOW #25 CO#1_CIB Regulatory Reporting</v>
          </cell>
          <cell r="H11161">
            <v>5053607</v>
          </cell>
          <cell r="AK11161" t="str">
            <v>Jori Heikkinen</v>
          </cell>
        </row>
        <row r="11162">
          <cell r="C11162" t="str">
            <v>NGRD_DERM_Strategy 2wk extension</v>
          </cell>
          <cell r="H11162">
            <v>5055159</v>
          </cell>
          <cell r="AK11162" t="str">
            <v>Fotis Voutsinas</v>
          </cell>
        </row>
        <row r="11163">
          <cell r="C11163" t="str">
            <v>Jeff_SF Tech Sr WPF Developer - Deepak</v>
          </cell>
          <cell r="H11163">
            <v>5055933</v>
          </cell>
          <cell r="AK11163" t="str">
            <v>Matthew Rodgers</v>
          </cell>
        </row>
        <row r="11164">
          <cell r="C11164" t="str">
            <v>Woodforest Bank Data Feed</v>
          </cell>
          <cell r="H11164">
            <v>5056037</v>
          </cell>
          <cell r="AK11164" t="str">
            <v>Leah Robinson</v>
          </cell>
        </row>
        <row r="11165">
          <cell r="C11165" t="str">
            <v>Credit Agricole - FED VPM Assistance</v>
          </cell>
          <cell r="H11165">
            <v>5055910</v>
          </cell>
          <cell r="AK11165" t="str">
            <v>Anika Yan</v>
          </cell>
        </row>
        <row r="11166">
          <cell r="C11166" t="str">
            <v>USB_Offshore Dev Portal Exp</v>
          </cell>
          <cell r="H11166">
            <v>5055619</v>
          </cell>
          <cell r="AK11166" t="str">
            <v>Samuel Awsumb</v>
          </cell>
        </row>
        <row r="11167">
          <cell r="C11167" t="str">
            <v>Operations Workstream Lead</v>
          </cell>
          <cell r="H11167">
            <v>5055724</v>
          </cell>
          <cell r="AK11167" t="str">
            <v>Danielle Lutkus</v>
          </cell>
        </row>
        <row r="11168">
          <cell r="C11168" t="str">
            <v>DB-CAO-AFC-BC-AFC T&amp;R - OQA Market Conduct Risk (extension)</v>
          </cell>
          <cell r="H11168">
            <v>5054057</v>
          </cell>
          <cell r="AK11168" t="str">
            <v>Thanh Le Xuan</v>
          </cell>
        </row>
        <row r="11169">
          <cell r="C11169" t="str">
            <v>FCSB HMDA Review</v>
          </cell>
          <cell r="H11169">
            <v>5054792</v>
          </cell>
          <cell r="AK11169" t="str">
            <v>Eugene Collett</v>
          </cell>
        </row>
        <row r="11170">
          <cell r="C11170" t="str">
            <v>ID Theft and GLBA Risk Assessments</v>
          </cell>
          <cell r="H11170">
            <v>5055370</v>
          </cell>
          <cell r="AK11170" t="str">
            <v>Robert Farmer</v>
          </cell>
        </row>
        <row r="11171">
          <cell r="C11171" t="str">
            <v>Jefferies Infrastructure BA - Levi S Renewal AugJanFy2526</v>
          </cell>
          <cell r="H11171">
            <v>5054547</v>
          </cell>
          <cell r="AK11171" t="str">
            <v>Imran Parekh</v>
          </cell>
        </row>
        <row r="11172">
          <cell r="C11172" t="str">
            <v>TrustCo Bank_RAS_2025</v>
          </cell>
          <cell r="H11172">
            <v>5040198</v>
          </cell>
          <cell r="AK11172" t="str">
            <v>Diane Banks</v>
          </cell>
        </row>
        <row r="11173">
          <cell r="C11173" t="str">
            <v>Fremont Bank_RAS_2026</v>
          </cell>
          <cell r="H11173">
            <v>5039663</v>
          </cell>
          <cell r="AK11173" t="str">
            <v>Diane Banks</v>
          </cell>
        </row>
        <row r="11174">
          <cell r="C11174" t="str">
            <v>5Star Bank_RAS_2025</v>
          </cell>
          <cell r="H11174">
            <v>5040102</v>
          </cell>
          <cell r="AK11174" t="str">
            <v>Rebecca Breland</v>
          </cell>
        </row>
        <row r="11175">
          <cell r="C11175" t="str">
            <v>MS_ISG_ETH</v>
          </cell>
          <cell r="H11175">
            <v>5056057</v>
          </cell>
          <cell r="AK11175" t="str">
            <v>Csaba Biro</v>
          </cell>
        </row>
        <row r="11176">
          <cell r="C11176" t="str">
            <v>Pru - PGIM - AEM Go Live Q3 Extensions</v>
          </cell>
          <cell r="H11176">
            <v>5053950</v>
          </cell>
          <cell r="AK11176" t="str">
            <v>Diego Sarai</v>
          </cell>
        </row>
        <row r="11177">
          <cell r="C11177" t="str">
            <v>HSBC-WSB-GPS Canadian Dollar Card Program Extension #4</v>
          </cell>
          <cell r="H11177">
            <v>5052375</v>
          </cell>
          <cell r="AK11177" t="str">
            <v>James Kane</v>
          </cell>
        </row>
        <row r="11178">
          <cell r="C11178" t="str">
            <v>Greenfield Savings Bank_RAS 2025-2027</v>
          </cell>
          <cell r="H11178">
            <v>5040103</v>
          </cell>
          <cell r="AK11178" t="str">
            <v>Diane Banks</v>
          </cell>
        </row>
        <row r="11179">
          <cell r="C11179" t="str">
            <v>Central Bank - TN_RAS_2026</v>
          </cell>
          <cell r="H11179">
            <v>5040113</v>
          </cell>
          <cell r="AK11179" t="str">
            <v>Diane Banks</v>
          </cell>
        </row>
        <row r="11180">
          <cell r="C11180" t="str">
            <v>CCCU / Digital Banking Risk Assessment</v>
          </cell>
          <cell r="H11180">
            <v>5055528</v>
          </cell>
          <cell r="AK11180" t="str">
            <v>Robert Farmer</v>
          </cell>
        </row>
        <row r="11181">
          <cell r="C11181" t="str">
            <v>Santander - Channel Transformation T&amp;E to Fees</v>
          </cell>
          <cell r="H11181">
            <v>5045590</v>
          </cell>
          <cell r="AK11181" t="str">
            <v>Dana Schwaeber</v>
          </cell>
        </row>
        <row r="11182">
          <cell r="C11182" t="str">
            <v>Citi_Services Data Stewards Incremental (US)</v>
          </cell>
          <cell r="H11182">
            <v>5056014</v>
          </cell>
          <cell r="AK11182" t="str">
            <v>Alex Cudal</v>
          </cell>
        </row>
        <row r="11183">
          <cell r="C11183" t="str">
            <v>FWBank_RAS</v>
          </cell>
          <cell r="H11183">
            <v>5043191</v>
          </cell>
          <cell r="AK11183" t="str">
            <v>Rebecca Breland</v>
          </cell>
        </row>
        <row r="11184">
          <cell r="C11184" t="str">
            <v>Jefferies_Managed Services - Transaction Monitoring Ext 5</v>
          </cell>
          <cell r="H11184">
            <v>5052378</v>
          </cell>
          <cell r="AK11184" t="str">
            <v>Samuel Desta</v>
          </cell>
        </row>
        <row r="11185">
          <cell r="C11185" t="str">
            <v>Jefferies_Managed Services_KYC Surge Capacity Ext #1</v>
          </cell>
          <cell r="H11185">
            <v>5052447</v>
          </cell>
          <cell r="AK11185" t="str">
            <v>Chelsea Mattias</v>
          </cell>
        </row>
        <row r="11186">
          <cell r="C11186" t="str">
            <v>Sawyer Savings Bank_RAS_2026</v>
          </cell>
          <cell r="H11186">
            <v>5040196</v>
          </cell>
          <cell r="AK11186" t="str">
            <v>Diane Banks</v>
          </cell>
        </row>
        <row r="11187">
          <cell r="C11187" t="str">
            <v>Vermilion Bank &amp; Trust Co._RAS_2025</v>
          </cell>
          <cell r="H11187">
            <v>5040201</v>
          </cell>
          <cell r="AK11187" t="str">
            <v>Diane Banks</v>
          </cell>
        </row>
        <row r="11188">
          <cell r="C11188" t="str">
            <v>HSBC-GFP-DBS API MRA Project (Daisy P)</v>
          </cell>
          <cell r="H11188">
            <v>5055945</v>
          </cell>
          <cell r="AK11188" t="str">
            <v>Daisy Pradhan</v>
          </cell>
        </row>
        <row r="11189">
          <cell r="C11189" t="str">
            <v>Focus Bank-RAS 2026</v>
          </cell>
          <cell r="H11189">
            <v>5040179</v>
          </cell>
          <cell r="AK11189" t="str">
            <v>Diane Banks</v>
          </cell>
        </row>
        <row r="11190">
          <cell r="C11190" t="str">
            <v>Seacoast National Bank_RAS_2026</v>
          </cell>
          <cell r="H11190">
            <v>5039722</v>
          </cell>
          <cell r="AK11190" t="str">
            <v>Diane Banks</v>
          </cell>
        </row>
        <row r="11191">
          <cell r="C11191" t="str">
            <v>Recurring_City First Bank CMS 2024 - 2025</v>
          </cell>
          <cell r="H11191">
            <v>5055873</v>
          </cell>
          <cell r="AK11191" t="str">
            <v>W. Annette Dredden</v>
          </cell>
        </row>
        <row r="11192">
          <cell r="C11192" t="str">
            <v>Chesapeake B&amp;T / FedLine Security &amp; Resilience Assessment</v>
          </cell>
          <cell r="H11192">
            <v>5055124</v>
          </cell>
          <cell r="AK11192" t="str">
            <v>Robert Farmer</v>
          </cell>
        </row>
        <row r="11193">
          <cell r="C11193" t="str">
            <v>Recurring TBB BSA Officer Support</v>
          </cell>
          <cell r="H11193">
            <v>5055739</v>
          </cell>
          <cell r="AK11193" t="str">
            <v>William Sachs</v>
          </cell>
        </row>
        <row r="11194">
          <cell r="C11194" t="str">
            <v>Ames National Corporation_RAS</v>
          </cell>
          <cell r="H11194">
            <v>5040191</v>
          </cell>
          <cell r="AK11194" t="str">
            <v>Rebecca Breland</v>
          </cell>
        </row>
        <row r="11195">
          <cell r="C11195" t="str">
            <v>RBC Qlikview Sanal Extension Oct 2025</v>
          </cell>
          <cell r="H11195">
            <v>5044766</v>
          </cell>
          <cell r="AK11195" t="str">
            <v>Kirby Pulver</v>
          </cell>
        </row>
        <row r="11196">
          <cell r="C11196" t="str">
            <v>USB_RMS Quad Squad Ext</v>
          </cell>
          <cell r="H11196">
            <v>5052936</v>
          </cell>
          <cell r="AK11196" t="str">
            <v>Samuel Awsumb</v>
          </cell>
        </row>
        <row r="11197">
          <cell r="C11197" t="str">
            <v>Services Data Stewards Incremental (UK)</v>
          </cell>
          <cell r="H11197">
            <v>5056014</v>
          </cell>
          <cell r="AK11197" t="str">
            <v>Alex Cudal</v>
          </cell>
        </row>
        <row r="11198">
          <cell r="C11198" t="str">
            <v>Preferred Bank BSA Audit 2025</v>
          </cell>
          <cell r="H11198">
            <v>5055116</v>
          </cell>
          <cell r="AK11198" t="str">
            <v>Mary Louise Radley</v>
          </cell>
        </row>
        <row r="11199">
          <cell r="C11199" t="str">
            <v>Preferred Bank Compliance Audit 2025</v>
          </cell>
          <cell r="H11199">
            <v>5054583</v>
          </cell>
          <cell r="AK11199" t="str">
            <v>Mary Louise Radley</v>
          </cell>
        </row>
        <row r="11200">
          <cell r="C11200" t="str">
            <v>Preferred Bank Mortgage Ops &amp; Compliance Audit 2025</v>
          </cell>
          <cell r="H11200">
            <v>5054585</v>
          </cell>
          <cell r="AK11200" t="str">
            <v>Mary Louise Radley</v>
          </cell>
        </row>
        <row r="11201">
          <cell r="C11201" t="str">
            <v>FNB South</v>
          </cell>
          <cell r="H11201">
            <v>5055740</v>
          </cell>
          <cell r="AK11201" t="str">
            <v>Jeanette Wampler</v>
          </cell>
        </row>
        <row r="11202">
          <cell r="C11202" t="str">
            <v>Jeff_Sec Fin QA Ext</v>
          </cell>
          <cell r="H11202">
            <v>5055937</v>
          </cell>
          <cell r="AK11202" t="str">
            <v>Nikin Karunakaran Nambiar</v>
          </cell>
        </row>
        <row r="11203">
          <cell r="C11203" t="str">
            <v>Finxact Battle Bank Implementation Sprints Extension 12 CO#11</v>
          </cell>
          <cell r="H11203">
            <v>5050611</v>
          </cell>
          <cell r="AK11203" t="str">
            <v>James Kane</v>
          </cell>
        </row>
        <row r="11204">
          <cell r="C11204" t="str">
            <v>SNB Bank  NA_RAS_2025</v>
          </cell>
          <cell r="H11204">
            <v>5042823</v>
          </cell>
          <cell r="AK11204" t="str">
            <v>Diane Banks</v>
          </cell>
        </row>
        <row r="11205">
          <cell r="C11205" t="str">
            <v>Ridgewood SB BSA Risk Assessment 2025</v>
          </cell>
          <cell r="H11205">
            <v>5056068</v>
          </cell>
          <cell r="AK11205" t="str">
            <v>Mary Louise Radley</v>
          </cell>
        </row>
        <row r="11206">
          <cell r="C11206" t="str">
            <v>MS_TPPM Business FY26 Tiffany L extension</v>
          </cell>
          <cell r="H11206">
            <v>5054716</v>
          </cell>
          <cell r="AK11206" t="str">
            <v>Dan Schutzman</v>
          </cell>
        </row>
        <row r="11207">
          <cell r="C11207" t="str">
            <v>WF- SAR</v>
          </cell>
          <cell r="H11207">
            <v>5055833</v>
          </cell>
          <cell r="AK11207" t="str">
            <v>Glen Gannon</v>
          </cell>
        </row>
        <row r="11208">
          <cell r="C11208" t="str">
            <v>CFG Bank BSA AML OFAC Risk Assessment</v>
          </cell>
          <cell r="H11208">
            <v>5055889</v>
          </cell>
          <cell r="AK11208" t="str">
            <v>William Sachs</v>
          </cell>
        </row>
        <row r="11209">
          <cell r="C11209" t="str">
            <v>Citizens Trust Bank_RAS_2026</v>
          </cell>
          <cell r="H11209">
            <v>5046649</v>
          </cell>
          <cell r="AK11209" t="str">
            <v>Diane Banks</v>
          </cell>
        </row>
        <row r="11210">
          <cell r="C11210" t="str">
            <v>ESB Patriot Officer Validation</v>
          </cell>
          <cell r="H11210">
            <v>5055526</v>
          </cell>
          <cell r="AK11210" t="str">
            <v>William Sachs</v>
          </cell>
        </row>
        <row r="11211">
          <cell r="C11211" t="str">
            <v>TNB Verafin Rationalization</v>
          </cell>
          <cell r="H11211">
            <v>5054997</v>
          </cell>
          <cell r="AK11211" t="str">
            <v>William Sachs</v>
          </cell>
        </row>
        <row r="11212">
          <cell r="C11212" t="str">
            <v>Jeff SPM Team - Extension</v>
          </cell>
          <cell r="H11212">
            <v>5054450</v>
          </cell>
          <cell r="AK11212" t="str">
            <v>Imran Parekh</v>
          </cell>
        </row>
        <row r="11213">
          <cell r="C11213" t="str">
            <v>Thomasville National Bank_RAS</v>
          </cell>
          <cell r="H11213">
            <v>5040199</v>
          </cell>
          <cell r="AK11213" t="str">
            <v>Diane Banks</v>
          </cell>
        </row>
        <row r="11214">
          <cell r="C11214" t="str">
            <v>Mortgage Solutions of Colo_RAS</v>
          </cell>
          <cell r="H11214">
            <v>5046650</v>
          </cell>
          <cell r="AK11214" t="str">
            <v>Diane Banks</v>
          </cell>
        </row>
        <row r="11215">
          <cell r="C11215" t="str">
            <v>Extension Lead BMA Aug/Sep25</v>
          </cell>
          <cell r="H11215">
            <v>5054380</v>
          </cell>
          <cell r="AK11215" t="str">
            <v>Ridha Mesli</v>
          </cell>
        </row>
        <row r="11216">
          <cell r="C11216" t="str">
            <v>SSFCU_RAS_2025</v>
          </cell>
          <cell r="H11216">
            <v>5040197</v>
          </cell>
          <cell r="AK11216" t="str">
            <v>Diane Banks</v>
          </cell>
        </row>
        <row r="11217">
          <cell r="C11217" t="str">
            <v>Project Diligent_Core and Config Team TCV Reduction</v>
          </cell>
          <cell r="H11217">
            <v>5053472</v>
          </cell>
          <cell r="AK11217" t="str">
            <v>Prateek Duhan</v>
          </cell>
        </row>
        <row r="11218">
          <cell r="C11218" t="str">
            <v>Modern Bank  NA_RAS_2026</v>
          </cell>
          <cell r="H11218">
            <v>5040355</v>
          </cell>
          <cell r="AK11218" t="str">
            <v>Diane Banks</v>
          </cell>
        </row>
        <row r="11219">
          <cell r="C11219" t="str">
            <v>Northfield Bank_RAS_2026</v>
          </cell>
          <cell r="H11219">
            <v>5039695</v>
          </cell>
          <cell r="AK11219" t="str">
            <v>Diane Banks</v>
          </cell>
        </row>
        <row r="11220">
          <cell r="C11220" t="str">
            <v>Adirondack Bank_RAS_2026</v>
          </cell>
          <cell r="H11220">
            <v>5039437</v>
          </cell>
          <cell r="AK11220" t="str">
            <v>Diane Banks</v>
          </cell>
        </row>
        <row r="11221">
          <cell r="C11221" t="str">
            <v>PlainsCapital Bank_RAS_2026</v>
          </cell>
          <cell r="H11221">
            <v>5040183</v>
          </cell>
          <cell r="AK11221" t="str">
            <v>Diane Banks</v>
          </cell>
        </row>
        <row r="11222">
          <cell r="C11222" t="str">
            <v>Bank of Walker County_RAS</v>
          </cell>
          <cell r="H11222">
            <v>5039594</v>
          </cell>
          <cell r="AK11222" t="str">
            <v>Diane Banks</v>
          </cell>
        </row>
        <row r="11223">
          <cell r="C11223" t="str">
            <v>Jefferies GIS Resource - Grace K Extension FY26 AugJan</v>
          </cell>
          <cell r="H11223">
            <v>5052914</v>
          </cell>
          <cell r="AK11223" t="str">
            <v>Imran Parekh</v>
          </cell>
        </row>
        <row r="11224">
          <cell r="C11224" t="str">
            <v>Sooner State Bank_RAS_2025</v>
          </cell>
          <cell r="H11224">
            <v>5040104</v>
          </cell>
          <cell r="AK11224" t="str">
            <v>Diane Banks</v>
          </cell>
        </row>
        <row r="11225">
          <cell r="C11225" t="str">
            <v>HSBC-GFP-PROC-Procurement Systems Integration Ext</v>
          </cell>
          <cell r="H11225">
            <v>5054448</v>
          </cell>
          <cell r="AK11225" t="str">
            <v>Daisy Pradhan</v>
          </cell>
        </row>
        <row r="11226">
          <cell r="C11226" t="str">
            <v>Jefferies NBC Support</v>
          </cell>
          <cell r="H11226">
            <v>5055999</v>
          </cell>
          <cell r="AK11226" t="str">
            <v>Julia Simmons</v>
          </cell>
        </row>
        <row r="11227">
          <cell r="C11227" t="str">
            <v>OHS_Enterprise Content Management Support BA</v>
          </cell>
          <cell r="H11227">
            <v>5054609</v>
          </cell>
          <cell r="AK11227" t="str">
            <v>Avishek Sinha</v>
          </cell>
        </row>
        <row r="11228">
          <cell r="C11228" t="str">
            <v>Jefferies_Managed Service - Adverse News Reviews Extension 5</v>
          </cell>
          <cell r="H11228">
            <v>5052396</v>
          </cell>
          <cell r="AK11228" t="str">
            <v>Samuel Desta</v>
          </cell>
        </row>
        <row r="11229">
          <cell r="C11229" t="str">
            <v>Finxact_Desjardins Commercial Card 360 Control QA Coordinator</v>
          </cell>
          <cell r="H11229">
            <v>5056056</v>
          </cell>
          <cell r="AK11229" t="str">
            <v>Robbie Roberts</v>
          </cell>
        </row>
        <row r="11230">
          <cell r="C11230" t="str">
            <v>Jefferies Equities Swap PM</v>
          </cell>
          <cell r="H11230">
            <v>5055936</v>
          </cell>
          <cell r="AK11230" t="str">
            <v>Sri Nonabur Srinivasamurthy</v>
          </cell>
        </row>
        <row r="11231">
          <cell r="C11231" t="str">
            <v>Jefferies SD Compliance Program</v>
          </cell>
          <cell r="H11231">
            <v>5055947</v>
          </cell>
          <cell r="AK11231" t="str">
            <v>Matthew Rodgers</v>
          </cell>
        </row>
        <row r="11232">
          <cell r="C11232" t="str">
            <v>Empire State Bank - AA Analysis</v>
          </cell>
          <cell r="H11232">
            <v>5054672</v>
          </cell>
          <cell r="AK11232" t="str">
            <v>Elanna Kooistra</v>
          </cell>
        </row>
        <row r="11233">
          <cell r="C11233" t="str">
            <v>Jeff_Operations IT Portfolio Management</v>
          </cell>
          <cell r="H11233">
            <v>5056000</v>
          </cell>
          <cell r="AK11233" t="str">
            <v>Conor Dowling</v>
          </cell>
        </row>
        <row r="11234">
          <cell r="C11234" t="str">
            <v>SEIU TP Scheduling System Assessment</v>
          </cell>
          <cell r="H11234">
            <v>5056067</v>
          </cell>
          <cell r="AK11234" t="str">
            <v>Eric Fairchild</v>
          </cell>
        </row>
        <row r="11235">
          <cell r="C11235" t="str">
            <v>ITAM and VPM Integration</v>
          </cell>
          <cell r="H11235">
            <v>5055973</v>
          </cell>
          <cell r="AK11235" t="str">
            <v>Boris Mallet</v>
          </cell>
        </row>
        <row r="11236">
          <cell r="C11236" t="str">
            <v>Carlyle_IR portal and Project Welcome</v>
          </cell>
          <cell r="H11236">
            <v>5055967</v>
          </cell>
          <cell r="AK11236" t="str">
            <v>Keshav Khanna</v>
          </cell>
        </row>
        <row r="11237">
          <cell r="C11237" t="str">
            <v>TruStage UCPM &amp; MPI Requirements Eng Extension</v>
          </cell>
          <cell r="H11237">
            <v>5055992</v>
          </cell>
          <cell r="AK11237" t="str">
            <v>James Fischer</v>
          </cell>
        </row>
        <row r="11238">
          <cell r="C11238" t="str">
            <v>CCB_Liquidity Model Validation</v>
          </cell>
          <cell r="H11238">
            <v>5055911</v>
          </cell>
          <cell r="AK11238" t="str">
            <v>Aiswarya Parameswaran</v>
          </cell>
        </row>
        <row r="11239">
          <cell r="C11239" t="str">
            <v>MS_WM Business [Max Markowitz]</v>
          </cell>
          <cell r="H11239">
            <v>5054733</v>
          </cell>
          <cell r="AK11239" t="str">
            <v>Dan Schutzman</v>
          </cell>
        </row>
        <row r="11240">
          <cell r="C11240" t="str">
            <v>USB_Offshore Business Bank UX</v>
          </cell>
          <cell r="H11240">
            <v>5054826</v>
          </cell>
          <cell r="AK11240" t="str">
            <v>Samuel Awsumb</v>
          </cell>
        </row>
        <row r="11241">
          <cell r="C11241" t="str">
            <v>MS_TPPM India (Bangalore) [Jodyann roles]</v>
          </cell>
          <cell r="H11241">
            <v>5056086</v>
          </cell>
          <cell r="AK11241" t="str">
            <v>Dan Schutzman</v>
          </cell>
        </row>
        <row r="11242">
          <cell r="C11242" t="str">
            <v>Carlyle_Deal Cloud Support</v>
          </cell>
          <cell r="H11242">
            <v>5055963</v>
          </cell>
          <cell r="AK11242" t="str">
            <v>Keshav Khanna</v>
          </cell>
        </row>
        <row r="11243">
          <cell r="C11243" t="str">
            <v>BMO - MDAL Program Management (EXT)</v>
          </cell>
          <cell r="H11243">
            <v>5055968</v>
          </cell>
          <cell r="AK11243" t="str">
            <v>Mark Mountan</v>
          </cell>
        </row>
        <row r="11244">
          <cell r="C11244" t="str">
            <v>Battle Bank System Integration Extension- Phase 20</v>
          </cell>
          <cell r="H11244">
            <v>5050428</v>
          </cell>
          <cell r="AK11244" t="str">
            <v>James Kane</v>
          </cell>
        </row>
        <row r="11245">
          <cell r="C11245" t="str">
            <v>Ridgewood Savings Bank</v>
          </cell>
          <cell r="H11245">
            <v>5054093</v>
          </cell>
          <cell r="AK11245" t="str">
            <v>Leigh Tribou</v>
          </cell>
        </row>
        <row r="11246">
          <cell r="C11246" t="str">
            <v>FCB_M365 Migration Transition Planning</v>
          </cell>
          <cell r="H11246">
            <v>5055490</v>
          </cell>
          <cell r="AK11246" t="str">
            <v>Vijaya Sripathi</v>
          </cell>
        </row>
        <row r="11247">
          <cell r="C11247" t="str">
            <v>Santander - Communications Transformation</v>
          </cell>
          <cell r="H11247">
            <v>5055969</v>
          </cell>
          <cell r="AK11247" t="str">
            <v>Dana Schwaeber</v>
          </cell>
        </row>
        <row r="11248">
          <cell r="C11248" t="str">
            <v>Santander - Digital Product Transformation P11 2026</v>
          </cell>
          <cell r="H11248">
            <v>5045590</v>
          </cell>
          <cell r="AK11248" t="str">
            <v>Dana Schwaeber</v>
          </cell>
        </row>
        <row r="11249">
          <cell r="C11249" t="str">
            <v>FrMc_Full Stack Developer</v>
          </cell>
          <cell r="H11249">
            <v>5053829</v>
          </cell>
          <cell r="AK11249" t="str">
            <v>Rishi Sanghavi</v>
          </cell>
        </row>
        <row r="11250">
          <cell r="C11250" t="str">
            <v>GLIC: Incident Triage Resources- ALIP Stabilization Program</v>
          </cell>
          <cell r="H11250">
            <v>5054458</v>
          </cell>
          <cell r="AK11250" t="str">
            <v>Michelle Rosen</v>
          </cell>
        </row>
        <row r="11251">
          <cell r="C11251" t="str">
            <v>Naehas BAC Partnership Solution Architect SE - EXT</v>
          </cell>
          <cell r="H11251">
            <v>5054630</v>
          </cell>
          <cell r="AK11251" t="str">
            <v>Mark Mountan</v>
          </cell>
        </row>
        <row r="11252">
          <cell r="C11252" t="str">
            <v>Bread - UCPM API Engineer Extension - Abigail Limpioso</v>
          </cell>
          <cell r="H11252">
            <v>5055104</v>
          </cell>
          <cell r="AK11252" t="str">
            <v>Paul Laurent</v>
          </cell>
        </row>
        <row r="11253">
          <cell r="C11253" t="str">
            <v>FCB_Payments Transformation_Wires Planning</v>
          </cell>
          <cell r="H11253">
            <v>5056040</v>
          </cell>
          <cell r="AK11253" t="str">
            <v>Ann Culbertson</v>
          </cell>
        </row>
        <row r="11254">
          <cell r="C11254" t="str">
            <v>MS Global Loans Transformation PM [Abby Cohen]</v>
          </cell>
          <cell r="H11254">
            <v>5054762</v>
          </cell>
          <cell r="AK11254" t="str">
            <v>Csaba Biro</v>
          </cell>
        </row>
        <row r="11255">
          <cell r="C11255" t="str">
            <v>NFCU Servicing 3rd - G/S Role Development</v>
          </cell>
          <cell r="H11255">
            <v>5056033</v>
          </cell>
          <cell r="AK11255" t="str">
            <v>Thomas Scott</v>
          </cell>
        </row>
        <row r="11256">
          <cell r="C11256" t="str">
            <v>USB_Offshore Business Bank (Pod 5)</v>
          </cell>
          <cell r="H11256">
            <v>5056485</v>
          </cell>
          <cell r="AK11256" t="str">
            <v>Samuel Awsumb</v>
          </cell>
        </row>
        <row r="11257">
          <cell r="C11257" t="str">
            <v>Pru - PRT Pricing Data Modernization Discovery</v>
          </cell>
          <cell r="H11257">
            <v>5056085</v>
          </cell>
          <cell r="AK11257" t="str">
            <v>Emily Clark</v>
          </cell>
        </row>
        <row r="11258">
          <cell r="C11258" t="str">
            <v>BOKF_ICS Solution Discovery</v>
          </cell>
          <cell r="H11258">
            <v>5056049</v>
          </cell>
          <cell r="AK11258" t="str">
            <v>John McHugh</v>
          </cell>
        </row>
        <row r="11259">
          <cell r="C11259" t="str">
            <v>Customers Bank VDD Recurring Auto Renew Sep</v>
          </cell>
          <cell r="H11259">
            <v>5053371</v>
          </cell>
          <cell r="AK11259" t="str">
            <v>Eugene Collett</v>
          </cell>
        </row>
        <row r="11260">
          <cell r="C11260" t="str">
            <v>Pru - ILI - Simplified Solutions Expansion</v>
          </cell>
          <cell r="H11260">
            <v>5054078</v>
          </cell>
          <cell r="AK11260" t="str">
            <v>Ana Santos</v>
          </cell>
        </row>
        <row r="11261">
          <cell r="C11261" t="str">
            <v>MS Finance - Midway Resources (US) Dan G</v>
          </cell>
          <cell r="H11261">
            <v>5054762</v>
          </cell>
          <cell r="AK11261" t="str">
            <v>Csaba Biro</v>
          </cell>
        </row>
        <row r="11262">
          <cell r="C11262" t="str">
            <v>NFCU Servicing 3rd - PS/MC Modernization</v>
          </cell>
          <cell r="H11262">
            <v>5056033</v>
          </cell>
          <cell r="AK11262" t="str">
            <v>Thomas Scott</v>
          </cell>
        </row>
        <row r="11263">
          <cell r="C11263" t="str">
            <v>FrMc_EOT Role Extension</v>
          </cell>
          <cell r="H11263">
            <v>5052346</v>
          </cell>
          <cell r="AK11263" t="str">
            <v>Kalkidan Tedla</v>
          </cell>
        </row>
        <row r="11264">
          <cell r="C11264" t="str">
            <v>FCB Embedded Payments PM Extension</v>
          </cell>
          <cell r="H11264">
            <v>5054627</v>
          </cell>
          <cell r="AK11264" t="str">
            <v>Seth Berman</v>
          </cell>
        </row>
        <row r="11265">
          <cell r="C11265" t="str">
            <v>Medallion Bank_RAS 2025-2027</v>
          </cell>
          <cell r="H11265">
            <v>5040182</v>
          </cell>
          <cell r="AK11265" t="str">
            <v>Diane Banks</v>
          </cell>
        </row>
        <row r="11266">
          <cell r="C11266" t="str">
            <v>Jefferies SD Compliance Program - Simran lalwani Negative Sales Booking</v>
          </cell>
          <cell r="H11266">
            <v>5055947</v>
          </cell>
          <cell r="AK11266" t="str">
            <v>Matthew Rodgers</v>
          </cell>
        </row>
        <row r="11267">
          <cell r="C11267" t="str">
            <v>Recurring_Founders Bank BSA 25-26</v>
          </cell>
          <cell r="H11267">
            <v>5056070</v>
          </cell>
          <cell r="AK11267" t="str">
            <v>Charles Lynn Piper</v>
          </cell>
        </row>
        <row r="11268">
          <cell r="C11268" t="str">
            <v>FrMc_Data Modernization Ext (SOW 17808-05)</v>
          </cell>
          <cell r="H11268">
            <v>5052732</v>
          </cell>
          <cell r="AK11268" t="str">
            <v>Michael Mathew</v>
          </cell>
        </row>
        <row r="11269">
          <cell r="C11269" t="str">
            <v>Seacoast Bank - Data Conversion</v>
          </cell>
          <cell r="H11269">
            <v>5055077</v>
          </cell>
          <cell r="AK11269" t="str">
            <v>Ameya Deolalkar</v>
          </cell>
        </row>
        <row r="11270">
          <cell r="C11270" t="str">
            <v>BEA - CRE Review</v>
          </cell>
          <cell r="H11270">
            <v>5055412</v>
          </cell>
          <cell r="AK11270" t="str">
            <v>Eugene Collett</v>
          </cell>
        </row>
        <row r="11271">
          <cell r="C11271" t="str">
            <v>FrMc_SecOps Modernization Cutover Strategy</v>
          </cell>
          <cell r="H11271">
            <v>5053956</v>
          </cell>
          <cell r="AK11271" t="str">
            <v>Gregory Barry</v>
          </cell>
        </row>
        <row r="11272">
          <cell r="C11272" t="str">
            <v>Recurring _BCBank Inc_CMS 2025-2026</v>
          </cell>
          <cell r="H11272">
            <v>5056201</v>
          </cell>
          <cell r="AK11272" t="str">
            <v>Eugene Collett</v>
          </cell>
        </row>
        <row r="11273">
          <cell r="C11273" t="str">
            <v>First NB of Wakefield_RAS_2026</v>
          </cell>
          <cell r="H11273">
            <v>5040243</v>
          </cell>
          <cell r="AK11273" t="str">
            <v>Diane Banks</v>
          </cell>
        </row>
        <row r="11274">
          <cell r="C11274" t="str">
            <v>Recurring MVB BSA Indep Test</v>
          </cell>
          <cell r="H11274">
            <v>5055403</v>
          </cell>
          <cell r="AK11274" t="str">
            <v>William Sachs</v>
          </cell>
        </row>
        <row r="11275">
          <cell r="C11275" t="str">
            <v>FrMc_CDT - OPS PMO ROLES</v>
          </cell>
          <cell r="H11275">
            <v>5053679</v>
          </cell>
          <cell r="AK11275" t="str">
            <v>Ambika Kutty</v>
          </cell>
        </row>
        <row r="11276">
          <cell r="C11276" t="str">
            <v>Great Oaks Bank_RAS_2025</v>
          </cell>
          <cell r="H11276">
            <v>5040155</v>
          </cell>
          <cell r="AK11276" t="str">
            <v>Diane Banks</v>
          </cell>
        </row>
        <row r="11277">
          <cell r="C11277" t="str">
            <v>Jefferies OTD FI QA Lead</v>
          </cell>
          <cell r="H11277">
            <v>5056119</v>
          </cell>
          <cell r="AK11277" t="str">
            <v>John McCaffrey</v>
          </cell>
        </row>
        <row r="11278">
          <cell r="C11278" t="str">
            <v>Connecticut Community Bank CMS Support 2025</v>
          </cell>
          <cell r="H11278">
            <v>5053533</v>
          </cell>
          <cell r="AK11278" t="str">
            <v>Mary Louise Radley</v>
          </cell>
        </row>
        <row r="11279">
          <cell r="C11279" t="str">
            <v>Foresight Financial_RAS_2026</v>
          </cell>
          <cell r="H11279">
            <v>5040242</v>
          </cell>
          <cell r="AK11279" t="str">
            <v>Diane Banks</v>
          </cell>
        </row>
        <row r="11280">
          <cell r="C11280" t="str">
            <v>Modern Bank - Alert Clearing Extension</v>
          </cell>
          <cell r="H11280">
            <v>5055305</v>
          </cell>
          <cell r="AK11280" t="str">
            <v>Daniel Outcalt</v>
          </cell>
        </row>
        <row r="11281">
          <cell r="C11281" t="str">
            <v>Wintrust Data Feed</v>
          </cell>
          <cell r="H11281">
            <v>5056181</v>
          </cell>
          <cell r="AK11281" t="str">
            <v>Leah Robinson</v>
          </cell>
        </row>
        <row r="11282">
          <cell r="C11282" t="str">
            <v>Jefferies - Project Journey Corporate Tech</v>
          </cell>
          <cell r="H11282">
            <v>5056218</v>
          </cell>
          <cell r="AK11282" t="str">
            <v>Neha Patel</v>
          </cell>
        </row>
        <row r="11283">
          <cell r="C11283" t="str">
            <v>DB-CAO-AFC-BC-AFC T&amp;R - Outcome Quality Assurance Program Support (Jin Kim)</v>
          </cell>
          <cell r="H11283">
            <v>5054057</v>
          </cell>
          <cell r="AK11283" t="str">
            <v>Thanh Le Xuan</v>
          </cell>
        </row>
        <row r="11284">
          <cell r="C11284" t="str">
            <v>USB_RMS Quad Squad Ext</v>
          </cell>
          <cell r="H11284">
            <v>5056473</v>
          </cell>
          <cell r="AK11284" t="str">
            <v>Samuel Awsumb</v>
          </cell>
        </row>
        <row r="11285">
          <cell r="C11285" t="str">
            <v>P&amp;GMEFCU / Risk Assessment &amp; BIA</v>
          </cell>
          <cell r="H11285">
            <v>5054405</v>
          </cell>
          <cell r="AK11285" t="str">
            <v>Robert Farmer</v>
          </cell>
        </row>
        <row r="11286">
          <cell r="C11286" t="str">
            <v>Longview Capital Corporati_RAS_2025</v>
          </cell>
          <cell r="H11286">
            <v>5039679</v>
          </cell>
          <cell r="AK11286" t="str">
            <v>Diane Banks</v>
          </cell>
        </row>
        <row r="11287">
          <cell r="C11287" t="str">
            <v>FrMc_EO&amp;T EDO</v>
          </cell>
          <cell r="H11287">
            <v>5055413</v>
          </cell>
          <cell r="AK11287" t="str">
            <v>Kalkidan Tedla</v>
          </cell>
        </row>
        <row r="11288">
          <cell r="C11288" t="str">
            <v>Columbia Bank_RAS_2025</v>
          </cell>
          <cell r="H11288">
            <v>5052958</v>
          </cell>
          <cell r="AK11288" t="str">
            <v>Diane Banks</v>
          </cell>
        </row>
        <row r="11289">
          <cell r="C11289" t="str">
            <v>CB&amp;T 2025 Vendor Management Assessment</v>
          </cell>
          <cell r="H11289">
            <v>5055923</v>
          </cell>
          <cell r="AK11289" t="str">
            <v>Eric Van Epps</v>
          </cell>
        </row>
        <row r="11290">
          <cell r="C11290" t="str">
            <v>Pru - ILI - NBUW Tech Delivery - API Dev Extension</v>
          </cell>
          <cell r="H11290">
            <v>5054164</v>
          </cell>
          <cell r="AK11290" t="str">
            <v>Deb Nelis</v>
          </cell>
        </row>
        <row r="11291">
          <cell r="C11291" t="str">
            <v>FrMc_SF CDT OPS  - Data Modelers &amp; BA's</v>
          </cell>
          <cell r="H11291">
            <v>5053679</v>
          </cell>
          <cell r="AK11291" t="str">
            <v>Ambika Kutty</v>
          </cell>
        </row>
        <row r="11292">
          <cell r="C11292" t="str">
            <v>National Exchange B&amp;T_RAS_2025</v>
          </cell>
          <cell r="H11292">
            <v>5040165</v>
          </cell>
          <cell r="AK11292" t="str">
            <v>Diane Banks</v>
          </cell>
        </row>
        <row r="11293">
          <cell r="C11293" t="str">
            <v>Truist_SOW #20 CO#3_NYDFS Remediation Core Team Extension</v>
          </cell>
          <cell r="H11293">
            <v>5053235</v>
          </cell>
          <cell r="AK11293" t="str">
            <v>Jori Heikkinen</v>
          </cell>
        </row>
        <row r="11294">
          <cell r="C11294" t="str">
            <v>FCB Power Platform Migration</v>
          </cell>
          <cell r="H11294">
            <v>5056054</v>
          </cell>
          <cell r="AK11294" t="str">
            <v>Mike Smollar</v>
          </cell>
        </row>
        <row r="11295">
          <cell r="C11295" t="str">
            <v>Jeff_JDS/PJ Data PMO</v>
          </cell>
          <cell r="H11295">
            <v>5056124</v>
          </cell>
          <cell r="AK11295" t="str">
            <v>Neha Patel</v>
          </cell>
        </row>
        <row r="11296">
          <cell r="C11296" t="str">
            <v>SMBC_CMNK Agile Adoption Support</v>
          </cell>
          <cell r="H11296">
            <v>5056150</v>
          </cell>
          <cell r="AK11296" t="str">
            <v>Kirby Pulver</v>
          </cell>
        </row>
        <row r="11297">
          <cell r="C11297" t="str">
            <v>EagleBank BSA Independent Test</v>
          </cell>
          <cell r="H11297">
            <v>5056202</v>
          </cell>
          <cell r="AK11297" t="str">
            <v>W. Annette Dredden</v>
          </cell>
        </row>
        <row r="11298">
          <cell r="C11298" t="str">
            <v>USB_Offshore Elavon Pivot Portal</v>
          </cell>
          <cell r="H11298">
            <v>5055619</v>
          </cell>
          <cell r="AK11298" t="str">
            <v>Samuel Awsumb</v>
          </cell>
        </row>
        <row r="11299">
          <cell r="C11299" t="str">
            <v>Jeff CIO Program Support Extension -</v>
          </cell>
          <cell r="H11299">
            <v>5055525</v>
          </cell>
          <cell r="AK11299" t="str">
            <v>Imran Parekh</v>
          </cell>
        </row>
        <row r="11300">
          <cell r="C11300" t="str">
            <v>Spojnia Credit Union / ITGCA</v>
          </cell>
          <cell r="H11300">
            <v>5056169</v>
          </cell>
          <cell r="AK11300" t="str">
            <v>Robert Farmer</v>
          </cell>
        </row>
        <row r="11301">
          <cell r="C11301" t="str">
            <v>Pru - GI - Native Design Extension 2</v>
          </cell>
          <cell r="H11301">
            <v>5053782</v>
          </cell>
          <cell r="AK11301" t="str">
            <v>Deb Nelis</v>
          </cell>
        </row>
        <row r="11302">
          <cell r="C11302" t="str">
            <v>Jeff_FI Compliance Analyst</v>
          </cell>
          <cell r="H11302">
            <v>5056162</v>
          </cell>
          <cell r="AK11302" t="str">
            <v>Matthew Rodgers</v>
          </cell>
        </row>
        <row r="11303">
          <cell r="C11303" t="str">
            <v>Cyber Strategy Management</v>
          </cell>
          <cell r="H11303">
            <v>5056183</v>
          </cell>
          <cell r="AK11303" t="str">
            <v>Anika Yan</v>
          </cell>
        </row>
        <row r="11304">
          <cell r="C11304" t="str">
            <v>Truist_SOW#31 (NACHA)_Operations Automation BA</v>
          </cell>
          <cell r="H11304">
            <v>5056221</v>
          </cell>
          <cell r="AK11304" t="str">
            <v>Brian Reed</v>
          </cell>
        </row>
        <row r="11305">
          <cell r="C11305" t="str">
            <v>CMA Channel Islands PFW Prod Readiness Extension</v>
          </cell>
          <cell r="H11305">
            <v>5053455</v>
          </cell>
          <cell r="AK11305" t="str">
            <v>Brett Knickle</v>
          </cell>
        </row>
        <row r="11306">
          <cell r="C11306" t="str">
            <v>Truist_SOW#30 ATM Replacement PM</v>
          </cell>
          <cell r="H11306">
            <v>5056219</v>
          </cell>
          <cell r="AK11306" t="str">
            <v>Brian Reed</v>
          </cell>
        </row>
        <row r="11307">
          <cell r="C11307" t="str">
            <v>MMC Bogota Program Support (Nick P's replacement) Extension &amp; 2 More resources</v>
          </cell>
          <cell r="H11307">
            <v>5056178</v>
          </cell>
          <cell r="AK11307" t="str">
            <v>Lucy Geringer</v>
          </cell>
        </row>
        <row r="11308">
          <cell r="C11308" t="str">
            <v>Capco Regulatory Data Feed / SmartSuite Implementation</v>
          </cell>
          <cell r="H11308">
            <v>5056184</v>
          </cell>
          <cell r="AK11308" t="str">
            <v>Gregg Henzel</v>
          </cell>
        </row>
        <row r="11309">
          <cell r="C11309" t="str">
            <v>Project Granite - Sr FE Developer</v>
          </cell>
          <cell r="H11309">
            <v>5054385</v>
          </cell>
          <cell r="AK11309" t="str">
            <v>Stanley Rodrigues</v>
          </cell>
        </row>
        <row r="11310">
          <cell r="C11310" t="str">
            <v>Ceres Life Phase 8 Data Engineer NK</v>
          </cell>
          <cell r="H11310">
            <v>5056217</v>
          </cell>
          <cell r="AK11310" t="str">
            <v>Randy Love</v>
          </cell>
        </row>
        <row r="11311">
          <cell r="C11311" t="str">
            <v>Phase 8 Forms Design and Development</v>
          </cell>
          <cell r="H11311">
            <v>5056110</v>
          </cell>
          <cell r="AK11311" t="str">
            <v>Randy Love</v>
          </cell>
        </row>
        <row r="11312">
          <cell r="C11312" t="str">
            <v>Mountain America Credit Union_RAS</v>
          </cell>
          <cell r="H11312">
            <v>5056646</v>
          </cell>
          <cell r="AK11312" t="str">
            <v>Diane Banks</v>
          </cell>
        </row>
        <row r="11313">
          <cell r="C11313" t="str">
            <v>Trustage UCPM Technical Implementation</v>
          </cell>
          <cell r="H11313">
            <v>5056226</v>
          </cell>
          <cell r="AK11313" t="str">
            <v>James Fischer</v>
          </cell>
        </row>
        <row r="11314">
          <cell r="C11314" t="str">
            <v>BMO TPS Embedded Finance Strategy and Org</v>
          </cell>
          <cell r="H11314">
            <v>5056170</v>
          </cell>
          <cell r="AK11314" t="str">
            <v>Henry Loosmore</v>
          </cell>
        </row>
        <row r="11315">
          <cell r="C11315" t="str">
            <v>WB_Murex_Support</v>
          </cell>
          <cell r="H11315">
            <v>5056247</v>
          </cell>
          <cell r="AK11315" t="str">
            <v>Nikin Karunakaran Nambiar</v>
          </cell>
        </row>
        <row r="11316">
          <cell r="C11316" t="str">
            <v>Alpine Capital Bank - Additional Work</v>
          </cell>
          <cell r="H11316">
            <v>5055379</v>
          </cell>
          <cell r="AK11316" t="str">
            <v>David Belfer</v>
          </cell>
        </row>
        <row r="11317">
          <cell r="C11317" t="str">
            <v>CACS Platform Modernization</v>
          </cell>
          <cell r="H11317">
            <v>5056203</v>
          </cell>
          <cell r="AK11317" t="str">
            <v>Spencer Feuer</v>
          </cell>
        </row>
        <row r="11318">
          <cell r="C11318" t="str">
            <v>USB_005_Mkting Cmpg Exec Strat Ext1</v>
          </cell>
          <cell r="H11318">
            <v>5055601</v>
          </cell>
          <cell r="AK11318" t="str">
            <v>Mark Mountan</v>
          </cell>
        </row>
        <row r="11319">
          <cell r="C11319" t="str">
            <v>Battle Bank System Integration Extension- Phase 21</v>
          </cell>
          <cell r="H11319">
            <v>5050428</v>
          </cell>
          <cell r="AK11319" t="str">
            <v>James Kane</v>
          </cell>
        </row>
        <row r="11320">
          <cell r="C11320" t="str">
            <v>Jeff_Enterprise Architecture 2025 Q4</v>
          </cell>
          <cell r="H11320">
            <v>5054752</v>
          </cell>
          <cell r="AK11320" t="str">
            <v>Conor Dowling</v>
          </cell>
        </row>
        <row r="11321">
          <cell r="C11321" t="str">
            <v>USB_Offshore Dev Portal_Testing</v>
          </cell>
          <cell r="H11321">
            <v>5055619</v>
          </cell>
          <cell r="AK11321" t="str">
            <v>Samuel Awsumb</v>
          </cell>
        </row>
        <row r="11322">
          <cell r="C11322" t="str">
            <v>Scotia TPM Extension</v>
          </cell>
          <cell r="H11322">
            <v>5053996</v>
          </cell>
          <cell r="AK11322" t="str">
            <v>Steven D'Angelo</v>
          </cell>
        </row>
        <row r="11323">
          <cell r="C11323" t="str">
            <v>Seacoast Data Feed</v>
          </cell>
          <cell r="H11323">
            <v>5056433</v>
          </cell>
          <cell r="AK11323" t="str">
            <v>Leah Robinson</v>
          </cell>
        </row>
        <row r="11324">
          <cell r="C11324" t="str">
            <v>BOKF_Negotiation Support</v>
          </cell>
          <cell r="H11324">
            <v>5056216</v>
          </cell>
          <cell r="AK11324" t="str">
            <v>Kevin Demeter</v>
          </cell>
        </row>
        <row r="11325">
          <cell r="C11325" t="str">
            <v>USB_Offshore Dev Portal vML/AI Engineer</v>
          </cell>
          <cell r="H11325">
            <v>5055619</v>
          </cell>
          <cell r="AK11325" t="str">
            <v>Samuel Awsumb</v>
          </cell>
        </row>
        <row r="11326">
          <cell r="C11326" t="str">
            <v>GLIC IM Marketing RFP Support</v>
          </cell>
          <cell r="H11326">
            <v>5056248</v>
          </cell>
          <cell r="AK11326" t="str">
            <v>Michelle Rosen</v>
          </cell>
        </row>
        <row r="11327">
          <cell r="C11327" t="str">
            <v>HNB Business Deposits Growth Strategy Support- CO 2</v>
          </cell>
          <cell r="H11327">
            <v>5055432</v>
          </cell>
          <cell r="AK11327" t="str">
            <v>James Kane</v>
          </cell>
        </row>
        <row r="11328">
          <cell r="C11328" t="str">
            <v>Jefferies Compliance Technology Assessment</v>
          </cell>
          <cell r="H11328">
            <v>5056258</v>
          </cell>
          <cell r="AK11328" t="str">
            <v>Matthew Rodgers</v>
          </cell>
        </row>
        <row r="11329">
          <cell r="C11329" t="str">
            <v>FCB_Microsoft 365 Migration</v>
          </cell>
          <cell r="H11329">
            <v>5056259</v>
          </cell>
          <cell r="AK11329" t="str">
            <v>Samuel Awsumb</v>
          </cell>
        </row>
        <row r="11330">
          <cell r="C11330" t="str">
            <v>VPM Remediation Program</v>
          </cell>
          <cell r="H11330">
            <v>5056255</v>
          </cell>
          <cell r="AK11330" t="str">
            <v>Boris Mallet</v>
          </cell>
        </row>
        <row r="11331">
          <cell r="C11331" t="str">
            <v>FCB Sourcing SCM Extension</v>
          </cell>
          <cell r="H11331">
            <v>5055522</v>
          </cell>
          <cell r="AK11331" t="str">
            <v>Grant Chukerman</v>
          </cell>
        </row>
        <row r="11332">
          <cell r="C11332" t="str">
            <v>Customers Bank VDD Recurring Auto Renew Oct</v>
          </cell>
          <cell r="H11332">
            <v>5053371</v>
          </cell>
          <cell r="AK11332" t="str">
            <v>Eugene Collett</v>
          </cell>
        </row>
        <row r="11333">
          <cell r="C11333" t="str">
            <v>Citizens Bank and Trust Indep BSA Test</v>
          </cell>
          <cell r="H11333">
            <v>5055108</v>
          </cell>
          <cell r="AK11333" t="str">
            <v>Charles Lynn Piper</v>
          </cell>
        </row>
        <row r="11334">
          <cell r="C11334" t="str">
            <v>USB_Offshore Dev Portal_Front End Dev</v>
          </cell>
          <cell r="H11334">
            <v>5055619</v>
          </cell>
          <cell r="AK11334" t="str">
            <v>Samuel Awsumb</v>
          </cell>
        </row>
        <row r="11335">
          <cell r="C11335" t="str">
            <v>FrMc_EO&amp;T Risk Mgmt Role</v>
          </cell>
          <cell r="H11335">
            <v>5052346</v>
          </cell>
          <cell r="AK11335" t="str">
            <v>Kalkidan Tedla</v>
          </cell>
        </row>
        <row r="11336">
          <cell r="C11336" t="str">
            <v>National Bank of Malvern / GLBA Info Sec RA</v>
          </cell>
          <cell r="H11336">
            <v>5056071</v>
          </cell>
          <cell r="AK11336" t="str">
            <v>Robert Farmer</v>
          </cell>
        </row>
        <row r="11337">
          <cell r="C11337" t="str">
            <v>BMO Authenticated Consent Strategy</v>
          </cell>
          <cell r="H11337">
            <v>5056283</v>
          </cell>
          <cell r="AK11337" t="str">
            <v>Paul Laurent</v>
          </cell>
        </row>
        <row r="11338">
          <cell r="C11338" t="str">
            <v>Toast Processing Services LLC NACHA Third-Party Sender ACH Audit</v>
          </cell>
          <cell r="H11338">
            <v>5056292</v>
          </cell>
          <cell r="AK11338" t="str">
            <v>Mary Louise Radley</v>
          </cell>
        </row>
        <row r="11339">
          <cell r="C11339" t="str">
            <v>Jefferies Asia Expansion QA Roles - India</v>
          </cell>
          <cell r="H11339">
            <v>5056293</v>
          </cell>
          <cell r="AK11339" t="str">
            <v>Simran Sekhon</v>
          </cell>
        </row>
        <row r="11340">
          <cell r="C11340" t="str">
            <v>Citi - EDO Data Exception Extension Oct 25 (MIKE H) (US Roles)</v>
          </cell>
          <cell r="H11340">
            <v>5056355</v>
          </cell>
          <cell r="AK11340" t="str">
            <v>Ifeoluwa Ajelabi</v>
          </cell>
        </row>
        <row r="11341">
          <cell r="C11341" t="str">
            <v>EDO DCRM Operations Extension Oct 25  (SHEL) (US Roles)</v>
          </cell>
          <cell r="H11341">
            <v>5056353</v>
          </cell>
          <cell r="AK11341" t="str">
            <v>Ifeoluwa Ajelabi</v>
          </cell>
        </row>
        <row r="11342">
          <cell r="C11342" t="str">
            <v>SEIU TP Future State App/Arch/Data</v>
          </cell>
          <cell r="H11342">
            <v>5056332</v>
          </cell>
          <cell r="AK11342" t="str">
            <v>Eric Fairchild</v>
          </cell>
        </row>
        <row r="11343">
          <cell r="C11343" t="str">
            <v>Jeff_GEP P2P Implementation FY2026</v>
          </cell>
          <cell r="H11343">
            <v>5056389</v>
          </cell>
          <cell r="AK11343" t="str">
            <v>Conor Dowling</v>
          </cell>
        </row>
        <row r="11344">
          <cell r="C11344" t="str">
            <v>MS_US ISG Ops Bangalore FY26 Q3</v>
          </cell>
          <cell r="H11344">
            <v>5054681</v>
          </cell>
          <cell r="AK11344" t="str">
            <v>Csaba Biro</v>
          </cell>
        </row>
        <row r="11345">
          <cell r="C11345" t="str">
            <v>MS_WM Technology FY26 Q3</v>
          </cell>
          <cell r="H11345">
            <v>5054717</v>
          </cell>
          <cell r="AK11345" t="str">
            <v>Dan Schutzman</v>
          </cell>
        </row>
        <row r="11346">
          <cell r="C11346" t="str">
            <v>Blue Foundry FLRA</v>
          </cell>
          <cell r="H11346">
            <v>5056272</v>
          </cell>
          <cell r="AK11346" t="str">
            <v>Leigh Tribou</v>
          </cell>
        </row>
        <row r="11347">
          <cell r="C11347" t="str">
            <v>FrMc_MF Re-Ignite Data Pod</v>
          </cell>
          <cell r="H11347">
            <v>5056376</v>
          </cell>
          <cell r="AK11347" t="str">
            <v>Raj Narayan</v>
          </cell>
        </row>
        <row r="11348">
          <cell r="C11348" t="str">
            <v>Pru - DMN - Distributor Domain BE Developer</v>
          </cell>
          <cell r="H11348">
            <v>5056362</v>
          </cell>
          <cell r="AK11348" t="str">
            <v>Vivek Natarajan</v>
          </cell>
        </row>
        <row r="11349">
          <cell r="C11349" t="str">
            <v>Unified FLRA</v>
          </cell>
          <cell r="H11349">
            <v>5055015</v>
          </cell>
          <cell r="AK11349" t="str">
            <v>Leigh Tribou</v>
          </cell>
        </row>
        <row r="11350">
          <cell r="C11350" t="str">
            <v>City First Bank of D.C._RAS_2025</v>
          </cell>
          <cell r="H11350">
            <v>5046748</v>
          </cell>
          <cell r="AK11350" t="str">
            <v>Diane Banks</v>
          </cell>
        </row>
        <row r="11351">
          <cell r="C11351" t="str">
            <v>Mizuho - SLDC Lifecycle PM</v>
          </cell>
          <cell r="H11351">
            <v>5056331</v>
          </cell>
          <cell r="AK11351" t="str">
            <v>Boris Mallet</v>
          </cell>
        </row>
        <row r="11352">
          <cell r="C11352" t="str">
            <v>Jeff_Transcend extension - PMO</v>
          </cell>
          <cell r="H11352">
            <v>5056395</v>
          </cell>
          <cell r="AK11352" t="str">
            <v>Matthew Rodgers</v>
          </cell>
        </row>
        <row r="11353">
          <cell r="C11353" t="str">
            <v>Citi - Markets Data Lineage Extension Oct 25 (PARANDEEP) (US Only)</v>
          </cell>
          <cell r="H11353">
            <v>5056345</v>
          </cell>
          <cell r="AK11353" t="str">
            <v>Hayden McMurrey</v>
          </cell>
        </row>
        <row r="11354">
          <cell r="C11354" t="str">
            <v>Services Data Lead Support Oct 25 (DAN STERN) (US Roles)</v>
          </cell>
          <cell r="H11354">
            <v>5056349</v>
          </cell>
          <cell r="AK11354" t="str">
            <v>George Georgiou</v>
          </cell>
        </row>
        <row r="11355">
          <cell r="C11355" t="str">
            <v>Jefferies Asia JTECC Expansion</v>
          </cell>
          <cell r="H11355">
            <v>5056410</v>
          </cell>
          <cell r="AK11355" t="str">
            <v>Nikin Karunakaran Nambiar</v>
          </cell>
        </row>
        <row r="11356">
          <cell r="C11356" t="str">
            <v>Onyx_Onboarding Appian Phase 4.2</v>
          </cell>
          <cell r="H11356">
            <v>5056415</v>
          </cell>
          <cell r="AK11356" t="str">
            <v>Bhavik Domadia</v>
          </cell>
        </row>
        <row r="11357">
          <cell r="C11357" t="str">
            <v>Jeff_SF Tech Developer - Chaitanya Ext</v>
          </cell>
          <cell r="H11357">
            <v>5056392</v>
          </cell>
          <cell r="AK11357" t="str">
            <v>Matthew Rodgers</v>
          </cell>
        </row>
        <row r="11358">
          <cell r="C11358" t="str">
            <v>CMA Channel Islands - CLSM  Extension 2</v>
          </cell>
          <cell r="H11358">
            <v>5053455</v>
          </cell>
          <cell r="AK11358" t="str">
            <v>Brett Knickle</v>
          </cell>
        </row>
        <row r="11359">
          <cell r="C11359" t="str">
            <v>St Landry Bank &amp; Trust Co_RAS_2025</v>
          </cell>
          <cell r="H11359">
            <v>5039726</v>
          </cell>
          <cell r="AK11359" t="str">
            <v>Diane Banks</v>
          </cell>
        </row>
        <row r="11360">
          <cell r="C11360" t="str">
            <v>MS_HR Data BA FY26 Q3</v>
          </cell>
          <cell r="H11360">
            <v>5054735</v>
          </cell>
          <cell r="AK11360" t="str">
            <v>Kshitij Zaveri</v>
          </cell>
        </row>
        <row r="11361">
          <cell r="C11361" t="str">
            <v>MS_WM Business FY26 Q3</v>
          </cell>
          <cell r="H11361">
            <v>5054733</v>
          </cell>
          <cell r="AK11361" t="str">
            <v>Dan Schutzman</v>
          </cell>
        </row>
        <row r="11362">
          <cell r="C11362" t="str">
            <v>FrMc_Architecture Manage Office - PM</v>
          </cell>
          <cell r="H11362">
            <v>5052346</v>
          </cell>
          <cell r="AK11362" t="str">
            <v>Kalkidan Tedla</v>
          </cell>
        </row>
        <row r="11363">
          <cell r="C11363" t="str">
            <v>Ephrata National Bank_RAS_2026</v>
          </cell>
          <cell r="H11363">
            <v>5039627</v>
          </cell>
          <cell r="AK11363" t="str">
            <v>Diane Banks</v>
          </cell>
        </row>
        <row r="11364">
          <cell r="C11364" t="str">
            <v>Jefferies Asia Expansion QA Roles - US</v>
          </cell>
          <cell r="H11364">
            <v>5056293</v>
          </cell>
          <cell r="AK11364" t="str">
            <v>Simran Sekhon</v>
          </cell>
        </row>
        <row r="11365">
          <cell r="C11365" t="str">
            <v>MS_TPPM Business FY26 Q3</v>
          </cell>
          <cell r="H11365">
            <v>5054716</v>
          </cell>
          <cell r="AK11365" t="str">
            <v>Dan Schutzman</v>
          </cell>
        </row>
        <row r="11366">
          <cell r="C11366" t="str">
            <v>Commerce Bank_RAS_2026</v>
          </cell>
          <cell r="H11366">
            <v>5039470</v>
          </cell>
          <cell r="AK11366" t="str">
            <v>Rebecca Breland</v>
          </cell>
        </row>
        <row r="11367">
          <cell r="C11367" t="str">
            <v>CDT Tech Q3 AMD</v>
          </cell>
          <cell r="H11367">
            <v>5051994</v>
          </cell>
          <cell r="AK11367" t="str">
            <v>Jeffrey Diaz Vega</v>
          </cell>
        </row>
        <row r="11368">
          <cell r="C11368" t="str">
            <v>MS_ISG Operations FY26 Q3</v>
          </cell>
          <cell r="H11368">
            <v>5054762</v>
          </cell>
          <cell r="AK11368" t="str">
            <v>Csaba Biro</v>
          </cell>
        </row>
        <row r="11369">
          <cell r="C11369" t="str">
            <v>First Security Bank_RAS_2026</v>
          </cell>
          <cell r="H11369">
            <v>5039498</v>
          </cell>
          <cell r="AK11369" t="str">
            <v>Diane Banks</v>
          </cell>
        </row>
        <row r="11370">
          <cell r="C11370" t="str">
            <v>MS_FDO_PMO Support FY26 Q3</v>
          </cell>
          <cell r="H11370">
            <v>5054778</v>
          </cell>
          <cell r="AK11370" t="str">
            <v>Dan Schutzman</v>
          </cell>
        </row>
        <row r="11371">
          <cell r="C11371" t="str">
            <v>Toast Inc. BSA Independent Audit</v>
          </cell>
          <cell r="H11371">
            <v>5056295</v>
          </cell>
          <cell r="AK11371" t="str">
            <v>Mary Louise Radley</v>
          </cell>
        </row>
        <row r="11372">
          <cell r="C11372" t="str">
            <v>Popular Bank_RAS_2026</v>
          </cell>
          <cell r="H11372">
            <v>5039544</v>
          </cell>
          <cell r="AK11372" t="str">
            <v>Diane Banks</v>
          </cell>
        </row>
        <row r="11373">
          <cell r="C11373" t="str">
            <v>Farmers&amp;Merchants Bank_AL_RAS_2026</v>
          </cell>
          <cell r="H11373">
            <v>5039628</v>
          </cell>
          <cell r="AK11373" t="str">
            <v>Diane Banks</v>
          </cell>
        </row>
        <row r="11374">
          <cell r="C11374" t="str">
            <v>MS_WMT Advisory FY26 Q3</v>
          </cell>
          <cell r="H11374">
            <v>5054734</v>
          </cell>
          <cell r="AK11374" t="str">
            <v>Dan Schutzman</v>
          </cell>
        </row>
        <row r="11375">
          <cell r="C11375" t="str">
            <v>BSA/AML Model Validation - Actimize</v>
          </cell>
          <cell r="H11375">
            <v>5056084</v>
          </cell>
          <cell r="AK11375" t="str">
            <v>Aiswarya Parameswaran</v>
          </cell>
        </row>
        <row r="11376">
          <cell r="C11376" t="str">
            <v>Jersey State Bank_RAS_2026</v>
          </cell>
          <cell r="H11376">
            <v>5039673</v>
          </cell>
          <cell r="AK11376" t="str">
            <v>Diane Banks</v>
          </cell>
        </row>
        <row r="11377">
          <cell r="C11377" t="str">
            <v>Toast Processing Services - BSA Independent Audit</v>
          </cell>
          <cell r="H11377">
            <v>5056294</v>
          </cell>
          <cell r="AK11377" t="str">
            <v>Mary Louise Radley</v>
          </cell>
        </row>
        <row r="11378">
          <cell r="C11378" t="str">
            <v>First Piedmont Federal Sav_RAS_2025</v>
          </cell>
          <cell r="H11378">
            <v>5039652</v>
          </cell>
          <cell r="AK11378" t="str">
            <v>Diane Banks</v>
          </cell>
        </row>
        <row r="11379">
          <cell r="C11379" t="str">
            <v>CMA_PFW MVP 1 Development Resource Ext</v>
          </cell>
          <cell r="H11379">
            <v>5053455</v>
          </cell>
          <cell r="AK11379" t="str">
            <v>Brett Knickle</v>
          </cell>
        </row>
        <row r="11380">
          <cell r="C11380" t="str">
            <v>Pru AEM Emmett Garvey Q4 Extension</v>
          </cell>
          <cell r="H11380">
            <v>5053950</v>
          </cell>
          <cell r="AK11380" t="str">
            <v>Diego Sarai</v>
          </cell>
        </row>
        <row r="11381">
          <cell r="C11381" t="str">
            <v>MS_WM Operations FY26 Q3</v>
          </cell>
          <cell r="H11381">
            <v>5054738</v>
          </cell>
          <cell r="AK11381" t="str">
            <v>Dan Schutzman</v>
          </cell>
        </row>
        <row r="11382">
          <cell r="C11382" t="str">
            <v>CACIB Uplift of Resilience Management Program</v>
          </cell>
          <cell r="H11382">
            <v>5056802</v>
          </cell>
          <cell r="AK11382" t="str">
            <v>Anika Yan</v>
          </cell>
        </row>
        <row r="11383">
          <cell r="C11383" t="str">
            <v>Jeff_SD Compliance PM Extension</v>
          </cell>
          <cell r="H11383">
            <v>5056396</v>
          </cell>
          <cell r="AK11383" t="str">
            <v>Matthew Rodgers</v>
          </cell>
        </row>
        <row r="11384">
          <cell r="C11384" t="str">
            <v>Murphy Bank_RAS_2025</v>
          </cell>
          <cell r="H11384">
            <v>5039691</v>
          </cell>
          <cell r="AK11384" t="str">
            <v>Diane Banks</v>
          </cell>
        </row>
        <row r="11385">
          <cell r="C11385" t="str">
            <v>MS_Data FY26 Q3</v>
          </cell>
          <cell r="H11385">
            <v>5054704</v>
          </cell>
          <cell r="AK11385" t="str">
            <v>Dan Schutzman</v>
          </cell>
        </row>
        <row r="11386">
          <cell r="C11386" t="str">
            <v>Jeff_Cyber Resiliency Extension Q4FY25-Q1FY26</v>
          </cell>
          <cell r="H11386">
            <v>5056414</v>
          </cell>
          <cell r="AK11386" t="str">
            <v>Conor Dowling</v>
          </cell>
        </row>
        <row r="11387">
          <cell r="C11387" t="str">
            <v>Citi_Services Data Stewards Incremental (US) (SURABHI) Oct'25</v>
          </cell>
          <cell r="H11387">
            <v>5056351</v>
          </cell>
          <cell r="AK11387" t="str">
            <v>Alex Cudal</v>
          </cell>
        </row>
        <row r="11388">
          <cell r="C11388" t="str">
            <v>EDO Data Tooling Extension Oct 25 (ELEANOR) (US Only)</v>
          </cell>
          <cell r="H11388">
            <v>5056347</v>
          </cell>
          <cell r="AK11388" t="str">
            <v>Ifeoluwa Ajelabi</v>
          </cell>
        </row>
        <row r="11389">
          <cell r="C11389" t="str">
            <v>BayVanguard Bank_RAS_26</v>
          </cell>
          <cell r="H11389">
            <v>5047110</v>
          </cell>
          <cell r="AK11389" t="str">
            <v>Diane Banks</v>
          </cell>
        </row>
        <row r="11390">
          <cell r="C11390" t="str">
            <v>HSBC-WSB-GPS Canadian Dollar Card Program Extension #5</v>
          </cell>
          <cell r="H11390">
            <v>5052375</v>
          </cell>
          <cell r="AK11390" t="str">
            <v>James Kane</v>
          </cell>
        </row>
        <row r="11391">
          <cell r="C11391" t="str">
            <v>Jeff - Legal and Compliance BA Q4FY25 - Q1FY26</v>
          </cell>
          <cell r="H11391">
            <v>5056388</v>
          </cell>
          <cell r="AK11391" t="str">
            <v>Matthew Rodgers</v>
          </cell>
        </row>
        <row r="11392">
          <cell r="C11392" t="str">
            <v>MS_US ISG Ops Mumbai FY26 Q3</v>
          </cell>
          <cell r="H11392">
            <v>5054682</v>
          </cell>
          <cell r="AK11392" t="str">
            <v>Csaba Biro</v>
          </cell>
        </row>
        <row r="11393">
          <cell r="C11393" t="str">
            <v>Jeff_E-Comms CMDB IT Analyst Ext #2</v>
          </cell>
          <cell r="H11393">
            <v>5053790</v>
          </cell>
          <cell r="AK11393" t="str">
            <v>Chelsea Mattias</v>
          </cell>
        </row>
        <row r="11394">
          <cell r="C11394" t="str">
            <v>NIST Cybersecurity Framework Assessment</v>
          </cell>
          <cell r="H11394">
            <v>5056185</v>
          </cell>
          <cell r="AK11394" t="str">
            <v>Robert Farmer</v>
          </cell>
        </row>
        <row r="11395">
          <cell r="C11395" t="str">
            <v>MS_MSIM FY26 Q3</v>
          </cell>
          <cell r="H11395">
            <v>5054706</v>
          </cell>
          <cell r="AK11395" t="str">
            <v>Dan Schutzman</v>
          </cell>
        </row>
        <row r="11396">
          <cell r="C11396" t="str">
            <v>SEIU_CLC EA Project Support Ph18</v>
          </cell>
          <cell r="H11396">
            <v>5041705</v>
          </cell>
          <cell r="AK11396" t="str">
            <v>Eric Fairchild</v>
          </cell>
        </row>
        <row r="11397">
          <cell r="C11397" t="str">
            <v>RECURRING-Blue Foundry FLSA</v>
          </cell>
          <cell r="H11397">
            <v>5054454</v>
          </cell>
          <cell r="AK11397" t="str">
            <v>Leigh Tribou</v>
          </cell>
        </row>
        <row r="11398">
          <cell r="C11398" t="str">
            <v>FCB_Payments Transformation - Phase 3</v>
          </cell>
          <cell r="H11398">
            <v>5055741</v>
          </cell>
          <cell r="AK11398" t="str">
            <v>Brent DeLeo</v>
          </cell>
        </row>
        <row r="11399">
          <cell r="C11399" t="str">
            <v>First County Bank - HMDA Data Integrity Services - ABA RCC Lead</v>
          </cell>
          <cell r="H11399">
            <v>5056393</v>
          </cell>
          <cell r="AK11399" t="str">
            <v>Susan Stevenson</v>
          </cell>
        </row>
        <row r="11400">
          <cell r="C11400" t="str">
            <v>CACIB_Fedline Assessment</v>
          </cell>
          <cell r="H11400">
            <v>5056801</v>
          </cell>
          <cell r="AK11400" t="str">
            <v>John Hibbs</v>
          </cell>
        </row>
        <row r="11401">
          <cell r="C11401" t="str">
            <v>Pru - GRI Tech Delivery Excellence Team FYQ3 (ILI &amp; Domains)</v>
          </cell>
          <cell r="H11401">
            <v>5056521</v>
          </cell>
          <cell r="AK11401" t="str">
            <v>Emily Grochowski</v>
          </cell>
        </row>
        <row r="11402">
          <cell r="C11402" t="str">
            <v>SEIU TP Future State Vision</v>
          </cell>
          <cell r="H11402">
            <v>5056356</v>
          </cell>
          <cell r="AK11402" t="str">
            <v>Eric Fairchild</v>
          </cell>
        </row>
        <row r="11403">
          <cell r="C11403" t="str">
            <v>Pru - PA - PRT Data Modernization Implementation</v>
          </cell>
          <cell r="H11403">
            <v>5056085</v>
          </cell>
          <cell r="AK11403" t="str">
            <v>Emily Clark</v>
          </cell>
        </row>
        <row r="11404">
          <cell r="C11404" t="str">
            <v>Battle Bank System Integration Extension- Phase 22</v>
          </cell>
          <cell r="H11404">
            <v>5050428</v>
          </cell>
          <cell r="AK11404" t="str">
            <v>James Kane</v>
          </cell>
        </row>
        <row r="11405">
          <cell r="C11405" t="str">
            <v>HNB Business Deposits Growth Strategy Support- CO 3</v>
          </cell>
          <cell r="H11405">
            <v>5055432</v>
          </cell>
          <cell r="AK11405" t="str">
            <v>James Kane</v>
          </cell>
        </row>
        <row r="11406">
          <cell r="C11406" t="str">
            <v>VPM - onboarding ITAM</v>
          </cell>
          <cell r="H11406">
            <v>5055973</v>
          </cell>
          <cell r="AK11406" t="str">
            <v>Boris Mallet</v>
          </cell>
        </row>
        <row r="11407">
          <cell r="C11407" t="str">
            <v>VPM Enhancement Continuation</v>
          </cell>
          <cell r="H11407">
            <v>5049370</v>
          </cell>
          <cell r="AK11407" t="str">
            <v>Boris Mallet</v>
          </cell>
        </row>
        <row r="11408">
          <cell r="C11408" t="str">
            <v>WB_Murex_ BA</v>
          </cell>
          <cell r="H11408">
            <v>5056394</v>
          </cell>
          <cell r="AK11408" t="str">
            <v>Nikin Karunakaran Nambiar</v>
          </cell>
        </row>
        <row r="11409">
          <cell r="C11409" t="str">
            <v>Recurring CFG Compliance Reviews</v>
          </cell>
          <cell r="H11409">
            <v>5056469</v>
          </cell>
          <cell r="AK11409" t="str">
            <v>David Stalnaker</v>
          </cell>
        </row>
        <row r="11410">
          <cell r="C11410" t="str">
            <v>Extension #3 of TPM Engagement</v>
          </cell>
          <cell r="H11410">
            <v>5053996</v>
          </cell>
          <cell r="AK11410" t="str">
            <v>Steven D'Angelo</v>
          </cell>
        </row>
        <row r="11411">
          <cell r="C11411" t="str">
            <v>GLIC ALIP Stabilization Program Leadership/Governance</v>
          </cell>
          <cell r="H11411">
            <v>5054458</v>
          </cell>
          <cell r="AK11411" t="str">
            <v>Michelle Rosen</v>
          </cell>
        </row>
        <row r="11412">
          <cell r="C11412" t="str">
            <v>FrMc_MF Dev Support Role Ext</v>
          </cell>
          <cell r="H11412">
            <v>5052346</v>
          </cell>
          <cell r="AK11412" t="str">
            <v>Kalkidan Tedla</v>
          </cell>
        </row>
        <row r="11413">
          <cell r="C11413" t="str">
            <v>BMO - MDAL Program Management (EXT) 2</v>
          </cell>
          <cell r="H11413">
            <v>5055968</v>
          </cell>
          <cell r="AK11413" t="str">
            <v>Mark Mountan</v>
          </cell>
        </row>
        <row r="11414">
          <cell r="C11414" t="str">
            <v>Pru - DMN - LARS Tech Lead (RTH)</v>
          </cell>
          <cell r="H11414">
            <v>5053691</v>
          </cell>
          <cell r="AK11414" t="str">
            <v>Vivek Natarajan</v>
          </cell>
        </row>
        <row r="11415">
          <cell r="C11415" t="str">
            <v>Svenska BSA Broker Dealer Ass</v>
          </cell>
          <cell r="H11415">
            <v>5056507</v>
          </cell>
          <cell r="AK11415" t="str">
            <v>William Sachs</v>
          </cell>
        </row>
        <row r="11416">
          <cell r="C11416" t="str">
            <v>Svenska NY Branch AML/OFAC Assistance</v>
          </cell>
          <cell r="H11416">
            <v>5056509</v>
          </cell>
          <cell r="AK11416" t="str">
            <v>William Sachs</v>
          </cell>
        </row>
        <row r="11417">
          <cell r="C11417" t="str">
            <v>CC Capital_Phase 9 Forms Design and Development</v>
          </cell>
          <cell r="H11417">
            <v>5056391</v>
          </cell>
          <cell r="AK11417" t="str">
            <v>Randy Love</v>
          </cell>
        </row>
        <row r="11418">
          <cell r="C11418" t="str">
            <v>AVAN_Digital_PM</v>
          </cell>
          <cell r="H11418">
            <v>5056412</v>
          </cell>
          <cell r="AK11418" t="str">
            <v>Adam West</v>
          </cell>
        </row>
        <row r="11419">
          <cell r="C11419" t="str">
            <v>USB_Offshore Dev Portal_Back End Dev</v>
          </cell>
          <cell r="H11419">
            <v>5055619</v>
          </cell>
          <cell r="AK11419" t="str">
            <v>Samuel Awsumb</v>
          </cell>
        </row>
        <row r="11420">
          <cell r="C11420" t="str">
            <v>RSLI - Integration Solution Definition</v>
          </cell>
          <cell r="H11420">
            <v>5056516</v>
          </cell>
          <cell r="AK11420" t="str">
            <v>Randy Love</v>
          </cell>
        </row>
        <row r="11421">
          <cell r="C11421" t="str">
            <v>MSWM Tech Emerging Technologies_TDM [RFP]</v>
          </cell>
          <cell r="H11421">
            <v>5054717</v>
          </cell>
          <cell r="AK11421" t="str">
            <v>Dan Schutzman</v>
          </cell>
        </row>
        <row r="11422">
          <cell r="C11422" t="str">
            <v>Customers Bank VDD Recurring Auto Renew Nov</v>
          </cell>
          <cell r="H11422">
            <v>5053371</v>
          </cell>
          <cell r="AK11422" t="str">
            <v>Eugene Collett</v>
          </cell>
        </row>
        <row r="11423">
          <cell r="C11423" t="str">
            <v>Truist_SOW#32 Merchant Engage Platform Build-Out</v>
          </cell>
          <cell r="H11423">
            <v>5056535</v>
          </cell>
          <cell r="AK11423" t="str">
            <v>Jori Heikkinen</v>
          </cell>
        </row>
        <row r="11424">
          <cell r="C11424" t="str">
            <v>HSBC-GFP-PROC-TPRM Strategy / Execution</v>
          </cell>
          <cell r="H11424">
            <v>5054448</v>
          </cell>
          <cell r="AK11424" t="str">
            <v>Daisy Pradhan</v>
          </cell>
        </row>
        <row r="11425">
          <cell r="C11425" t="str">
            <v>Jefferies GETS (T+1) QA Extension Negative Sales booking</v>
          </cell>
          <cell r="H11425">
            <v>5055835</v>
          </cell>
          <cell r="AK11425" t="str">
            <v>John McCaffrey</v>
          </cell>
        </row>
        <row r="11426">
          <cell r="C11426" t="str">
            <v>$100k write off</v>
          </cell>
          <cell r="H11426">
            <v>5054751</v>
          </cell>
          <cell r="AK11426" t="str">
            <v>Dan Schutzman</v>
          </cell>
        </row>
        <row r="11427">
          <cell r="C11427" t="str">
            <v>DHI Computing Services_RAS Renewal 2025-26</v>
          </cell>
          <cell r="H11427">
            <v>5039478</v>
          </cell>
          <cell r="AK11427" t="str">
            <v>Diane Banks</v>
          </cell>
        </row>
        <row r="11428">
          <cell r="C11428" t="str">
            <v>U S Century Bank_RAS_2025</v>
          </cell>
          <cell r="H11428">
            <v>5039566</v>
          </cell>
          <cell r="AK11428" t="str">
            <v>Diane Banks</v>
          </cell>
        </row>
        <row r="11429">
          <cell r="C11429" t="str">
            <v>Banesco USA_RAS_2025</v>
          </cell>
          <cell r="H11429">
            <v>5039588</v>
          </cell>
          <cell r="AK11429" t="str">
            <v>Diane Banks</v>
          </cell>
        </row>
        <row r="11430">
          <cell r="C11430" t="str">
            <v>Essa Bank &amp; Trust_RAS_2025</v>
          </cell>
          <cell r="H11430">
            <v>5047584</v>
          </cell>
          <cell r="AK11430" t="str">
            <v>Diane Banks</v>
          </cell>
        </row>
        <row r="11431">
          <cell r="C11431" t="str">
            <v>US Century Bank - RAS Membership</v>
          </cell>
          <cell r="H11431">
            <v>5039566</v>
          </cell>
          <cell r="AK11431" t="str">
            <v>Diane Banks</v>
          </cell>
        </row>
        <row r="11432">
          <cell r="C11432" t="str">
            <v>Abacus Federal Savings Ban_RAS_2026</v>
          </cell>
          <cell r="H11432">
            <v>5039575</v>
          </cell>
          <cell r="AK11432" t="str">
            <v>Diane Banks</v>
          </cell>
        </row>
        <row r="11433">
          <cell r="C11433" t="str">
            <v>ICBC US - Data Feed 2026</v>
          </cell>
          <cell r="H11433">
            <v>5056449</v>
          </cell>
          <cell r="AK11433" t="str">
            <v>Leah Robinson</v>
          </cell>
        </row>
        <row r="11434">
          <cell r="C11434" t="str">
            <v>M&amp;A_Staffing UK Acquisition_Althea &amp; Shalom_US_Ext 3</v>
          </cell>
          <cell r="H11434">
            <v>5054183</v>
          </cell>
          <cell r="AK11434" t="str">
            <v>Thea Smith</v>
          </cell>
        </row>
        <row r="11435">
          <cell r="C11435" t="str">
            <v>First National Com Bank_WI_RAS_2025</v>
          </cell>
          <cell r="H11435">
            <v>5039650</v>
          </cell>
          <cell r="AK11435" t="str">
            <v>Diane Banks</v>
          </cell>
        </row>
        <row r="11436">
          <cell r="C11436" t="str">
            <v>5040171 - First Eagle National Bank_RAS</v>
          </cell>
          <cell r="H11436">
            <v>5040171</v>
          </cell>
          <cell r="AK11436" t="str">
            <v>Diane Banks</v>
          </cell>
        </row>
        <row r="11437">
          <cell r="C11437" t="str">
            <v>Bank of Travelers Rest_RAS_2025</v>
          </cell>
          <cell r="H11437">
            <v>5040170</v>
          </cell>
          <cell r="AK11437" t="str">
            <v>Diane Banks</v>
          </cell>
        </row>
        <row r="11438">
          <cell r="C11438" t="str">
            <v>Lazard - Security Awareness Strategy &amp; Support</v>
          </cell>
          <cell r="H11438">
            <v>5053104</v>
          </cell>
          <cell r="AK11438" t="str">
            <v>Danielle Theroux</v>
          </cell>
        </row>
        <row r="11439">
          <cell r="C11439" t="str">
            <v>RBC Cap Mkts IT</v>
          </cell>
          <cell r="H11439">
            <v>5056491</v>
          </cell>
          <cell r="AK11439" t="str">
            <v>Kirby Pulver</v>
          </cell>
        </row>
        <row r="11440">
          <cell r="C11440" t="str">
            <v>ICBC NY - Data Feed 2026</v>
          </cell>
          <cell r="H11440">
            <v>5056439</v>
          </cell>
          <cell r="AK11440" t="str">
            <v>Leah Robinson</v>
          </cell>
        </row>
        <row r="11441">
          <cell r="C11441" t="str">
            <v>Information Security RA / NET Credit Union</v>
          </cell>
          <cell r="H11441">
            <v>5056472</v>
          </cell>
          <cell r="AK11441" t="str">
            <v>Robert Farmer</v>
          </cell>
        </row>
        <row r="11442">
          <cell r="C11442" t="str">
            <v>Citi - EDO DCRM Operations Extension Nov25- Jan'26(SHEL) (US Roles)</v>
          </cell>
          <cell r="H11442">
            <v>5056568</v>
          </cell>
          <cell r="AK11442" t="str">
            <v>Ifeoluwa Ajelabi</v>
          </cell>
        </row>
        <row r="11443">
          <cell r="C11443" t="str">
            <v>Citi - Markets Data Lineage Extension Nov 25 - Dec 25 (PARANDEEP) (US Only)</v>
          </cell>
          <cell r="H11443">
            <v>5056567</v>
          </cell>
          <cell r="AK11443" t="str">
            <v>Hayden McMurrey</v>
          </cell>
        </row>
        <row r="11444">
          <cell r="C11444" t="str">
            <v>MMC PM- for non-Right Shore projects- Jocelyn Lambert</v>
          </cell>
          <cell r="H11444">
            <v>5056541</v>
          </cell>
          <cell r="AK11444" t="str">
            <v>Lucy Geringer</v>
          </cell>
        </row>
        <row r="11445">
          <cell r="C11445" t="str">
            <v>Ephrata National Bank - RAS</v>
          </cell>
          <cell r="H11445">
            <v>5039627</v>
          </cell>
          <cell r="AK11445" t="str">
            <v>Diane Banks</v>
          </cell>
        </row>
        <row r="11446">
          <cell r="C11446" t="str">
            <v>Jefferies- Broadridge Immutability and Repave</v>
          </cell>
          <cell r="H11446">
            <v>5056677</v>
          </cell>
          <cell r="AK11446" t="str">
            <v>Michael Barry</v>
          </cell>
        </row>
        <row r="11447">
          <cell r="C11447" t="str">
            <v>Great Plains National Bank_RAS_2025</v>
          </cell>
          <cell r="H11447">
            <v>5039667</v>
          </cell>
          <cell r="AK11447" t="str">
            <v>Diane Banks</v>
          </cell>
        </row>
        <row r="11448">
          <cell r="C11448" t="str">
            <v>Citi - Services Data Lead Support Nov25 -Jan26 (DAN STERN) (US Roles)</v>
          </cell>
          <cell r="H11448">
            <v>5056548</v>
          </cell>
          <cell r="AK11448" t="str">
            <v>Jordell Clarke-McIntosh</v>
          </cell>
        </row>
        <row r="11449">
          <cell r="C11449" t="str">
            <v>CES1_Strategic Product Direction - ES</v>
          </cell>
          <cell r="H11449">
            <v>5056594</v>
          </cell>
          <cell r="AK11449" t="str">
            <v>Erika Schmitt</v>
          </cell>
        </row>
        <row r="11450">
          <cell r="C11450" t="str">
            <v>Citi - EDO Data Exception Extension Nov 25 -Jan26 (MIKE H) (US Roles)</v>
          </cell>
          <cell r="H11450">
            <v>5056566</v>
          </cell>
          <cell r="AK11450" t="str">
            <v>Ifeoluwa Ajelabi</v>
          </cell>
        </row>
        <row r="11451">
          <cell r="C11451" t="str">
            <v>Jeff_MVO Transition</v>
          </cell>
          <cell r="H11451">
            <v>5056675</v>
          </cell>
          <cell r="AK11451" t="str">
            <v>Conor Dowling</v>
          </cell>
        </row>
        <row r="11452">
          <cell r="C11452" t="str">
            <v>Citi - Services Data Stewards Incremental (US) (Lisa Gately) Nov'25-Jan'26</v>
          </cell>
          <cell r="H11452">
            <v>5056729</v>
          </cell>
          <cell r="AK11452" t="str">
            <v>Alex Cudal</v>
          </cell>
        </row>
        <row r="11453">
          <cell r="C11453" t="str">
            <v>Encore Bank_RAS_2025</v>
          </cell>
          <cell r="H11453">
            <v>5040638</v>
          </cell>
          <cell r="AK11453" t="str">
            <v>Diane Banks</v>
          </cell>
        </row>
        <row r="11454">
          <cell r="C11454" t="str">
            <v>HNB_CACS Program Technical Delivery Support</v>
          </cell>
          <cell r="H11454">
            <v>5056561</v>
          </cell>
          <cell r="AK11454" t="str">
            <v>Spencer Feuer</v>
          </cell>
        </row>
        <row r="11455">
          <cell r="C11455" t="str">
            <v>HSBC-WSB-GPS Canadian Dollar Card Program Extension #6</v>
          </cell>
          <cell r="H11455">
            <v>5052375</v>
          </cell>
          <cell r="AK11455" t="str">
            <v>James Kane</v>
          </cell>
        </row>
        <row r="11456">
          <cell r="C11456" t="str">
            <v>Carver State Bank_RAS_2025</v>
          </cell>
          <cell r="H11456">
            <v>5040193</v>
          </cell>
          <cell r="AK11456" t="str">
            <v>Diane Banks</v>
          </cell>
        </row>
        <row r="11457">
          <cell r="C11457" t="str">
            <v>5039718 - Salyersville National Bank_RAS</v>
          </cell>
          <cell r="H11457">
            <v>5039718</v>
          </cell>
          <cell r="AK11457" t="str">
            <v>Diane Banks</v>
          </cell>
        </row>
        <row r="11458">
          <cell r="C11458" t="str">
            <v>Banco do Brasil</v>
          </cell>
          <cell r="H11458">
            <v>5056644</v>
          </cell>
          <cell r="AK11458" t="str">
            <v>Elanna Kooistra</v>
          </cell>
        </row>
        <row r="11459">
          <cell r="C11459" t="str">
            <v>FrMc_Multi-Family Business Architecture</v>
          </cell>
          <cell r="H11459">
            <v>5056648</v>
          </cell>
          <cell r="AK11459" t="str">
            <v>Rishi Sanghavi</v>
          </cell>
        </row>
        <row r="11460">
          <cell r="C11460" t="str">
            <v>Jeff_ISO 20022 PM Extension</v>
          </cell>
          <cell r="H11460">
            <v>5056589</v>
          </cell>
          <cell r="AK11460" t="str">
            <v>Julia Simmons</v>
          </cell>
        </row>
        <row r="11461">
          <cell r="C11461" t="str">
            <v>FINRA Market Regulations Process mapping_ Q3FY26</v>
          </cell>
          <cell r="H11461">
            <v>5055389</v>
          </cell>
          <cell r="AK11461" t="str">
            <v>Ruby Cherian</v>
          </cell>
        </row>
        <row r="11462">
          <cell r="C11462" t="str">
            <v>F&amp;M Trust Quality Control credit reviews</v>
          </cell>
          <cell r="H11462">
            <v>5056613</v>
          </cell>
          <cell r="AK11462" t="str">
            <v>Christian Maier</v>
          </cell>
        </row>
        <row r="11463">
          <cell r="C11463" t="str">
            <v>USB_RMS Engineers Ext2</v>
          </cell>
          <cell r="H11463">
            <v>5056473</v>
          </cell>
          <cell r="AK11463" t="str">
            <v>Samuel Awsumb</v>
          </cell>
        </row>
        <row r="11464">
          <cell r="C11464" t="str">
            <v>MACU Data Feed</v>
          </cell>
          <cell r="H11464">
            <v>5047285</v>
          </cell>
          <cell r="AK11464" t="str">
            <v>Leah Robinson</v>
          </cell>
        </row>
        <row r="11465">
          <cell r="C11465" t="str">
            <v>MS - WM - Prospectus Transformation Project Management</v>
          </cell>
          <cell r="H11465">
            <v>5054738</v>
          </cell>
          <cell r="AK11465" t="str">
            <v>Dan Schutzman</v>
          </cell>
        </row>
        <row r="11466">
          <cell r="C11466" t="str">
            <v>Advisor360 Platform Strategy</v>
          </cell>
          <cell r="H11466">
            <v>5056742</v>
          </cell>
          <cell r="AK11466" t="str">
            <v>Matthew Berkowitz</v>
          </cell>
        </row>
        <row r="11467">
          <cell r="C11467" t="str">
            <v>Eagle Bank - Fair Lending/CRA Services</v>
          </cell>
          <cell r="H11467">
            <v>5056523</v>
          </cell>
          <cell r="AK11467" t="str">
            <v>Leigh Tribou</v>
          </cell>
        </row>
        <row r="11468">
          <cell r="C11468" t="str">
            <v>USB_Offshore Dev Portal_ETL &amp; Java Devs</v>
          </cell>
          <cell r="H11468">
            <v>5055619</v>
          </cell>
          <cell r="AK11468" t="str">
            <v>Samuel Awsumb</v>
          </cell>
        </row>
        <row r="11469">
          <cell r="C11469" t="str">
            <v>Jefferies Infrastructure - Project Manager Uma K [Extension FY26-2H]</v>
          </cell>
          <cell r="H11469">
            <v>5056612</v>
          </cell>
          <cell r="AK11469" t="str">
            <v>Imran Parekh</v>
          </cell>
        </row>
        <row r="11470">
          <cell r="C11470" t="str">
            <v>HNB_B/D-RIA Outsourcing Technology Support</v>
          </cell>
          <cell r="H11470">
            <v>5056627</v>
          </cell>
          <cell r="AK11470" t="str">
            <v>Luke Penca</v>
          </cell>
        </row>
        <row r="11471">
          <cell r="C11471" t="str">
            <v>MSWM Agile Portfolio TOM</v>
          </cell>
          <cell r="H11471">
            <v>5056713</v>
          </cell>
          <cell r="AK11471" t="str">
            <v>Emily Clark</v>
          </cell>
        </row>
        <row r="11472">
          <cell r="C11472" t="str">
            <v>MMC- Automation Program PM Support- Lizzie/Katelynn Frazer</v>
          </cell>
          <cell r="H11472">
            <v>5056682</v>
          </cell>
          <cell r="AK11472" t="str">
            <v>Lucy Geringer</v>
          </cell>
        </row>
        <row r="11473">
          <cell r="C11473" t="str">
            <v>Jefferies PREM Program Manager</v>
          </cell>
          <cell r="H11473">
            <v>5056681</v>
          </cell>
          <cell r="AK11473" t="str">
            <v>Simran Sekhon</v>
          </cell>
        </row>
        <row r="11474">
          <cell r="C11474" t="str">
            <v>Jeff_Discovery &amp; Design_Sanctioned Data Pipeline and Reg M  Calc</v>
          </cell>
          <cell r="H11474">
            <v>5056679</v>
          </cell>
          <cell r="AK11474" t="str">
            <v>Samir Narale</v>
          </cell>
        </row>
        <row r="11475">
          <cell r="C11475" t="str">
            <v>First Financial Regulatory Data Feed 2026</v>
          </cell>
          <cell r="H11475">
            <v>5057302</v>
          </cell>
          <cell r="AK11475" t="str">
            <v>Leah Robinson</v>
          </cell>
        </row>
        <row r="11476">
          <cell r="C11476" t="str">
            <v>Schwab_ Move Money Deliv Support P3</v>
          </cell>
          <cell r="H11476">
            <v>5055493</v>
          </cell>
          <cell r="AK11476" t="str">
            <v>Ian Guidash</v>
          </cell>
        </row>
        <row r="11477">
          <cell r="C11477" t="str">
            <v>MSWM Senior PMO Support [Lekisha / Sean]</v>
          </cell>
          <cell r="H11477">
            <v>5054738</v>
          </cell>
          <cell r="AK11477" t="str">
            <v>Dan Schutzman</v>
          </cell>
        </row>
        <row r="11478">
          <cell r="C11478" t="str">
            <v>USB_Offshore Business Bank (Pod 5) Exp</v>
          </cell>
          <cell r="H11478">
            <v>5056485</v>
          </cell>
          <cell r="AK11478" t="str">
            <v>Samuel Awsumb</v>
          </cell>
        </row>
        <row r="11479">
          <cell r="C11479" t="str">
            <v>5050598 - MyCUmortgage - RAS  2025-2027</v>
          </cell>
          <cell r="H11479">
            <v>5050598</v>
          </cell>
          <cell r="AK11479" t="str">
            <v>Diane Banks</v>
          </cell>
        </row>
        <row r="11480">
          <cell r="C11480" t="str">
            <v>FrMc_MF Staff Data Engineers</v>
          </cell>
          <cell r="H11480">
            <v>5052346</v>
          </cell>
          <cell r="AK11480" t="str">
            <v>Kalkidan Tedla</v>
          </cell>
        </row>
        <row r="11481">
          <cell r="C11481" t="str">
            <v>IDB - MetricStream - Print</v>
          </cell>
          <cell r="H11481">
            <v>5057654</v>
          </cell>
          <cell r="AK11481" t="str">
            <v>Gregg Henzel</v>
          </cell>
        </row>
        <row r="11482">
          <cell r="C11482" t="str">
            <v>MSWM_TDM Additional PO Role [Ben Dean]</v>
          </cell>
          <cell r="H11482">
            <v>5054717</v>
          </cell>
          <cell r="AK11482" t="str">
            <v>Dan Schutzman</v>
          </cell>
        </row>
        <row r="11483">
          <cell r="C11483" t="str">
            <v>MS_ISG_Dynamics UX/UI (Kaitlyn R)</v>
          </cell>
          <cell r="H11483">
            <v>5054762</v>
          </cell>
          <cell r="AK11483" t="str">
            <v>Csaba Biro</v>
          </cell>
        </row>
        <row r="11484">
          <cell r="C11484" t="str">
            <v>Jeff_Risk Mgmt PM</v>
          </cell>
          <cell r="H11484">
            <v>5056756</v>
          </cell>
          <cell r="AK11484" t="str">
            <v>Matthew Rodgers</v>
          </cell>
        </row>
        <row r="11485">
          <cell r="C11485" t="str">
            <v>WB_Technology Delivery_Net Fullstack</v>
          </cell>
          <cell r="H11485">
            <v>5056895</v>
          </cell>
          <cell r="AK11485" t="str">
            <v>Nikin Karunakaran Nambiar</v>
          </cell>
        </row>
        <row r="11486">
          <cell r="C11486" t="str">
            <v>Jefferies Transcend QA Contractor</v>
          </cell>
          <cell r="H11486">
            <v>5056731</v>
          </cell>
          <cell r="AK11486" t="str">
            <v>John McCaffrey</v>
          </cell>
        </row>
        <row r="11487">
          <cell r="C11487" t="str">
            <v>Pru - DMN - Distributor Operations UI</v>
          </cell>
          <cell r="H11487">
            <v>5056766</v>
          </cell>
          <cell r="AK11487" t="str">
            <v>Lauren Somma</v>
          </cell>
        </row>
        <row r="11488">
          <cell r="C11488" t="str">
            <v>ICBA CRM Capability Future State Design</v>
          </cell>
          <cell r="H11488">
            <v>5056733</v>
          </cell>
          <cell r="AK11488" t="str">
            <v>Seth Berman</v>
          </cell>
        </row>
        <row r="11489">
          <cell r="C11489" t="str">
            <v>5/3_SD Decoupling</v>
          </cell>
          <cell r="H11489">
            <v>5056909</v>
          </cell>
          <cell r="AK11489" t="str">
            <v>Matthew Rodgers</v>
          </cell>
        </row>
        <row r="11490">
          <cell r="C11490" t="str">
            <v>Customers Bank VDD Recurring Auto Renew Dec</v>
          </cell>
          <cell r="H11490">
            <v>5053371</v>
          </cell>
          <cell r="AK11490" t="str">
            <v>Eugene Collett</v>
          </cell>
        </row>
        <row r="11491">
          <cell r="C11491" t="str">
            <v>MSWM_AI Virtual Assistant Acceleration_Quick Bid</v>
          </cell>
          <cell r="H11491">
            <v>5054733</v>
          </cell>
          <cell r="AK11491" t="str">
            <v>Dan Schutzman</v>
          </cell>
        </row>
        <row r="11492">
          <cell r="C11492" t="str">
            <v>Extension GLIC Triage Team</v>
          </cell>
          <cell r="H11492">
            <v>5054458</v>
          </cell>
          <cell r="AK11492" t="str">
            <v>Michelle Rosen</v>
          </cell>
        </row>
        <row r="11493">
          <cell r="C11493" t="str">
            <v>HNB Small Business Banking Subscription_Business Program Mgmt &amp; Execution</v>
          </cell>
          <cell r="H11493">
            <v>5055432</v>
          </cell>
          <cell r="AK11493" t="str">
            <v>James Kane</v>
          </cell>
        </row>
        <row r="11494">
          <cell r="C11494" t="str">
            <v>Coastal Capital Buffer Model Testing</v>
          </cell>
          <cell r="H11494">
            <v>5056911</v>
          </cell>
          <cell r="AK11494" t="str">
            <v>Aiswarya Parameswaran</v>
          </cell>
        </row>
        <row r="11495">
          <cell r="C11495" t="str">
            <v>Pru - PA - Design Mobile Journey MyPru App</v>
          </cell>
          <cell r="H11495">
            <v>5056897</v>
          </cell>
          <cell r="AK11495" t="str">
            <v>Deb Nelis</v>
          </cell>
        </row>
        <row r="11496">
          <cell r="C11496" t="str">
            <v>Coastal Community Bank</v>
          </cell>
          <cell r="H11496">
            <v>5055394</v>
          </cell>
          <cell r="AK11496" t="str">
            <v>Elanna Kooistra</v>
          </cell>
        </row>
        <row r="11497">
          <cell r="C11497" t="str">
            <v>F&amp;M Bank- MD QC Credit reviews</v>
          </cell>
          <cell r="H11497">
            <v>5056614</v>
          </cell>
          <cell r="AK11497" t="str">
            <v>Christian Maier</v>
          </cell>
        </row>
        <row r="11498">
          <cell r="C11498" t="str">
            <v>Allianz- Conversion/Governance PM Support Extension Nov - March</v>
          </cell>
          <cell r="H11498">
            <v>5055724</v>
          </cell>
          <cell r="AK11498" t="str">
            <v>Danielle Lutkus</v>
          </cell>
        </row>
        <row r="11499">
          <cell r="C11499" t="str">
            <v>Jefferies_Managed Service - Adverse News Reviews Extension 6</v>
          </cell>
          <cell r="H11499">
            <v>5056978</v>
          </cell>
          <cell r="AK11499" t="str">
            <v>Chelsea Mattias</v>
          </cell>
        </row>
        <row r="11500">
          <cell r="C11500" t="str">
            <v>Amalgamated Bank_State Data Feed 2026</v>
          </cell>
          <cell r="H11500">
            <v>5057276</v>
          </cell>
          <cell r="AK11500" t="str">
            <v>Leah Robinson</v>
          </cell>
        </row>
        <row r="11501">
          <cell r="C11501" t="str">
            <v>Jeff_Murex CTB FY2026</v>
          </cell>
          <cell r="H11501">
            <v>5056896</v>
          </cell>
          <cell r="AK11501" t="str">
            <v>Conor Dowling</v>
          </cell>
        </row>
        <row r="11502">
          <cell r="C11502" t="str">
            <v>Swap Business Conversion</v>
          </cell>
          <cell r="H11502">
            <v>5056874</v>
          </cell>
          <cell r="AK11502" t="str">
            <v>Matthew Rodgers</v>
          </cell>
        </row>
        <row r="11503">
          <cell r="C11503" t="str">
            <v>FrMc_Ext of MF SA ROLE</v>
          </cell>
          <cell r="H11503">
            <v>5052346</v>
          </cell>
          <cell r="AK11503" t="str">
            <v>Kalkidan Tedla</v>
          </cell>
        </row>
        <row r="11504">
          <cell r="C11504" t="str">
            <v>Jeff_IBond DevOps Extension FY26</v>
          </cell>
          <cell r="H11504">
            <v>5056924</v>
          </cell>
          <cell r="AK11504" t="str">
            <v>Conor Dowling</v>
          </cell>
        </row>
        <row r="11505">
          <cell r="C11505" t="str">
            <v>Jeff_A.Chahal / PREM</v>
          </cell>
          <cell r="H11505">
            <v>5056984</v>
          </cell>
          <cell r="AK11505" t="str">
            <v>John McCaffrey</v>
          </cell>
        </row>
        <row r="11506">
          <cell r="C11506" t="str">
            <v>Cape Cod 5 / Wire Transfer Risk Assessment</v>
          </cell>
          <cell r="H11506">
            <v>5056649</v>
          </cell>
          <cell r="AK11506" t="str">
            <v>Robert Farmer</v>
          </cell>
        </row>
        <row r="11507">
          <cell r="C11507" t="str">
            <v>Cape Cod 5 / ACH Risk Assessment</v>
          </cell>
          <cell r="H11507">
            <v>5055122</v>
          </cell>
          <cell r="AK11507" t="str">
            <v>Robert Farmer</v>
          </cell>
        </row>
        <row r="11508">
          <cell r="C11508" t="str">
            <v>Jeff_Equities Reg BOW PM / BA Ext 5</v>
          </cell>
          <cell r="H11508">
            <v>5056890</v>
          </cell>
          <cell r="AK11508" t="str">
            <v>Sri Nonabur Srinivasamurthy</v>
          </cell>
        </row>
        <row r="11509">
          <cell r="C11509" t="str">
            <v>Jefferies_Managed Services - Transaction Monitoring Ext 6</v>
          </cell>
          <cell r="H11509">
            <v>5056922</v>
          </cell>
          <cell r="AK11509" t="str">
            <v>Chelsea Mattias</v>
          </cell>
        </row>
        <row r="11510">
          <cell r="C11510" t="str">
            <v>Connecticut Community Bank CMS Support 2026</v>
          </cell>
          <cell r="H11510">
            <v>5056599</v>
          </cell>
          <cell r="AK11510" t="str">
            <v>Mary Louise Radley</v>
          </cell>
        </row>
        <row r="11511">
          <cell r="C11511" t="str">
            <v>Jefferies JCREW RTB 2026</v>
          </cell>
          <cell r="H11511">
            <v>5056875</v>
          </cell>
          <cell r="AK11511" t="str">
            <v>John McCaffrey</v>
          </cell>
        </row>
        <row r="11512">
          <cell r="C11512" t="str">
            <v>Bank of Commerce_RAS</v>
          </cell>
          <cell r="H11512">
            <v>5039589</v>
          </cell>
          <cell r="AK11512" t="str">
            <v>Diane Banks</v>
          </cell>
        </row>
        <row r="11513">
          <cell r="C11513" t="str">
            <v>Financial Crimes Compliance Model Validations</v>
          </cell>
          <cell r="H11513">
            <v>5056671</v>
          </cell>
          <cell r="AK11513" t="str">
            <v>Daniel Outcalt</v>
          </cell>
        </row>
        <row r="11514">
          <cell r="C11514" t="str">
            <v>Risk Assessments / United Roosevelt Savings Bank</v>
          </cell>
          <cell r="H11514">
            <v>5056647</v>
          </cell>
          <cell r="AK11514" t="str">
            <v>Robert Farmer</v>
          </cell>
        </row>
        <row r="11515">
          <cell r="C11515" t="str">
            <v>Jeff_Flow Monitor PM / Prod Manager Ext</v>
          </cell>
          <cell r="H11515">
            <v>5052215</v>
          </cell>
          <cell r="AK11515" t="str">
            <v>Irina Szilagyi</v>
          </cell>
        </row>
        <row r="11516">
          <cell r="C11516" t="str">
            <v>Jeff_JDS/PJ Data PMO</v>
          </cell>
          <cell r="H11516">
            <v>5056124</v>
          </cell>
          <cell r="AK11516" t="str">
            <v>Neha Patel</v>
          </cell>
        </row>
        <row r="11517">
          <cell r="C11517" t="str">
            <v>Jeff_Chandra Sekhar Cota  / Equities</v>
          </cell>
          <cell r="H11517">
            <v>5056976</v>
          </cell>
          <cell r="AK11517" t="str">
            <v>John McCaffrey</v>
          </cell>
        </row>
        <row r="11518">
          <cell r="C11518" t="str">
            <v>VERT_PM/PMO - ES</v>
          </cell>
          <cell r="H11518">
            <v>5056883</v>
          </cell>
          <cell r="AK11518" t="str">
            <v>Erika Schmitt</v>
          </cell>
        </row>
        <row r="11519">
          <cell r="C11519" t="str">
            <v>HSBC-GFP-DBS API MRA Project (Daisy P)</v>
          </cell>
          <cell r="H11519">
            <v>5055945</v>
          </cell>
          <cell r="AK11519" t="str">
            <v>Daisy Pradhan</v>
          </cell>
        </row>
        <row r="11520">
          <cell r="C11520" t="str">
            <v>WB_Murex_EnvSupport</v>
          </cell>
          <cell r="H11520">
            <v>5057397</v>
          </cell>
          <cell r="AK11520" t="str">
            <v>Nikin Karunakaran Nambiar</v>
          </cell>
        </row>
        <row r="11521">
          <cell r="C11521" t="str">
            <v>Jeff SPM Team - Extension FY26-2H</v>
          </cell>
          <cell r="H11521">
            <v>5054450</v>
          </cell>
          <cell r="AK11521" t="str">
            <v>Imran Parekh</v>
          </cell>
        </row>
        <row r="11522">
          <cell r="C11522" t="str">
            <v>BECU - Marketing Tech Strategy</v>
          </cell>
          <cell r="H11522">
            <v>5056930</v>
          </cell>
          <cell r="AK11522" t="str">
            <v>Sophia Cutler</v>
          </cell>
        </row>
        <row r="11523">
          <cell r="C11523" t="str">
            <v>Dime Bank 2025 HMDA-CRA Data Integrity Review</v>
          </cell>
          <cell r="H11523">
            <v>5056363</v>
          </cell>
          <cell r="AK11523" t="str">
            <v>Susan Stevenson</v>
          </cell>
        </row>
        <row r="11524">
          <cell r="C11524" t="str">
            <v>Auburn Bank_RAS</v>
          </cell>
          <cell r="H11524">
            <v>5039587</v>
          </cell>
          <cell r="AK11524" t="str">
            <v>Diane Banks</v>
          </cell>
        </row>
        <row r="11525">
          <cell r="C11525" t="str">
            <v>Jefferies Infra PM - Extension [FY26 - 2H]</v>
          </cell>
          <cell r="H11525">
            <v>5056784</v>
          </cell>
          <cell r="AK11525" t="str">
            <v>Imran Parekh</v>
          </cell>
        </row>
        <row r="11526">
          <cell r="C11526" t="str">
            <v>Naehas Partnership Solution Architect SE -</v>
          </cell>
          <cell r="H11526">
            <v>5056837</v>
          </cell>
          <cell r="AK11526" t="str">
            <v>Mark Mountan</v>
          </cell>
        </row>
        <row r="11527">
          <cell r="C11527" t="str">
            <v>American Business Bank_RAS_2026</v>
          </cell>
          <cell r="H11527">
            <v>5039583</v>
          </cell>
          <cell r="AK11527" t="str">
            <v>Diane Banks</v>
          </cell>
        </row>
        <row r="11528">
          <cell r="C11528" t="str">
            <v>Jefferies AI COE</v>
          </cell>
          <cell r="H11528">
            <v>5056907</v>
          </cell>
          <cell r="AK11528" t="str">
            <v>Chinmoy Bhatiya</v>
          </cell>
        </row>
        <row r="11529">
          <cell r="C11529" t="str">
            <v>Jefferies Lead Python Developer Negative Sale booking</v>
          </cell>
          <cell r="H11529">
            <v>5055338</v>
          </cell>
          <cell r="AK11529" t="str">
            <v>John McCaffrey</v>
          </cell>
        </row>
        <row r="11530">
          <cell r="C11530" t="str">
            <v>Jefferies IT Problem Management</v>
          </cell>
          <cell r="H11530">
            <v>5056797</v>
          </cell>
          <cell r="AK11530" t="str">
            <v>Simran Sekhon</v>
          </cell>
        </row>
        <row r="11531">
          <cell r="C11531" t="str">
            <v>5040925 - Town &amp;Country Bank Midwest_RAS</v>
          </cell>
          <cell r="H11531">
            <v>5040925</v>
          </cell>
          <cell r="AK11531" t="str">
            <v>Diane Banks</v>
          </cell>
        </row>
        <row r="11532">
          <cell r="C11532" t="str">
            <v>First Community National Community Bank</v>
          </cell>
          <cell r="H11532">
            <v>5039650</v>
          </cell>
          <cell r="AK11532" t="str">
            <v>Diane Banks</v>
          </cell>
        </row>
        <row r="11533">
          <cell r="C11533" t="str">
            <v>Jeff_Transcend SaaS Conversion</v>
          </cell>
          <cell r="H11533">
            <v>5056877</v>
          </cell>
          <cell r="AK11533" t="str">
            <v>Matthew Rodgers</v>
          </cell>
        </row>
        <row r="11534">
          <cell r="C11534" t="str">
            <v>Jeff_HR IT PM 2026 Extension</v>
          </cell>
          <cell r="H11534">
            <v>5056888</v>
          </cell>
          <cell r="AK11534" t="str">
            <v>Conor Dowling</v>
          </cell>
        </row>
        <row r="11535">
          <cell r="C11535" t="str">
            <v>WF_HMDA LAR</v>
          </cell>
          <cell r="H11535">
            <v>5056510</v>
          </cell>
          <cell r="AK11535" t="str">
            <v>Susan Stevenson</v>
          </cell>
        </row>
        <row r="11536">
          <cell r="C11536" t="str">
            <v>Great Southern National Ba_RAS_2025</v>
          </cell>
          <cell r="H11536">
            <v>5039668</v>
          </cell>
          <cell r="AK11536" t="str">
            <v>Diane Banks</v>
          </cell>
        </row>
        <row r="11537">
          <cell r="C11537" t="str">
            <v>5039605 - Central Bank &amp; Trust Co _RAS_2026</v>
          </cell>
          <cell r="H11537">
            <v>5039605</v>
          </cell>
          <cell r="AK11537" t="str">
            <v>Diane Banks</v>
          </cell>
        </row>
        <row r="11538">
          <cell r="C11538" t="str">
            <v>Putnam 1st Mercantile Bank_RAS_2025</v>
          </cell>
          <cell r="H11538">
            <v>5039709</v>
          </cell>
          <cell r="AK11538" t="str">
            <v>Diane Banks</v>
          </cell>
        </row>
        <row r="11539">
          <cell r="C11539" t="str">
            <v>FrMc_Sec Ops AMD (Cutover) Role Ext</v>
          </cell>
          <cell r="H11539">
            <v>5053956</v>
          </cell>
          <cell r="AK11539" t="str">
            <v>Gregory Barry</v>
          </cell>
        </row>
        <row r="11540">
          <cell r="C11540" t="str">
            <v>Gorham Savings Bank_RAS_2026</v>
          </cell>
          <cell r="H11540">
            <v>5039507</v>
          </cell>
          <cell r="AK11540" t="str">
            <v>Diane Banks</v>
          </cell>
        </row>
        <row r="11541">
          <cell r="C11541" t="str">
            <v>Jeff_R.Zhang / Fixed Income</v>
          </cell>
          <cell r="H11541">
            <v>5056982</v>
          </cell>
          <cell r="AK11541" t="str">
            <v>John McCaffrey</v>
          </cell>
        </row>
        <row r="11542">
          <cell r="C11542" t="str">
            <v>Jeff_R.Rokow / Market Data</v>
          </cell>
          <cell r="H11542">
            <v>5056981</v>
          </cell>
          <cell r="AK11542" t="str">
            <v>John McCaffrey</v>
          </cell>
        </row>
        <row r="11543">
          <cell r="C11543" t="str">
            <v>5040194 - Centennial Bank_RAS</v>
          </cell>
          <cell r="H11543">
            <v>5040194</v>
          </cell>
          <cell r="AK11543" t="str">
            <v>Diane Banks</v>
          </cell>
        </row>
        <row r="11544">
          <cell r="C11544" t="str">
            <v>Jeff_R.Gregorio / Corporate</v>
          </cell>
          <cell r="H11544">
            <v>5056983</v>
          </cell>
          <cell r="AK11544" t="str">
            <v>John McCaffrey</v>
          </cell>
        </row>
        <row r="11545">
          <cell r="C11545" t="str">
            <v>Jeff_L. Krupkin / Risk IT</v>
          </cell>
          <cell r="H11545">
            <v>5056977</v>
          </cell>
          <cell r="AK11545" t="str">
            <v>John McCaffrey</v>
          </cell>
        </row>
        <row r="11546">
          <cell r="C11546" t="str">
            <v>Jefferies_Managed Services_KYC Surge Capacity Ext #2</v>
          </cell>
          <cell r="H11546">
            <v>5052447</v>
          </cell>
          <cell r="AK11546" t="str">
            <v>Chelsea Mattias</v>
          </cell>
        </row>
        <row r="11547">
          <cell r="C11547" t="str">
            <v>Campbell &amp; Fetter Bank_RAS_2026</v>
          </cell>
          <cell r="H11547">
            <v>5040174</v>
          </cell>
          <cell r="AK11547" t="str">
            <v>Diane Banks</v>
          </cell>
        </row>
        <row r="11548">
          <cell r="C11548" t="str">
            <v>Commercial Bank_RAS_2026</v>
          </cell>
          <cell r="H11548">
            <v>5039616</v>
          </cell>
          <cell r="AK11548" t="str">
            <v>Diane Banks</v>
          </cell>
        </row>
        <row r="11549">
          <cell r="C11549" t="str">
            <v>Somerset Trust Company_RAS_2026</v>
          </cell>
          <cell r="H11549">
            <v>5039550</v>
          </cell>
          <cell r="AK11549" t="str">
            <v>Diane Banks</v>
          </cell>
        </row>
        <row r="11550">
          <cell r="C11550" t="str">
            <v>Jefferies Compliance PM - Extension [FY26 - 2H]</v>
          </cell>
          <cell r="H11550">
            <v>5050862</v>
          </cell>
          <cell r="AK11550" t="str">
            <v>Imran Parekh</v>
          </cell>
        </row>
        <row r="11551">
          <cell r="C11551" t="str">
            <v>First Com Bank Moultrie Co_RAS_2025</v>
          </cell>
          <cell r="H11551">
            <v>5039639</v>
          </cell>
          <cell r="AK11551" t="str">
            <v>Diane Banks</v>
          </cell>
        </row>
        <row r="11552">
          <cell r="C11552" t="str">
            <v>Talbot State Bank_RAS_2025</v>
          </cell>
          <cell r="H11552">
            <v>5039729</v>
          </cell>
          <cell r="AK11552" t="str">
            <v>Diane Banks</v>
          </cell>
        </row>
        <row r="11553">
          <cell r="C11553" t="str">
            <v>Jefferies Transcend Offshore QA &amp; APP Support Negative Sale Booking</v>
          </cell>
          <cell r="H11553">
            <v>5050922</v>
          </cell>
          <cell r="AK11553" t="str">
            <v>John McCaffrey</v>
          </cell>
        </row>
        <row r="11554">
          <cell r="C11554" t="str">
            <v>Altamaha Bank &amp; Trust Comp_RAS</v>
          </cell>
          <cell r="H11554">
            <v>5039580</v>
          </cell>
          <cell r="AK11554" t="str">
            <v>Diane Banks</v>
          </cell>
        </row>
        <row r="11555">
          <cell r="C11555" t="str">
            <v>First State Bank &amp; Trust_RAS_2025</v>
          </cell>
          <cell r="H11555">
            <v>5039656</v>
          </cell>
          <cell r="AK11555" t="str">
            <v>Diane Banks</v>
          </cell>
        </row>
        <row r="11556">
          <cell r="C11556" t="str">
            <v>GLIC Client Experience- Enterprise Correspondence</v>
          </cell>
          <cell r="H11556">
            <v>5054458</v>
          </cell>
          <cell r="AK11556" t="str">
            <v>Michelle Rosen</v>
          </cell>
        </row>
        <row r="11557">
          <cell r="C11557" t="str">
            <v>Jefferies GIS PM Extension [FY26 - 2H]</v>
          </cell>
          <cell r="H11557">
            <v>5050984</v>
          </cell>
          <cell r="AK11557" t="str">
            <v>Imran Parekh</v>
          </cell>
        </row>
        <row r="11558">
          <cell r="C11558" t="str">
            <v>Bank of Old Monroe_RAS_2026</v>
          </cell>
          <cell r="H11558">
            <v>5040111</v>
          </cell>
          <cell r="AK11558" t="str">
            <v>Diane Banks</v>
          </cell>
        </row>
        <row r="11559">
          <cell r="C11559" t="str">
            <v>Fidelity Alternative Investments December Team Ext</v>
          </cell>
          <cell r="H11559">
            <v>5051485</v>
          </cell>
          <cell r="AK11559" t="str">
            <v>Lakshmi Talluri</v>
          </cell>
        </row>
        <row r="11560">
          <cell r="C11560" t="str">
            <v>Jefferies PREM Prod Support Team - Negative Sale Booking</v>
          </cell>
          <cell r="H11560">
            <v>5054854</v>
          </cell>
          <cell r="AK11560" t="str">
            <v>John McCaffrey</v>
          </cell>
        </row>
        <row r="11561">
          <cell r="C11561" t="str">
            <v>Plumas Bank_RAS</v>
          </cell>
          <cell r="H11561">
            <v>5039704</v>
          </cell>
          <cell r="AK11561" t="str">
            <v>Diane Banks</v>
          </cell>
        </row>
        <row r="11562">
          <cell r="C11562" t="str">
            <v>Jefferies OTD FI QA Lead Negative Sale booking</v>
          </cell>
          <cell r="H11562">
            <v>5056119</v>
          </cell>
          <cell r="AK11562" t="str">
            <v>John McCaffrey</v>
          </cell>
        </row>
        <row r="11563">
          <cell r="C11563" t="str">
            <v>Pru - PA - PRT Data Modernization Phase 2</v>
          </cell>
          <cell r="H11563">
            <v>5056752</v>
          </cell>
          <cell r="AK11563" t="str">
            <v>Emily Clark</v>
          </cell>
        </row>
        <row r="11564">
          <cell r="C11564" t="str">
            <v>Pru - CTO - IAM Platform Support 2025 Extension#3</v>
          </cell>
          <cell r="H11564">
            <v>5053849</v>
          </cell>
          <cell r="AK11564" t="str">
            <v>Bharath Chikkamaranahalli Bhaskar</v>
          </cell>
        </row>
        <row r="11565">
          <cell r="C11565" t="str">
            <v>SoLo Funds BSA Audit 2026</v>
          </cell>
          <cell r="H11565">
            <v>5056876</v>
          </cell>
          <cell r="AK11565" t="str">
            <v>Mary Louise Radley</v>
          </cell>
        </row>
        <row r="11566">
          <cell r="C11566" t="str">
            <v>FrMc_CSP OPS - DCT Stakeholder Strategy</v>
          </cell>
          <cell r="H11566">
            <v>5053679</v>
          </cell>
          <cell r="AK11566" t="str">
            <v>Ambika Kutty</v>
          </cell>
        </row>
        <row r="11567">
          <cell r="C11567" t="str">
            <v>Jeff_Fixed Income Analyst Extension</v>
          </cell>
          <cell r="H11567">
            <v>5056929</v>
          </cell>
          <cell r="AK11567" t="str">
            <v>Matthew Rodgers</v>
          </cell>
        </row>
        <row r="11568">
          <cell r="C11568" t="str">
            <v>FAST - Staff Augmentation Work</v>
          </cell>
          <cell r="H11568">
            <v>5056910</v>
          </cell>
          <cell r="AK11568" t="str">
            <v>Nikolas Lozada</v>
          </cell>
        </row>
        <row r="11569">
          <cell r="C11569" t="str">
            <v>BNPP_Insider Threats Program</v>
          </cell>
          <cell r="H11569">
            <v>5056979</v>
          </cell>
          <cell r="AK11569" t="str">
            <v>Stephanie Paolillo</v>
          </cell>
        </row>
        <row r="11570">
          <cell r="C11570" t="str">
            <v>Citi - Services Tech VANGUARD (Zainab Roles) -  (US)</v>
          </cell>
          <cell r="H11570">
            <v>5057328</v>
          </cell>
          <cell r="AK11570" t="str">
            <v>Ramnish Gupta</v>
          </cell>
        </row>
        <row r="11571">
          <cell r="C11571" t="str">
            <v>Jeff_Strategic Table top Exercise</v>
          </cell>
          <cell r="H11571">
            <v>5056927</v>
          </cell>
          <cell r="AK11571" t="str">
            <v>Michael Barry</v>
          </cell>
        </row>
        <row r="11572">
          <cell r="C11572" t="str">
            <v>USB_Offshore Dev Portal Amd4</v>
          </cell>
          <cell r="H11572">
            <v>5057068</v>
          </cell>
          <cell r="AK11572" t="str">
            <v>Samuel Awsumb</v>
          </cell>
        </row>
        <row r="11573">
          <cell r="C11573" t="str">
            <v>Jeff_Compliance Tech Refresh</v>
          </cell>
          <cell r="H11573">
            <v>5056889</v>
          </cell>
          <cell r="AK11573" t="str">
            <v>Matthew Rodgers</v>
          </cell>
        </row>
        <row r="11574">
          <cell r="C11574" t="str">
            <v>Ceres Life Phase 9 Data Engineer - NK</v>
          </cell>
          <cell r="H11574">
            <v>5056928</v>
          </cell>
          <cell r="AK11574" t="str">
            <v>Randy Love</v>
          </cell>
        </row>
        <row r="11575">
          <cell r="C11575" t="str">
            <v>Citi - Markets Data Lineage Extension DEC'25 Adjustment (PARANDEEP) (US Only)</v>
          </cell>
          <cell r="H11575">
            <v>5056567</v>
          </cell>
          <cell r="AK11575" t="str">
            <v>Hayden McMurrey</v>
          </cell>
        </row>
        <row r="11576">
          <cell r="C11576" t="str">
            <v>BB Americas - Mapping Services (Extension)</v>
          </cell>
          <cell r="H11576">
            <v>5056644</v>
          </cell>
          <cell r="AK11576" t="str">
            <v>Elanna Kooistra</v>
          </cell>
        </row>
        <row r="11577">
          <cell r="C11577" t="str">
            <v>Citi - EDO DCRM Operations Extension DEC'25 Adjustments (SHEL) (US Roles)</v>
          </cell>
          <cell r="H11577">
            <v>5056568</v>
          </cell>
          <cell r="AK11577" t="str">
            <v>Ifeoluwa Ajelabi</v>
          </cell>
        </row>
        <row r="11578">
          <cell r="C11578" t="str">
            <v>Citi - EDO Data Exceptions Extension December'25 Adjustment (Chris C) (US Roles)</v>
          </cell>
          <cell r="H11578">
            <v>5056566</v>
          </cell>
          <cell r="AK11578" t="str">
            <v>Ifeoluwa Ajelabi</v>
          </cell>
        </row>
        <row r="11579">
          <cell r="C11579" t="str">
            <v>Ceres Life Phase 9 Data Engineer - NK - TCV CORRECTION</v>
          </cell>
          <cell r="H11579">
            <v>5056928</v>
          </cell>
          <cell r="AK11579" t="str">
            <v>Randy Love</v>
          </cell>
        </row>
        <row r="11580">
          <cell r="C11580" t="str">
            <v>FCB Payments Testers</v>
          </cell>
          <cell r="H11580">
            <v>5055741</v>
          </cell>
          <cell r="AK11580" t="str">
            <v>Brent DeLeo</v>
          </cell>
        </row>
        <row r="11581">
          <cell r="C11581" t="str">
            <v>USB_Offshore Dev Portal Amd4 - Sonali Sethi</v>
          </cell>
          <cell r="H11581">
            <v>5057068</v>
          </cell>
          <cell r="AK11581" t="str">
            <v>Samuel Awsumb</v>
          </cell>
        </row>
        <row r="11582">
          <cell r="C11582" t="str">
            <v>Citi - Services Data Lead Support Nov25 -Jan26 (DAN STERN) (US Roles)</v>
          </cell>
          <cell r="H11582">
            <v>5056548</v>
          </cell>
          <cell r="AK11582" t="str">
            <v>Jordell Clarke-McIntosh</v>
          </cell>
        </row>
        <row r="11583">
          <cell r="C11583" t="str">
            <v>SEIU1199 Training System Integration RFP</v>
          </cell>
          <cell r="H11583">
            <v>5056956</v>
          </cell>
          <cell r="AK11583" t="str">
            <v>Arjun Nohria</v>
          </cell>
        </row>
        <row r="11584">
          <cell r="C11584" t="str">
            <v>Pru - GI - MyBenefits Mobile App extension</v>
          </cell>
          <cell r="H11584">
            <v>5056878</v>
          </cell>
          <cell r="AK11584" t="str">
            <v>Deb Nelis</v>
          </cell>
        </row>
        <row r="11585">
          <cell r="C11585" t="str">
            <v>Lazard - Data Protection &amp; Security Awareness</v>
          </cell>
          <cell r="H11585">
            <v>5053104</v>
          </cell>
          <cell r="AK11585" t="str">
            <v>Danielle Theroux</v>
          </cell>
        </row>
        <row r="11586">
          <cell r="C11586" t="str">
            <v>Pru - PGIM - AEM Delivery Team Extensions</v>
          </cell>
          <cell r="H11586">
            <v>5057373</v>
          </cell>
          <cell r="AK11586" t="str">
            <v>Diego Sarai</v>
          </cell>
        </row>
        <row r="11587">
          <cell r="C11587" t="str">
            <v>Reg Ops FTE Backfill - Extension</v>
          </cell>
          <cell r="H11587">
            <v>5055866</v>
          </cell>
          <cell r="AK11587" t="str">
            <v>Matthew Fischer</v>
          </cell>
        </row>
        <row r="11588">
          <cell r="C11588" t="str">
            <v>WB_Murex_ QA</v>
          </cell>
          <cell r="H11588">
            <v>5057467</v>
          </cell>
          <cell r="AK11588" t="str">
            <v>Nikin Karunakaran Nambiar</v>
          </cell>
        </row>
        <row r="11589">
          <cell r="C11589" t="str">
            <v>HNB_CSC AI Enablement Roadmap Support</v>
          </cell>
          <cell r="H11589">
            <v>5057017</v>
          </cell>
          <cell r="AK11589" t="str">
            <v>Luke Penca</v>
          </cell>
        </row>
        <row r="11590">
          <cell r="C11590" t="str">
            <v>Jeff_AML Client Onboarding</v>
          </cell>
          <cell r="H11590">
            <v>5057050</v>
          </cell>
          <cell r="AK11590" t="str">
            <v>Chelsea Mattias</v>
          </cell>
        </row>
        <row r="11591">
          <cell r="C11591" t="str">
            <v>HNB_Cadence Bank Mortgage LOS Integration PM and Business Leadership</v>
          </cell>
          <cell r="H11591">
            <v>5057110</v>
          </cell>
          <cell r="AK11591" t="str">
            <v>Spencer Feuer</v>
          </cell>
        </row>
        <row r="11592">
          <cell r="C11592" t="str">
            <v>USB_Offshore RMS Amd10</v>
          </cell>
          <cell r="H11592">
            <v>5057075</v>
          </cell>
          <cell r="AK11592" t="str">
            <v>Samuel Awsumb</v>
          </cell>
        </row>
        <row r="11593">
          <cell r="C11593" t="str">
            <v>CMA Data Engineers</v>
          </cell>
          <cell r="H11593">
            <v>5057420</v>
          </cell>
          <cell r="AK11593" t="str">
            <v>Brett Knickle</v>
          </cell>
        </row>
        <row r="11594">
          <cell r="C11594" t="str">
            <v>GRC Support and Compliance Content License</v>
          </cell>
          <cell r="H11594">
            <v>5054846</v>
          </cell>
          <cell r="AK11594" t="str">
            <v>Gregg Henzel</v>
          </cell>
        </row>
        <row r="11595">
          <cell r="C11595" t="str">
            <v>MS_US ISG Ops Bangalore FY26 Q4</v>
          </cell>
          <cell r="H11595">
            <v>5054681</v>
          </cell>
          <cell r="AK11595" t="str">
            <v>Csaba Biro</v>
          </cell>
        </row>
        <row r="11596">
          <cell r="C11596" t="str">
            <v>BTC Bank_RAS_2025</v>
          </cell>
          <cell r="H11596">
            <v>5039602</v>
          </cell>
          <cell r="AK11596" t="str">
            <v>Diane Banks</v>
          </cell>
        </row>
        <row r="11597">
          <cell r="C11597" t="str">
            <v>Citi - EDO Business Execution Extension Jan 26 Carvey Levin (US Roles)</v>
          </cell>
          <cell r="H11597">
            <v>5056591</v>
          </cell>
          <cell r="AK11597" t="str">
            <v>Ifeoluwa Ajelabi</v>
          </cell>
        </row>
        <row r="11598">
          <cell r="C11598" t="str">
            <v>Marsh Right Shore January - July 2026</v>
          </cell>
          <cell r="H11598">
            <v>5057148</v>
          </cell>
          <cell r="AK11598" t="str">
            <v>Lucy Geringer</v>
          </cell>
        </row>
        <row r="11599">
          <cell r="C11599" t="str">
            <v>Fidelity Alternative Investements CY26 Extension</v>
          </cell>
          <cell r="H11599">
            <v>5057208</v>
          </cell>
          <cell r="AK11599" t="str">
            <v>Lakshmi Talluri</v>
          </cell>
        </row>
        <row r="11600">
          <cell r="C11600" t="str">
            <v>Dean Co-Operative Bank_RAS</v>
          </cell>
          <cell r="H11600">
            <v>5039476</v>
          </cell>
          <cell r="AK11600" t="str">
            <v>Diane Banks</v>
          </cell>
        </row>
        <row r="11601">
          <cell r="C11601" t="str">
            <v>Natixis Cybersecurity Phase 2 Extension</v>
          </cell>
          <cell r="H11601">
            <v>5057347</v>
          </cell>
          <cell r="AK11601" t="str">
            <v>Boris Mallet</v>
          </cell>
        </row>
        <row r="11602">
          <cell r="C11602" t="str">
            <v>Pru - ILI - NBUW Tech Delivery - API Dev Extension for 2026</v>
          </cell>
          <cell r="H11602">
            <v>5057179</v>
          </cell>
          <cell r="AK11602" t="str">
            <v>Deb Nelis</v>
          </cell>
        </row>
        <row r="11603">
          <cell r="C11603" t="str">
            <v>Pru - ILI - NBUW QAs Extension for 2026</v>
          </cell>
          <cell r="H11603">
            <v>5057456</v>
          </cell>
          <cell r="AK11603" t="str">
            <v>Deb Nelis</v>
          </cell>
        </row>
        <row r="11604">
          <cell r="C11604" t="str">
            <v>First National Bank of Elmer Internal Audit Support 2026</v>
          </cell>
          <cell r="H11604">
            <v>5057143</v>
          </cell>
          <cell r="AK11604" t="str">
            <v>Mary Louise Radley</v>
          </cell>
        </row>
        <row r="11605">
          <cell r="C11605" t="str">
            <v>SoLo Funds CMS Audit 2026</v>
          </cell>
          <cell r="H11605">
            <v>5056946</v>
          </cell>
          <cell r="AK11605" t="str">
            <v>Mary Louise Radley</v>
          </cell>
        </row>
        <row r="11606">
          <cell r="C11606" t="str">
            <v>Pru - GRI - Distributor Domain + LARS Extension Q1 2026</v>
          </cell>
          <cell r="H11606">
            <v>5057177</v>
          </cell>
          <cell r="AK11606" t="str">
            <v>Vivek Natarajan</v>
          </cell>
        </row>
        <row r="11607">
          <cell r="C11607" t="str">
            <v>Santander - Channel Transformation P12 2026</v>
          </cell>
          <cell r="H11607">
            <v>5057095</v>
          </cell>
          <cell r="AK11607" t="str">
            <v>Dana Schwaeber</v>
          </cell>
        </row>
        <row r="11608">
          <cell r="C11608" t="str">
            <v>FrMc_SF CDT TECH</v>
          </cell>
          <cell r="H11608">
            <v>5057353</v>
          </cell>
          <cell r="AK11608" t="str">
            <v>Jeffrey Diaz Vega</v>
          </cell>
        </row>
        <row r="11609">
          <cell r="C11609" t="str">
            <v>Harvard FCU CMS Support 2026</v>
          </cell>
          <cell r="H11609">
            <v>5057207</v>
          </cell>
          <cell r="AK11609" t="str">
            <v>Mary Louise Radley</v>
          </cell>
        </row>
        <row r="11610">
          <cell r="C11610" t="str">
            <v>RECURRING - OneLocal Bank - CMS Opt 2026</v>
          </cell>
          <cell r="H11610">
            <v>5056945</v>
          </cell>
          <cell r="AK11610" t="str">
            <v>Leigh Tribou</v>
          </cell>
        </row>
        <row r="11611">
          <cell r="C11611" t="str">
            <v>Recurring First Exchange Bank_CMS</v>
          </cell>
          <cell r="H11611">
            <v>5056953</v>
          </cell>
          <cell r="AK11611" t="str">
            <v>Jeanette Wampler</v>
          </cell>
        </row>
        <row r="11612">
          <cell r="C11612" t="str">
            <v>Achieva Credit Union_RAS_2025</v>
          </cell>
          <cell r="H11612">
            <v>5039577</v>
          </cell>
          <cell r="AK11612" t="str">
            <v>Diane Banks</v>
          </cell>
        </row>
        <row r="11613">
          <cell r="C11613" t="str">
            <v>RECURRING - PS Bank CMS 2026</v>
          </cell>
          <cell r="H11613">
            <v>5056280</v>
          </cell>
          <cell r="AK11613" t="str">
            <v>Diane Banks</v>
          </cell>
        </row>
        <row r="11614">
          <cell r="C11614" t="str">
            <v>PenFed Post-Closing TRID Review 2026</v>
          </cell>
          <cell r="H11614">
            <v>5057137</v>
          </cell>
          <cell r="AK11614" t="str">
            <v>Thuy Whitaker</v>
          </cell>
        </row>
        <row r="11615">
          <cell r="C11615" t="str">
            <v>MS_TPPM Business FY26 Q4</v>
          </cell>
          <cell r="H11615">
            <v>5054716</v>
          </cell>
          <cell r="AK11615" t="str">
            <v>Dan Schutzman</v>
          </cell>
        </row>
        <row r="11616">
          <cell r="C11616" t="str">
            <v>MCB IAM &amp; PROD Security PMO Ext</v>
          </cell>
          <cell r="H11616">
            <v>5054577</v>
          </cell>
          <cell r="AK11616" t="str">
            <v>Ridha Mesli</v>
          </cell>
        </row>
        <row r="11617">
          <cell r="C11617" t="str">
            <v>Rockland Trust QC Credit Reviews</v>
          </cell>
          <cell r="H11617">
            <v>5057199</v>
          </cell>
          <cell r="AK11617" t="str">
            <v>Christian Maier</v>
          </cell>
        </row>
        <row r="11618">
          <cell r="C11618" t="str">
            <v>Peoples Bank NA_RAS_2026</v>
          </cell>
          <cell r="H11618">
            <v>5039703</v>
          </cell>
          <cell r="AK11618" t="str">
            <v>Diane Banks</v>
          </cell>
        </row>
        <row r="11619">
          <cell r="C11619" t="str">
            <v>Jeff_SD Compliance Team Ext DN</v>
          </cell>
          <cell r="H11619">
            <v>5057431</v>
          </cell>
          <cell r="AK11619" t="str">
            <v>Matthew Rodgers</v>
          </cell>
        </row>
        <row r="11620">
          <cell r="C11620" t="str">
            <v>Aura Mortgage_Consumer Compliance</v>
          </cell>
          <cell r="H11620">
            <v>5057238</v>
          </cell>
          <cell r="AK11620" t="str">
            <v>Louvera Walden</v>
          </cell>
        </row>
        <row r="11621">
          <cell r="C11621" t="str">
            <v>Pru - CTO - IDeX Team 2025 Extension#2</v>
          </cell>
          <cell r="H11621">
            <v>5056841</v>
          </cell>
          <cell r="AK11621" t="str">
            <v>Bharath Chikkamaranahalli Bhaskar</v>
          </cell>
        </row>
        <row r="11622">
          <cell r="C11622" t="str">
            <v>Pru - DMN - Contract Command API Team Gap Extension</v>
          </cell>
          <cell r="H11622">
            <v>5057144</v>
          </cell>
          <cell r="AK11622" t="str">
            <v>Harrison Corupe</v>
          </cell>
        </row>
        <row r="11623">
          <cell r="C11623" t="str">
            <v>1st Trust Bank_RAS_2025</v>
          </cell>
          <cell r="H11623">
            <v>5039574</v>
          </cell>
          <cell r="AK11623" t="str">
            <v>Diane Banks</v>
          </cell>
        </row>
        <row r="11624">
          <cell r="C11624" t="str">
            <v>Jefferies Equities QA Contracting Team AZ (2)</v>
          </cell>
          <cell r="H11624">
            <v>5057330</v>
          </cell>
          <cell r="AK11624" t="str">
            <v>John McCaffrey</v>
          </cell>
        </row>
        <row r="11625">
          <cell r="C11625" t="str">
            <v>Jefferies Equities QA Contracting Team SS (3)</v>
          </cell>
          <cell r="H11625">
            <v>5057341</v>
          </cell>
          <cell r="AK11625" t="str">
            <v>John McCaffrey</v>
          </cell>
        </row>
        <row r="11626">
          <cell r="C11626" t="str">
            <v>Anderson Brothers Bank_RAS_2025</v>
          </cell>
          <cell r="H11626">
            <v>5039441</v>
          </cell>
          <cell r="AK11626" t="str">
            <v>Diane Banks</v>
          </cell>
        </row>
        <row r="11627">
          <cell r="C11627" t="str">
            <v>New Millennium Bank_RAS_2026</v>
          </cell>
          <cell r="H11627">
            <v>5039529</v>
          </cell>
          <cell r="AK11627" t="str">
            <v>Diane Banks</v>
          </cell>
        </row>
        <row r="11628">
          <cell r="C11628" t="str">
            <v>Pru - CTO - IAM Platform Dev Extension</v>
          </cell>
          <cell r="H11628">
            <v>5057414</v>
          </cell>
          <cell r="AK11628" t="str">
            <v>Bharath Chikkamaranahalli Bhaskar</v>
          </cell>
        </row>
        <row r="11629">
          <cell r="C11629" t="str">
            <v>Bank of Washington_RAS_2026</v>
          </cell>
          <cell r="H11629">
            <v>5039595</v>
          </cell>
          <cell r="AK11629" t="str">
            <v>Diane Banks</v>
          </cell>
        </row>
        <row r="11630">
          <cell r="C11630" t="str">
            <v>Carlyle_AlpInvest Team Extension</v>
          </cell>
          <cell r="H11630">
            <v>5057355</v>
          </cell>
          <cell r="AK11630" t="str">
            <v>Keshav Khanna</v>
          </cell>
        </row>
        <row r="11631">
          <cell r="C11631" t="str">
            <v>Carlyle_Investor Relations Team Extension</v>
          </cell>
          <cell r="H11631">
            <v>5057398</v>
          </cell>
          <cell r="AK11631" t="str">
            <v>Keshav Khanna</v>
          </cell>
        </row>
        <row r="11632">
          <cell r="C11632" t="str">
            <v>MS_TPPM India Bangalore Extension</v>
          </cell>
          <cell r="H11632">
            <v>5057453</v>
          </cell>
          <cell r="AK11632" t="str">
            <v>Dan Schutzman</v>
          </cell>
        </row>
        <row r="11633">
          <cell r="C11633" t="str">
            <v>Harford Bank_RAS</v>
          </cell>
          <cell r="H11633">
            <v>5043534</v>
          </cell>
          <cell r="AK11633" t="str">
            <v>Diane Banks</v>
          </cell>
        </row>
        <row r="11634">
          <cell r="C11634" t="str">
            <v>Pru - CTO - Meera Malde CY 2026 Extension</v>
          </cell>
          <cell r="H11634">
            <v>5057252</v>
          </cell>
          <cell r="AK11634" t="str">
            <v>Bharath Chikkamaranahalli Bhaskar</v>
          </cell>
        </row>
        <row r="11635">
          <cell r="C11635" t="str">
            <v>First Financial Bankshares_RAS</v>
          </cell>
          <cell r="H11635">
            <v>5039642</v>
          </cell>
          <cell r="AK11635" t="str">
            <v>Diane Banks</v>
          </cell>
        </row>
        <row r="11636">
          <cell r="C11636" t="str">
            <v>Halstead Bank_RAS</v>
          </cell>
          <cell r="H11636">
            <v>5039669</v>
          </cell>
          <cell r="AK11636" t="str">
            <v>Diane Banks</v>
          </cell>
        </row>
        <row r="11637">
          <cell r="C11637" t="str">
            <v>Cathay Bank_RAS_2026</v>
          </cell>
          <cell r="H11637">
            <v>5039460</v>
          </cell>
          <cell r="AK11637" t="str">
            <v>Diane Banks</v>
          </cell>
        </row>
        <row r="11638">
          <cell r="C11638" t="str">
            <v>Pru - CTO - IDeX Team 2025 Extension#2 TCV CORRECTION</v>
          </cell>
          <cell r="H11638">
            <v>5056841</v>
          </cell>
          <cell r="AK11638" t="str">
            <v>Bharath Chikkamaranahalli Bhaskar</v>
          </cell>
        </row>
        <row r="11639">
          <cell r="C11639" t="str">
            <v>Customers Bank VDD Recurring Auto Renew Jan</v>
          </cell>
          <cell r="H11639">
            <v>5053371</v>
          </cell>
          <cell r="AK11639" t="str">
            <v>Eugene Collett</v>
          </cell>
        </row>
        <row r="11640">
          <cell r="C11640" t="str">
            <v>MS_TPPM_iShield 2.0 Implementation</v>
          </cell>
          <cell r="H11640">
            <v>5057015</v>
          </cell>
          <cell r="AK11640" t="str">
            <v>Prateek Duhan</v>
          </cell>
        </row>
        <row r="11641">
          <cell r="C11641" t="str">
            <v>SEIU_CLC EA Project Support Ph19</v>
          </cell>
          <cell r="H11641">
            <v>5041705</v>
          </cell>
          <cell r="AK11641" t="str">
            <v>Eric Fairchild</v>
          </cell>
        </row>
        <row r="11642">
          <cell r="C11642" t="str">
            <v>MS_WM Technology FY26 Q4</v>
          </cell>
          <cell r="H11642">
            <v>5054717</v>
          </cell>
          <cell r="AK11642" t="str">
            <v>Dan Schutzman</v>
          </cell>
        </row>
        <row r="11643">
          <cell r="C11643" t="str">
            <v>5039561 - The First National Bank of_RAS</v>
          </cell>
          <cell r="H11643">
            <v>5039561</v>
          </cell>
          <cell r="AK11643" t="str">
            <v>Diane Banks</v>
          </cell>
        </row>
        <row r="11644">
          <cell r="C11644" t="str">
            <v>New Peoples Bank Inc _RAS_2026</v>
          </cell>
          <cell r="H11644">
            <v>5039692</v>
          </cell>
          <cell r="AK11644" t="str">
            <v>Diane Banks</v>
          </cell>
        </row>
        <row r="11645">
          <cell r="C11645" t="str">
            <v>NFCU KYC / Financial Crimes Support 2026</v>
          </cell>
          <cell r="H11645">
            <v>5054884</v>
          </cell>
          <cell r="AK11645" t="str">
            <v>Daniel Outcalt</v>
          </cell>
        </row>
        <row r="11646">
          <cell r="C11646" t="str">
            <v>Country Bank for Savings_RAS</v>
          </cell>
          <cell r="H11646">
            <v>5048316</v>
          </cell>
          <cell r="AK11646" t="str">
            <v>Diane Banks</v>
          </cell>
        </row>
        <row r="11647">
          <cell r="C11647" t="str">
            <v>WF_Engineering</v>
          </cell>
          <cell r="H11647">
            <v>5055976</v>
          </cell>
          <cell r="AK11647" t="str">
            <v>Varun Putchala</v>
          </cell>
        </row>
        <row r="11648">
          <cell r="C11648" t="str">
            <v>5039449 - Bank of Monroe_RAS</v>
          </cell>
          <cell r="H11648">
            <v>5039449</v>
          </cell>
          <cell r="AK11648" t="str">
            <v>Diane Banks</v>
          </cell>
        </row>
        <row r="11649">
          <cell r="C11649" t="str">
            <v>Truist_SOW#16 CO #1 Account Reconciliation System Replacement PM Extension</v>
          </cell>
          <cell r="H11649">
            <v>5052608</v>
          </cell>
          <cell r="AK11649" t="str">
            <v>Jori Heikkinen</v>
          </cell>
        </row>
        <row r="11650">
          <cell r="C11650" t="str">
            <v>ICM - MF - (SA) Ext</v>
          </cell>
          <cell r="H11650">
            <v>5052346</v>
          </cell>
          <cell r="AK11650" t="str">
            <v>Kalkidan Tedla</v>
          </cell>
        </row>
        <row r="11651">
          <cell r="C11651" t="str">
            <v>First National Bank in Sio_RAS_2026</v>
          </cell>
          <cell r="H11651">
            <v>5039495</v>
          </cell>
          <cell r="AK11651" t="str">
            <v>Diane Banks</v>
          </cell>
        </row>
        <row r="11652">
          <cell r="C11652" t="str">
            <v>Cetera AI Studio 2026</v>
          </cell>
          <cell r="H11652">
            <v>5053032</v>
          </cell>
          <cell r="AK11652" t="str">
            <v>Noah Brooks</v>
          </cell>
        </row>
        <row r="11653">
          <cell r="C11653" t="str">
            <v>Flushing Bank_RAS</v>
          </cell>
          <cell r="H11653">
            <v>5039502</v>
          </cell>
          <cell r="AK11653" t="str">
            <v>Diane Banks</v>
          </cell>
        </row>
        <row r="11654">
          <cell r="C11654" t="str">
            <v>East Cambridge Savings Ban_RAS</v>
          </cell>
          <cell r="H11654">
            <v>5039482</v>
          </cell>
          <cell r="AK11654" t="str">
            <v>Diane Banks</v>
          </cell>
        </row>
        <row r="11655">
          <cell r="C11655" t="str">
            <v>MS_US ISG Ops Mumbai FY26 Q4</v>
          </cell>
          <cell r="H11655">
            <v>5054682</v>
          </cell>
          <cell r="AK11655" t="str">
            <v>Csaba Biro</v>
          </cell>
        </row>
        <row r="11656">
          <cell r="C11656" t="str">
            <v>First National Bank of Ten_RAS</v>
          </cell>
          <cell r="H11656">
            <v>5039649</v>
          </cell>
          <cell r="AK11656" t="str">
            <v>Diane Banks</v>
          </cell>
        </row>
        <row r="11657">
          <cell r="C11657" t="str">
            <v>VPM Support - ITAm integration - Garrett</v>
          </cell>
          <cell r="H11657">
            <v>5055973</v>
          </cell>
          <cell r="AK11657" t="str">
            <v>Boris Mallet</v>
          </cell>
        </row>
        <row r="11658">
          <cell r="C11658" t="str">
            <v>Watertown Savings Bank- MA_RAS_2026</v>
          </cell>
          <cell r="H11658">
            <v>5040148</v>
          </cell>
          <cell r="AK11658" t="str">
            <v>Diane Banks</v>
          </cell>
        </row>
        <row r="11659">
          <cell r="C11659" t="str">
            <v>First State Bank of Beeche_RAS</v>
          </cell>
          <cell r="H11659">
            <v>5039657</v>
          </cell>
          <cell r="AK11659" t="str">
            <v>Diane Banks</v>
          </cell>
        </row>
        <row r="11660">
          <cell r="C11660" t="str">
            <v>FNMA SF Test Automation Ext CY26</v>
          </cell>
          <cell r="H11660">
            <v>5053923</v>
          </cell>
          <cell r="AK11660" t="str">
            <v>Varun Putchala</v>
          </cell>
        </row>
        <row r="11661">
          <cell r="C11661" t="str">
            <v>The Dime Bank_RAS_2026</v>
          </cell>
          <cell r="H11661">
            <v>5039560</v>
          </cell>
          <cell r="AK11661" t="str">
            <v>Diane Banks</v>
          </cell>
        </row>
        <row r="11662">
          <cell r="C11662" t="str">
            <v>MS_ISG_US Legacy Mod (India) Ops Q4</v>
          </cell>
          <cell r="H11662">
            <v>5055981</v>
          </cell>
          <cell r="AK11662" t="str">
            <v>Csaba Biro</v>
          </cell>
        </row>
        <row r="11663">
          <cell r="C11663" t="str">
            <v>HUECU_RAS</v>
          </cell>
          <cell r="H11663">
            <v>5044043</v>
          </cell>
          <cell r="AK11663" t="str">
            <v>Diane Banks</v>
          </cell>
        </row>
        <row r="11664">
          <cell r="C11664" t="str">
            <v>MS_Data FY26 Q4</v>
          </cell>
          <cell r="H11664">
            <v>5054704</v>
          </cell>
          <cell r="AK11664" t="str">
            <v>Dan Schutzman</v>
          </cell>
        </row>
        <row r="11665">
          <cell r="C11665" t="str">
            <v>Recurring GRC Support Services - Enterprise and Operational Risk Management</v>
          </cell>
          <cell r="H11665">
            <v>5054845</v>
          </cell>
          <cell r="AK11665" t="str">
            <v>Gregg Henzel</v>
          </cell>
        </row>
        <row r="11666">
          <cell r="C11666" t="str">
            <v>Patriot Bank National Ass_RAS_2026</v>
          </cell>
          <cell r="H11666">
            <v>5039537</v>
          </cell>
          <cell r="AK11666" t="str">
            <v>Diane Banks</v>
          </cell>
        </row>
        <row r="11667">
          <cell r="C11667" t="str">
            <v>First Arkansas Bank &amp; Trus_RAS</v>
          </cell>
          <cell r="H11667">
            <v>5039632</v>
          </cell>
          <cell r="AK11667" t="str">
            <v>Diane Banks</v>
          </cell>
        </row>
        <row r="11668">
          <cell r="C11668" t="str">
            <v>HSBC-GFP-DAT-WIPRO-Platform Engineering 2026Jan</v>
          </cell>
          <cell r="H11668">
            <v>5054986</v>
          </cell>
          <cell r="AK11668" t="str">
            <v>Janardhan Devarajan</v>
          </cell>
        </row>
        <row r="11669">
          <cell r="C11669" t="str">
            <v>FNB of Nokomis_RAS</v>
          </cell>
          <cell r="H11669">
            <v>5040126</v>
          </cell>
          <cell r="AK11669" t="str">
            <v>Diane Banks</v>
          </cell>
        </row>
        <row r="11670">
          <cell r="C11670" t="str">
            <v>Community Bank of Parkersb_RAS</v>
          </cell>
          <cell r="H11670">
            <v>5039471</v>
          </cell>
          <cell r="AK11670" t="str">
            <v>Diane Banks</v>
          </cell>
        </row>
        <row r="11671">
          <cell r="C11671" t="str">
            <v>Clear Mountain Bank_RAS_2026</v>
          </cell>
          <cell r="H11671">
            <v>5047073</v>
          </cell>
          <cell r="AK11671" t="str">
            <v>Diane Banks</v>
          </cell>
        </row>
        <row r="11672">
          <cell r="C11672" t="str">
            <v>MS_WM Operations FY26 Q4</v>
          </cell>
          <cell r="H11672">
            <v>5054738</v>
          </cell>
          <cell r="AK11672" t="str">
            <v>Dan Schutzman</v>
          </cell>
        </row>
        <row r="11673">
          <cell r="C11673" t="str">
            <v>MCB Collibra Impl 2026 Ext</v>
          </cell>
          <cell r="H11673">
            <v>5055585</v>
          </cell>
          <cell r="AK11673" t="str">
            <v>Luke Penca</v>
          </cell>
        </row>
        <row r="11674">
          <cell r="C11674" t="str">
            <v>5039465 - Citizens Business Bank_RAS</v>
          </cell>
          <cell r="H11674">
            <v>5039465</v>
          </cell>
          <cell r="AK11674" t="str">
            <v>Diane Banks</v>
          </cell>
        </row>
        <row r="11675">
          <cell r="C11675" t="str">
            <v>Sanibel Captiva Community _RAS_2026</v>
          </cell>
          <cell r="H11675">
            <v>5039720</v>
          </cell>
          <cell r="AK11675" t="str">
            <v>Diane Banks</v>
          </cell>
        </row>
        <row r="11676">
          <cell r="C11676" t="str">
            <v>5040105 - Bank Midwest_RAS</v>
          </cell>
          <cell r="H11676">
            <v>5040105</v>
          </cell>
          <cell r="AK11676" t="str">
            <v>Diane Banks</v>
          </cell>
        </row>
        <row r="11677">
          <cell r="C11677" t="str">
            <v>First National Bank of Pic_RAS</v>
          </cell>
          <cell r="H11677">
            <v>5039648</v>
          </cell>
          <cell r="AK11677" t="str">
            <v>Diane Banks</v>
          </cell>
        </row>
        <row r="11678">
          <cell r="C11678" t="str">
            <v>Marsh Right Shore January - July 2026 TCV CORRECTION</v>
          </cell>
          <cell r="H11678">
            <v>5057148</v>
          </cell>
          <cell r="AK11678" t="str">
            <v>Lucy Geringer</v>
          </cell>
        </row>
        <row r="11679">
          <cell r="C11679" t="str">
            <v>Haven Savings Bank_RAS</v>
          </cell>
          <cell r="H11679">
            <v>5039671</v>
          </cell>
          <cell r="AK11679" t="str">
            <v>Diane Banks</v>
          </cell>
        </row>
        <row r="11680">
          <cell r="C11680" t="str">
            <v>MS_MSIM FY26 Q4</v>
          </cell>
          <cell r="H11680">
            <v>5054706</v>
          </cell>
          <cell r="AK11680" t="str">
            <v>Dan Schutzman</v>
          </cell>
        </row>
        <row r="11681">
          <cell r="C11681" t="str">
            <v>Popular Inc - Lending Compliance Support</v>
          </cell>
          <cell r="H11681">
            <v>5054091</v>
          </cell>
          <cell r="AK11681" t="str">
            <v>Eugene Collett</v>
          </cell>
        </row>
        <row r="11682">
          <cell r="C11682" t="str">
            <v>NorthEast Community Bank_RAS_2026</v>
          </cell>
          <cell r="H11682">
            <v>5039533</v>
          </cell>
          <cell r="AK11682" t="str">
            <v>Diane Banks</v>
          </cell>
        </row>
        <row r="11683">
          <cell r="C11683" t="str">
            <v>Alliance Financial Service_RAS</v>
          </cell>
          <cell r="H11683">
            <v>5039579</v>
          </cell>
          <cell r="AK11683" t="str">
            <v>Diane Banks</v>
          </cell>
        </row>
        <row r="11684">
          <cell r="C11684" t="str">
            <v>MS_ISG Operations FY26 Q4</v>
          </cell>
          <cell r="H11684">
            <v>5054762</v>
          </cell>
          <cell r="AK11684" t="str">
            <v>Csaba Biro</v>
          </cell>
        </row>
        <row r="11685">
          <cell r="C11685" t="str">
            <v>5039546 - Rosedale Federal S &amp; L Ass_RAS</v>
          </cell>
          <cell r="H11685">
            <v>5039546</v>
          </cell>
          <cell r="AK11685" t="str">
            <v>Diane Banks</v>
          </cell>
        </row>
        <row r="11686">
          <cell r="C11686" t="str">
            <v>Morton Community bank_RAS_2025</v>
          </cell>
          <cell r="H11686">
            <v>5040133</v>
          </cell>
          <cell r="AK11686" t="str">
            <v>Diane Banks</v>
          </cell>
        </row>
        <row r="11687">
          <cell r="C11687" t="str">
            <v>Main Street Bank_RAS_2026</v>
          </cell>
          <cell r="H11687">
            <v>5039682</v>
          </cell>
          <cell r="AK11687" t="str">
            <v>Diane Banks</v>
          </cell>
        </row>
        <row r="11688">
          <cell r="C11688" t="str">
            <v>Citizens Bank of Eldon_RAS_2026</v>
          </cell>
          <cell r="H11688">
            <v>5039609</v>
          </cell>
          <cell r="AK11688" t="str">
            <v>Diane Banks</v>
          </cell>
        </row>
        <row r="11689">
          <cell r="C11689" t="str">
            <v>WB_Technology Delivery_Net Fullstack_Jayesh Extension</v>
          </cell>
          <cell r="H11689">
            <v>5056895</v>
          </cell>
          <cell r="AK11689" t="str">
            <v>Nikin Karunakaran Nambiar</v>
          </cell>
        </row>
        <row r="11690">
          <cell r="C11690" t="str">
            <v>First Exchange Bank_RAS</v>
          </cell>
          <cell r="H11690">
            <v>5041450</v>
          </cell>
          <cell r="AK11690" t="str">
            <v>Diane Banks</v>
          </cell>
        </row>
        <row r="11691">
          <cell r="C11691" t="str">
            <v>Saco &amp; Biddeford Savings I_RAS_2026</v>
          </cell>
          <cell r="H11691">
            <v>5039547</v>
          </cell>
          <cell r="AK11691" t="str">
            <v>Diane Banks</v>
          </cell>
        </row>
        <row r="11692">
          <cell r="C11692" t="str">
            <v>Ciera Bank_RAS_2025</v>
          </cell>
          <cell r="H11692">
            <v>5039608</v>
          </cell>
          <cell r="AK11692" t="str">
            <v>Diane Banks</v>
          </cell>
        </row>
        <row r="11693">
          <cell r="C11693" t="str">
            <v>Har-Co Maryland FCU_RAS</v>
          </cell>
          <cell r="H11693">
            <v>5039511</v>
          </cell>
          <cell r="AK11693" t="str">
            <v>Diane Banks</v>
          </cell>
        </row>
        <row r="11694">
          <cell r="C11694" t="str">
            <v>MCB Cloud Infra (Okta) Ext 2026</v>
          </cell>
          <cell r="H11694">
            <v>5047383</v>
          </cell>
          <cell r="AK11694" t="str">
            <v>Luke Penca</v>
          </cell>
        </row>
        <row r="11695">
          <cell r="C11695" t="str">
            <v>Avidia Bank_RAS_2025</v>
          </cell>
          <cell r="H11695">
            <v>5039444</v>
          </cell>
          <cell r="AK11695" t="str">
            <v>Diane Banks</v>
          </cell>
        </row>
        <row r="11696">
          <cell r="C11696" t="str">
            <v>Truist_SOW#21 CO#2 Cyber Risk Engine Extension 2026</v>
          </cell>
          <cell r="H11696">
            <v>5053731</v>
          </cell>
          <cell r="AK11696" t="str">
            <v>Christopher Tecchio</v>
          </cell>
        </row>
        <row r="11697">
          <cell r="C11697" t="str">
            <v>Blue Foundry Bank_RAS_2025</v>
          </cell>
          <cell r="H11697">
            <v>5039453</v>
          </cell>
          <cell r="AK11697" t="str">
            <v>Diane Banks</v>
          </cell>
        </row>
        <row r="11698">
          <cell r="C11698" t="str">
            <v>MS_WM Business FY26 Q4</v>
          </cell>
          <cell r="H11698">
            <v>5054733</v>
          </cell>
          <cell r="AK11698" t="str">
            <v>Dan Schutzman</v>
          </cell>
        </row>
        <row r="11699">
          <cell r="C11699" t="str">
            <v>Pru - ILI - Simplified Solutions CY 2026 Extension</v>
          </cell>
          <cell r="H11699">
            <v>5057447</v>
          </cell>
          <cell r="AK11699" t="str">
            <v>Vanessa Kaiser</v>
          </cell>
        </row>
        <row r="11700">
          <cell r="C11700" t="str">
            <v>KYC Refresh</v>
          </cell>
          <cell r="H11700">
            <v>5057097</v>
          </cell>
          <cell r="AK11700" t="str">
            <v>Dana Schwaeber</v>
          </cell>
        </row>
        <row r="11701">
          <cell r="C11701" t="str">
            <v>Popular Bank - Mi Banco 4.0 - Q4 Extension</v>
          </cell>
          <cell r="H11701">
            <v>5057133</v>
          </cell>
          <cell r="AK11701" t="str">
            <v>Eugene Collett</v>
          </cell>
        </row>
        <row r="11702">
          <cell r="C11702" t="str">
            <v>City Bank Compliance Audit 2026</v>
          </cell>
          <cell r="H11702">
            <v>5056926</v>
          </cell>
          <cell r="AK11702" t="str">
            <v>Mary Louise Radley</v>
          </cell>
        </row>
        <row r="11703">
          <cell r="C11703" t="str">
            <v>Jefferies Equities QA Contracting Team QR (1)</v>
          </cell>
          <cell r="H11703">
            <v>5057342</v>
          </cell>
          <cell r="AK11703" t="str">
            <v>John McCaffrey</v>
          </cell>
        </row>
        <row r="11704">
          <cell r="C11704" t="str">
            <v>Texas National Bank - Internal Audits</v>
          </cell>
          <cell r="H11704">
            <v>5057016</v>
          </cell>
          <cell r="AK11704" t="str">
            <v>Dennis Smith</v>
          </cell>
        </row>
        <row r="11705">
          <cell r="C11705" t="str">
            <v>Pru - GRI P&amp;D - MyPru Advisors App</v>
          </cell>
          <cell r="H11705">
            <v>5057394</v>
          </cell>
          <cell r="AK11705" t="str">
            <v>Deb Nelis</v>
          </cell>
        </row>
        <row r="11706">
          <cell r="C11706" t="str">
            <v>NECB 2026-2028 CMS</v>
          </cell>
          <cell r="H11706">
            <v>5056651</v>
          </cell>
          <cell r="AK11706" t="str">
            <v>David Belfer</v>
          </cell>
        </row>
        <row r="11707">
          <cell r="C11707" t="str">
            <v>Optum Insight SGS - AI Translation Implementation</v>
          </cell>
          <cell r="H11707">
            <v>5057626</v>
          </cell>
          <cell r="AK11707" t="str">
            <v>Jason Noran</v>
          </cell>
        </row>
        <row r="11708">
          <cell r="C11708" t="str">
            <v>FrMc_MF ILM 2026 Ext</v>
          </cell>
          <cell r="H11708">
            <v>5057348</v>
          </cell>
          <cell r="AK11708" t="str">
            <v>Rishi Sanghavi</v>
          </cell>
        </row>
        <row r="11709">
          <cell r="C11709" t="str">
            <v>Chain Bridge Bank N.A. HMDA</v>
          </cell>
          <cell r="H11709">
            <v>5057601</v>
          </cell>
          <cell r="AK11709" t="str">
            <v>Leigh Tribou</v>
          </cell>
        </row>
        <row r="11710">
          <cell r="C11710" t="str">
            <v>Chiba Bank NY Branch NY DFS Validation 2026</v>
          </cell>
          <cell r="H11710">
            <v>5056818</v>
          </cell>
          <cell r="AK11710" t="str">
            <v>Mary Louise Radley</v>
          </cell>
        </row>
        <row r="11711">
          <cell r="C11711" t="str">
            <v>Pru - ILI - NBUW Journey 2026 Extension</v>
          </cell>
          <cell r="H11711">
            <v>5057206</v>
          </cell>
          <cell r="AK11711" t="str">
            <v>Deb Nelis</v>
          </cell>
        </row>
        <row r="11712">
          <cell r="C11712" t="str">
            <v>Pru - GI - SalesForce Developer Extension for 2026</v>
          </cell>
          <cell r="H11712">
            <v>5057031</v>
          </cell>
          <cell r="AK11712" t="str">
            <v>Deb Nelis</v>
          </cell>
        </row>
        <row r="11713">
          <cell r="C11713" t="str">
            <v>HSBC-WSB-GPS - Commercial Card Portfolio 2026 Strategic Initiatives</v>
          </cell>
          <cell r="H11713">
            <v>5057076</v>
          </cell>
          <cell r="AK11713" t="str">
            <v>James Kane</v>
          </cell>
        </row>
        <row r="11714">
          <cell r="C11714" t="str">
            <v>VPM support - Ian</v>
          </cell>
          <cell r="H11714">
            <v>5057345</v>
          </cell>
          <cell r="AK11714" t="str">
            <v>Boris Mallet</v>
          </cell>
        </row>
        <row r="11715">
          <cell r="C11715" t="str">
            <v>Santander - Testing 2026</v>
          </cell>
          <cell r="H11715">
            <v>5057099</v>
          </cell>
          <cell r="AK11715" t="str">
            <v>Dana Schwaeber</v>
          </cell>
        </row>
        <row r="11716">
          <cell r="C11716" t="str">
            <v>Liberty Bank - 2026 CMS SOW</v>
          </cell>
          <cell r="H11716">
            <v>5057262</v>
          </cell>
          <cell r="AK11716" t="str">
            <v>David Belfer</v>
          </cell>
        </row>
        <row r="11717">
          <cell r="C11717" t="str">
            <v>FCB_SDLC PM Extension</v>
          </cell>
          <cell r="H11717">
            <v>5056803</v>
          </cell>
          <cell r="AK11717" t="str">
            <v>Michael Groberman</v>
          </cell>
        </row>
        <row r="11718">
          <cell r="C11718" t="str">
            <v>Jeff_FO Tech PM / BA Ext Apr 3rd 2026</v>
          </cell>
          <cell r="H11718">
            <v>5057326</v>
          </cell>
          <cell r="AK11718" t="str">
            <v>Sri Nonabur Srinivasamurthy</v>
          </cell>
        </row>
        <row r="11719">
          <cell r="C11719" t="str">
            <v>Investors Trust Company audits 2026</v>
          </cell>
          <cell r="H11719">
            <v>5057146</v>
          </cell>
          <cell r="AK11719" t="str">
            <v>Mary Louise Radley</v>
          </cell>
        </row>
        <row r="11720">
          <cell r="C11720" t="str">
            <v>Patriot Bank_CMS</v>
          </cell>
          <cell r="H11720">
            <v>5057567</v>
          </cell>
          <cell r="AK11720" t="str">
            <v>Eugene Collett</v>
          </cell>
        </row>
        <row r="11721">
          <cell r="C11721" t="str">
            <v>PenFed Disclosure Desk 2026</v>
          </cell>
          <cell r="H11721">
            <v>5057135</v>
          </cell>
          <cell r="AK11721" t="str">
            <v>Thuy Whitaker</v>
          </cell>
        </row>
        <row r="11722">
          <cell r="C11722" t="str">
            <v>Santander - PagoNxt Testing 2026</v>
          </cell>
          <cell r="H11722">
            <v>5057096</v>
          </cell>
          <cell r="AK11722" t="str">
            <v>Dana Schwaeber</v>
          </cell>
        </row>
        <row r="11723">
          <cell r="C11723" t="str">
            <v>AutoRenew Recurring Goldman MQC Orlando 2026</v>
          </cell>
          <cell r="H11723">
            <v>5057371</v>
          </cell>
          <cell r="AK11723" t="str">
            <v>Christian Maier</v>
          </cell>
        </row>
        <row r="11724">
          <cell r="C11724" t="str">
            <v>M&amp;A_Staffing UK Acquisition_Althea US_Ext 4</v>
          </cell>
          <cell r="H11724">
            <v>5057142</v>
          </cell>
          <cell r="AK11724" t="str">
            <v>Thea Smith</v>
          </cell>
        </row>
        <row r="11725">
          <cell r="C11725" t="str">
            <v>Autorenew Recurring Goldman TRID 2026</v>
          </cell>
          <cell r="H11725">
            <v>5057372</v>
          </cell>
          <cell r="AK11725" t="str">
            <v>Christian Maier</v>
          </cell>
        </row>
        <row r="11726">
          <cell r="C11726" t="str">
            <v>First Northern Bank and Tr_RAS</v>
          </cell>
          <cell r="H11726">
            <v>5039497</v>
          </cell>
          <cell r="AK11726" t="str">
            <v>Diane Banks</v>
          </cell>
        </row>
        <row r="11727">
          <cell r="C11727" t="str">
            <v>BANKFIRST FINANCIALServicesRAS</v>
          </cell>
          <cell r="H11727">
            <v>5057482</v>
          </cell>
          <cell r="AK11727" t="str">
            <v>Diane Banks</v>
          </cell>
        </row>
        <row r="11728">
          <cell r="C11728" t="str">
            <v>HAR Co Credit Union CMS</v>
          </cell>
          <cell r="H11728">
            <v>5057118</v>
          </cell>
          <cell r="AK11728" t="str">
            <v>Diane Banks</v>
          </cell>
        </row>
        <row r="11729">
          <cell r="C11729" t="str">
            <v>Leader Bank National Asso_RAS</v>
          </cell>
          <cell r="H11729">
            <v>5039521</v>
          </cell>
          <cell r="AK11729" t="str">
            <v>Diane Banks</v>
          </cell>
        </row>
        <row r="11730">
          <cell r="C11730" t="str">
            <v>Recurring Argent FCU CMSO 2026</v>
          </cell>
          <cell r="H11730">
            <v>5057448</v>
          </cell>
          <cell r="AK11730" t="str">
            <v>Eugene Collett</v>
          </cell>
        </row>
        <row r="11731">
          <cell r="C11731" t="str">
            <v>Hana Bank USA CMS Support 2026 Recurring</v>
          </cell>
          <cell r="H11731">
            <v>5056952</v>
          </cell>
          <cell r="AK11731" t="str">
            <v>Mary Louise Radley</v>
          </cell>
        </row>
        <row r="11732">
          <cell r="C11732" t="str">
            <v>5039746 - Woodlands Bank_RAS</v>
          </cell>
          <cell r="H11732">
            <v>5039746</v>
          </cell>
          <cell r="AK11732" t="str">
            <v>Diane Banks</v>
          </cell>
        </row>
        <row r="11733">
          <cell r="C11733" t="str">
            <v>Pru - DMN - Contract Domain Money-In Gap Extension</v>
          </cell>
          <cell r="H11733">
            <v>5057150</v>
          </cell>
          <cell r="AK11733" t="str">
            <v>Seth Berman</v>
          </cell>
        </row>
        <row r="11734">
          <cell r="C11734" t="str">
            <v>Autorenew Goldman MQC 2026</v>
          </cell>
          <cell r="H11734">
            <v>5057370</v>
          </cell>
          <cell r="AK11734" t="str">
            <v>Christian Maier</v>
          </cell>
        </row>
        <row r="11735">
          <cell r="C11735" t="str">
            <v>MMC - Automation Program Jan - June 2026</v>
          </cell>
          <cell r="H11735">
            <v>5057446</v>
          </cell>
          <cell r="AK11735" t="str">
            <v>Lucy Geringer</v>
          </cell>
        </row>
        <row r="11736">
          <cell r="C11736" t="str">
            <v>Pru - GI - SalesForce Developer Extension for 2026 TCV CORRECTION</v>
          </cell>
          <cell r="H11736">
            <v>5057031</v>
          </cell>
          <cell r="AK11736" t="str">
            <v>Deb Nelis</v>
          </cell>
        </row>
        <row r="11737">
          <cell r="C11737" t="str">
            <v>USB_Offshore Money Movement Amd2</v>
          </cell>
          <cell r="H11737">
            <v>5057073</v>
          </cell>
          <cell r="AK11737" t="str">
            <v>Samuel Awsumb</v>
          </cell>
        </row>
        <row r="11738">
          <cell r="C11738" t="str">
            <v>Jeff_Flow Monitor Developer H1.2026 Ext.</v>
          </cell>
          <cell r="H11738">
            <v>5057327</v>
          </cell>
          <cell r="AK11738" t="str">
            <v>Irina Szilagyi</v>
          </cell>
        </row>
        <row r="11739">
          <cell r="C11739" t="str">
            <v>BOL - Project Ping</v>
          </cell>
          <cell r="H11739">
            <v>5054080</v>
          </cell>
          <cell r="AK11739" t="str">
            <v>Spencer Feuer</v>
          </cell>
        </row>
        <row r="11740">
          <cell r="C11740" t="str">
            <v>RECURRING Farmers and Merchants CMS</v>
          </cell>
          <cell r="H11740">
            <v>5057234</v>
          </cell>
          <cell r="AK11740" t="str">
            <v>David Stalnaker</v>
          </cell>
        </row>
        <row r="11741">
          <cell r="C11741" t="str">
            <v>SCB BSA Independent Testing</v>
          </cell>
          <cell r="H11741">
            <v>5056833</v>
          </cell>
          <cell r="AK11741" t="str">
            <v>William Sachs</v>
          </cell>
        </row>
        <row r="11742">
          <cell r="C11742" t="str">
            <v>Pru - PA - Granite CY26 Extension</v>
          </cell>
          <cell r="H11742">
            <v>5057233</v>
          </cell>
          <cell r="AK11742" t="str">
            <v>Stanley Rodrigues</v>
          </cell>
        </row>
        <row r="11743">
          <cell r="C11743" t="str">
            <v>Pru - PA - Granite Front-End CY26 Extension</v>
          </cell>
          <cell r="H11743">
            <v>5057032</v>
          </cell>
          <cell r="AK11743" t="str">
            <v>Stanley Rodrigues</v>
          </cell>
        </row>
        <row r="11744">
          <cell r="C11744" t="str">
            <v>Jeff_Legal and Compliance BA Q12026</v>
          </cell>
          <cell r="H11744">
            <v>5057457</v>
          </cell>
          <cell r="AK11744" t="str">
            <v>Matthew Rodgers</v>
          </cell>
        </row>
        <row r="11745">
          <cell r="C11745" t="str">
            <v>Pru - PA - Granite Front-End CY26 Extension</v>
          </cell>
          <cell r="H11745">
            <v>5057032</v>
          </cell>
          <cell r="AK11745" t="str">
            <v>Stanley Rodrigues</v>
          </cell>
        </row>
        <row r="11746">
          <cell r="C11746" t="str">
            <v>Jefferies Wealth Technology Support 2026 Phase 5</v>
          </cell>
          <cell r="H11746">
            <v>5052506</v>
          </cell>
          <cell r="AK11746" t="str">
            <v>Shruti Vashist</v>
          </cell>
        </row>
        <row r="11747">
          <cell r="C11747" t="str">
            <v>RECURRING Blue Foundry CMS 2026</v>
          </cell>
          <cell r="H11747">
            <v>5057429</v>
          </cell>
          <cell r="AK11747" t="str">
            <v>Jeanette Wampler</v>
          </cell>
        </row>
        <row r="11748">
          <cell r="C11748" t="str">
            <v>Community Bank of Parkersburg_CMS</v>
          </cell>
          <cell r="H11748">
            <v>5057013</v>
          </cell>
          <cell r="AK11748" t="str">
            <v>Jeanette Wampler</v>
          </cell>
        </row>
        <row r="11749">
          <cell r="C11749" t="str">
            <v>Carlyle_IR portal and Project Welcome Extension</v>
          </cell>
          <cell r="H11749">
            <v>5055967</v>
          </cell>
          <cell r="AK11749" t="str">
            <v>Keshav Khanna</v>
          </cell>
        </row>
        <row r="11750">
          <cell r="C11750" t="str">
            <v>Pru - ILI - Distribution Journey Tech Delivery 2026 Ext</v>
          </cell>
          <cell r="H11750">
            <v>5057450</v>
          </cell>
          <cell r="AK11750" t="str">
            <v>Luiz Abdo Junior</v>
          </cell>
        </row>
        <row r="11751">
          <cell r="C11751" t="str">
            <v>GLIC Finance ALIP Clean Up- BEFORE SOW renewal 1/31/2026</v>
          </cell>
          <cell r="H11751">
            <v>5054458</v>
          </cell>
          <cell r="AK11751" t="str">
            <v>Michelle Rosen</v>
          </cell>
        </row>
        <row r="11752">
          <cell r="C11752" t="str">
            <v>Connecticut Community Bank_RAS</v>
          </cell>
          <cell r="H11752">
            <v>5053702</v>
          </cell>
          <cell r="AK11752" t="str">
            <v>Diane Banks</v>
          </cell>
        </row>
        <row r="11753">
          <cell r="C11753" t="str">
            <v>FrMc_CDT - OPS  2026 Budget</v>
          </cell>
          <cell r="H11753">
            <v>5053679</v>
          </cell>
          <cell r="AK11753" t="str">
            <v>Ambika Kutty</v>
          </cell>
        </row>
        <row r="11754">
          <cell r="C11754" t="str">
            <v>Jeff_Jupiter/MDM-JDS</v>
          </cell>
          <cell r="H11754">
            <v>5057399</v>
          </cell>
          <cell r="AK11754" t="str">
            <v>Neha Patel</v>
          </cell>
        </row>
        <row r="11755">
          <cell r="C11755" t="str">
            <v>Pru - GRI P&amp;D - AI Enablement and Support Services</v>
          </cell>
          <cell r="H11755">
            <v>5057417</v>
          </cell>
          <cell r="AK11755" t="str">
            <v>Deb Nelis</v>
          </cell>
        </row>
        <row r="11756">
          <cell r="C11756" t="str">
            <v>SMBC_CMNK Agile Advisory UK extension</v>
          </cell>
          <cell r="H11756">
            <v>5056150</v>
          </cell>
          <cell r="AK11756" t="str">
            <v>Kirby Pulver</v>
          </cell>
        </row>
        <row r="11757">
          <cell r="C11757" t="str">
            <v>FrMc_EO&amp;T Program Roles 2026</v>
          </cell>
          <cell r="H11757">
            <v>5052346</v>
          </cell>
          <cell r="AK11757" t="str">
            <v>Kalkidan Tedla</v>
          </cell>
        </row>
        <row r="11758">
          <cell r="C11758" t="str">
            <v>FrMc_MF Staff Aug Role Ext</v>
          </cell>
          <cell r="H11758">
            <v>5052346</v>
          </cell>
          <cell r="AK11758" t="str">
            <v>Kalkidan Tedla</v>
          </cell>
        </row>
        <row r="11759">
          <cell r="C11759" t="str">
            <v>Seacoast - M&amp;A Data Integration Support</v>
          </cell>
          <cell r="H11759">
            <v>5057239</v>
          </cell>
          <cell r="AK11759" t="str">
            <v>Ameya Deolalkar</v>
          </cell>
        </row>
        <row r="11760">
          <cell r="C11760" t="str">
            <v>WF_CIB 2026</v>
          </cell>
          <cell r="H11760">
            <v>5048255</v>
          </cell>
          <cell r="AK11760" t="str">
            <v>Stephanie Colling</v>
          </cell>
        </row>
        <row r="11761">
          <cell r="C11761" t="str">
            <v>OFS_Engineering Support Amd1</v>
          </cell>
          <cell r="H11761">
            <v>5055617</v>
          </cell>
          <cell r="AK11761" t="str">
            <v>Samuel Awsumb</v>
          </cell>
        </row>
        <row r="11762">
          <cell r="C11762" t="str">
            <v>WB_Murex_ QA</v>
          </cell>
          <cell r="H11762">
            <v>5057546</v>
          </cell>
          <cell r="AK11762" t="str">
            <v>Nikin Karunakaran Nambiar</v>
          </cell>
        </row>
        <row r="11763">
          <cell r="C11763" t="str">
            <v>Cyber Resilience and MVO Extension</v>
          </cell>
          <cell r="H11763">
            <v>5057474</v>
          </cell>
          <cell r="AK11763" t="str">
            <v>Hayden Phung</v>
          </cell>
        </row>
        <row r="11764">
          <cell r="C11764" t="str">
            <v>First Financial Bank_RAS</v>
          </cell>
          <cell r="H11764">
            <v>5039641</v>
          </cell>
          <cell r="AK11764" t="str">
            <v>Diane Banks</v>
          </cell>
        </row>
        <row r="11765">
          <cell r="C11765" t="str">
            <v>GESA $10B Readiness</v>
          </cell>
          <cell r="H11765">
            <v>5056954</v>
          </cell>
          <cell r="AK11765" t="str">
            <v>Jessica Seifer</v>
          </cell>
        </row>
        <row r="11766">
          <cell r="C11766" t="str">
            <v>Cyber PM Support</v>
          </cell>
          <cell r="H11766">
            <v>5057134</v>
          </cell>
          <cell r="AK11766" t="str">
            <v>Anika Yan</v>
          </cell>
        </row>
        <row r="11767">
          <cell r="C11767" t="str">
            <v>FCB_Payments Transformation_Wires Execution Bridge</v>
          </cell>
          <cell r="H11767">
            <v>5056040</v>
          </cell>
          <cell r="AK11767" t="str">
            <v>Ann Culbertson</v>
          </cell>
        </row>
        <row r="11768">
          <cell r="C11768" t="str">
            <v>MMC PM Resource - Addt'l 2026 support</v>
          </cell>
          <cell r="H11768">
            <v>5057148</v>
          </cell>
          <cell r="AK11768" t="str">
            <v>Lucy Geringer</v>
          </cell>
        </row>
        <row r="11769">
          <cell r="C11769" t="str">
            <v>Carlyle_Deal Cloud Support Extension</v>
          </cell>
          <cell r="H11769">
            <v>5055963</v>
          </cell>
          <cell r="AK11769" t="str">
            <v>Keshav Khanna</v>
          </cell>
        </row>
        <row r="11770">
          <cell r="C11770" t="str">
            <v>MS_ISG_FI Ops PM - Mike Margent</v>
          </cell>
          <cell r="H11770">
            <v>5054762</v>
          </cell>
          <cell r="AK11770" t="str">
            <v>Csaba Biro</v>
          </cell>
        </row>
        <row r="11771">
          <cell r="C11771" t="str">
            <v>Industrial &amp; Commercial Ba_RAS</v>
          </cell>
          <cell r="H11771">
            <v>5039517</v>
          </cell>
          <cell r="AK11771" t="str">
            <v>Diane Banks</v>
          </cell>
        </row>
        <row r="11772">
          <cell r="C11772" t="str">
            <v>TD Data Engagement - Product Manager - Risk &amp; Compliance</v>
          </cell>
          <cell r="H11772">
            <v>5057558</v>
          </cell>
          <cell r="AK11772" t="str">
            <v>Michael Rappaport</v>
          </cell>
        </row>
        <row r="11773">
          <cell r="C11773" t="str">
            <v>Auto-Renewing VNB GRC Compliance Content</v>
          </cell>
          <cell r="H11773">
            <v>5056892</v>
          </cell>
          <cell r="AK11773" t="str">
            <v>Gregg Henzel</v>
          </cell>
        </row>
        <row r="11774">
          <cell r="C11774" t="str">
            <v>MS_ISG_Process Reimagining -Peter Mulcahy</v>
          </cell>
          <cell r="H11774">
            <v>5054762</v>
          </cell>
          <cell r="AK11774" t="str">
            <v>Csaba Biro</v>
          </cell>
        </row>
        <row r="11775">
          <cell r="C11775" t="str">
            <v>Hanover Bank 2025 HMDA-CRA Data Integrity</v>
          </cell>
          <cell r="H11775">
            <v>5057332</v>
          </cell>
          <cell r="AK11775" t="str">
            <v>Susan Stevenson</v>
          </cell>
        </row>
        <row r="11776">
          <cell r="C11776" t="str">
            <v>Truist_SOW #20 CO#4_NYDFS Remediation Core Team Extension</v>
          </cell>
          <cell r="H11776">
            <v>5053235</v>
          </cell>
          <cell r="AK11776" t="str">
            <v>Jori Heikkinen</v>
          </cell>
        </row>
        <row r="11777">
          <cell r="C11777" t="str">
            <v>Banco Sabadell_RAS_2027</v>
          </cell>
          <cell r="H11777">
            <v>5039445</v>
          </cell>
          <cell r="AK11777" t="str">
            <v>Diane Banks</v>
          </cell>
        </row>
        <row r="11778">
          <cell r="C11778" t="str">
            <v>Jeff_Restricted List Workflow Integration</v>
          </cell>
          <cell r="H11778">
            <v>5057412</v>
          </cell>
          <cell r="AK11778" t="str">
            <v>Samir Narale</v>
          </cell>
        </row>
        <row r="11779">
          <cell r="C11779" t="str">
            <v>USB_Offshore Business Banking Amd4</v>
          </cell>
          <cell r="H11779">
            <v>5054826</v>
          </cell>
          <cell r="AK11779" t="str">
            <v>Samuel Awsumb</v>
          </cell>
        </row>
        <row r="11780">
          <cell r="C11780" t="str">
            <v>MSWM Tech Emerging Technologies_Part 2 - Fnu Rakesh Kumar</v>
          </cell>
          <cell r="H11780">
            <v>5054717</v>
          </cell>
          <cell r="AK11780" t="str">
            <v>Dan Schutzman</v>
          </cell>
        </row>
        <row r="11781">
          <cell r="C11781" t="str">
            <v>Hatch Bank_RAS</v>
          </cell>
          <cell r="H11781">
            <v>5051446</v>
          </cell>
          <cell r="AK11781" t="str">
            <v>Diane Banks</v>
          </cell>
        </row>
        <row r="11782">
          <cell r="C11782" t="str">
            <v>HNB_SalesForce Integration Support for Wealth Tech Transformation</v>
          </cell>
          <cell r="H11782">
            <v>5056627</v>
          </cell>
          <cell r="AK11782" t="str">
            <v>Luke Penca</v>
          </cell>
        </row>
        <row r="11783">
          <cell r="C11783" t="str">
            <v>Transformation Office - Program Management Support</v>
          </cell>
          <cell r="H11783">
            <v>5057148</v>
          </cell>
          <cell r="AK11783" t="str">
            <v>Lucy Geringer</v>
          </cell>
        </row>
        <row r="11784">
          <cell r="C11784" t="str">
            <v>Customers Bank VDD Recurring Auto Renew Feb</v>
          </cell>
          <cell r="H11784">
            <v>5053371</v>
          </cell>
          <cell r="AK11784" t="str">
            <v>Eugene Collett</v>
          </cell>
        </row>
        <row r="11785">
          <cell r="C11785" t="str">
            <v>NFCU - Talent Strategy &amp; Change Management</v>
          </cell>
          <cell r="H11785">
            <v>5057455</v>
          </cell>
          <cell r="AK11785" t="str">
            <v>Thomas Scott</v>
          </cell>
        </row>
        <row r="11786">
          <cell r="C11786" t="str">
            <v>Pru PRT Admin/FAST PMO</v>
          </cell>
          <cell r="H11786">
            <v>5057454</v>
          </cell>
          <cell r="AK11786" t="str">
            <v>Emily Clark</v>
          </cell>
        </row>
        <row r="11787">
          <cell r="C11787" t="str">
            <v>Citi - EDO Data Exceptions Extension Feb26- Jul'26 (Gulsh Mandair) (US Roles)</v>
          </cell>
          <cell r="H11787">
            <v>5056566</v>
          </cell>
          <cell r="AK11787" t="str">
            <v>Ifeoluwa Ajelabi</v>
          </cell>
        </row>
        <row r="11788">
          <cell r="C11788" t="str">
            <v>First Bank Richmond_RAS_2027</v>
          </cell>
          <cell r="H11788">
            <v>5039633</v>
          </cell>
          <cell r="AK11788" t="str">
            <v>Diane Banks</v>
          </cell>
        </row>
        <row r="11789">
          <cell r="C11789" t="str">
            <v>Westfield Bank_RAS_2027</v>
          </cell>
          <cell r="H11789">
            <v>5040149</v>
          </cell>
          <cell r="AK11789" t="str">
            <v>Diane Banks</v>
          </cell>
        </row>
        <row r="11790">
          <cell r="C11790" t="str">
            <v>WB_Technology Delivery_Net Fullstack_Jayesh Extension</v>
          </cell>
          <cell r="H11790">
            <v>5057531</v>
          </cell>
          <cell r="AK11790" t="str">
            <v>Nikin Karunakaran Nambiar</v>
          </cell>
        </row>
        <row r="11791">
          <cell r="C11791" t="str">
            <v>Citi - EDO Data Exceptions Extension Feb26- Mar26 (Chris C) (US Roles)</v>
          </cell>
          <cell r="H11791">
            <v>5056566</v>
          </cell>
          <cell r="AK11791" t="str">
            <v>Ifeoluwa Ajelabi</v>
          </cell>
        </row>
        <row r="11792">
          <cell r="C11792" t="str">
            <v>Riley State Bank_RAS_2027</v>
          </cell>
          <cell r="H11792">
            <v>5040141</v>
          </cell>
          <cell r="AK11792" t="str">
            <v>Diane Banks</v>
          </cell>
        </row>
        <row r="11793">
          <cell r="C11793" t="str">
            <v>FrMc_CTS - Data Modernization Principals</v>
          </cell>
          <cell r="H11793">
            <v>5052732</v>
          </cell>
          <cell r="AK11793" t="str">
            <v>Michael Mathew</v>
          </cell>
        </row>
        <row r="11794">
          <cell r="C11794" t="str">
            <v>FNB of Gordon_RAS_2027</v>
          </cell>
          <cell r="H11794">
            <v>5040125</v>
          </cell>
          <cell r="AK11794" t="str">
            <v>Diane Banks</v>
          </cell>
        </row>
        <row r="11795">
          <cell r="C11795" t="str">
            <v>Community Bank Delaware_CMS</v>
          </cell>
          <cell r="H11795">
            <v>5057605</v>
          </cell>
          <cell r="AK11795" t="str">
            <v>Jeanette Wampler</v>
          </cell>
        </row>
        <row r="11796">
          <cell r="C11796" t="str">
            <v>Bank of O'Fallon_RAS_2027</v>
          </cell>
          <cell r="H11796">
            <v>5040110</v>
          </cell>
          <cell r="AK11796" t="str">
            <v>Diane Banks</v>
          </cell>
        </row>
        <row r="11797">
          <cell r="C11797" t="str">
            <v>CGB Agri Fin Services_RAS_2027</v>
          </cell>
          <cell r="H11797">
            <v>5044533</v>
          </cell>
          <cell r="AK11797" t="str">
            <v>Diane Banks</v>
          </cell>
        </row>
        <row r="11798">
          <cell r="C11798" t="str">
            <v>2026 GLIC ALIP Triage 2/1 through 6/30/2026</v>
          </cell>
          <cell r="H11798">
            <v>5057136</v>
          </cell>
          <cell r="AK11798" t="str">
            <v>Michelle Rosen</v>
          </cell>
        </row>
        <row r="11799">
          <cell r="C11799" t="str">
            <v>FrMc_MF Role Extension</v>
          </cell>
          <cell r="H11799">
            <v>5052346</v>
          </cell>
          <cell r="AK11799" t="str">
            <v>Kalkidan Tedla</v>
          </cell>
        </row>
        <row r="11800">
          <cell r="C11800" t="str">
            <v>State Bank Financial_RAS_2027</v>
          </cell>
          <cell r="H11800">
            <v>5039553</v>
          </cell>
          <cell r="AK11800" t="str">
            <v>Diane Banks</v>
          </cell>
        </row>
        <row r="11801">
          <cell r="C11801" t="str">
            <v>GLIC Annuity ALIP Implementation- 1 POs</v>
          </cell>
          <cell r="H11801">
            <v>5057589</v>
          </cell>
          <cell r="AK11801" t="str">
            <v>Michelle Rosen</v>
          </cell>
        </row>
        <row r="11802">
          <cell r="C11802" t="str">
            <v>Citi - Wholesale Credit Lineage, Catalogue and Use Case Execution (Aaron B) (US Only)</v>
          </cell>
          <cell r="H11802">
            <v>5056566</v>
          </cell>
          <cell r="AK11802" t="str">
            <v>Ifeoluwa Ajelabi</v>
          </cell>
        </row>
        <row r="11803">
          <cell r="C11803" t="str">
            <v>SCB Policy and Procedure Review</v>
          </cell>
          <cell r="H11803">
            <v>5057132</v>
          </cell>
          <cell r="AK11803" t="str">
            <v>William Sachs</v>
          </cell>
        </row>
        <row r="11804">
          <cell r="C11804" t="str">
            <v>United Bank_RAS_2027</v>
          </cell>
          <cell r="H11804">
            <v>5039738</v>
          </cell>
          <cell r="AK11804" t="str">
            <v>Diane Banks</v>
          </cell>
        </row>
        <row r="11805">
          <cell r="C11805" t="str">
            <v>Lake Central Bank_RAS_2027</v>
          </cell>
          <cell r="H11805">
            <v>5039676</v>
          </cell>
          <cell r="AK11805" t="str">
            <v>Diane Banks</v>
          </cell>
        </row>
        <row r="11806">
          <cell r="C11806" t="str">
            <v>Inwood National Bank_RAS_2027</v>
          </cell>
          <cell r="H11806">
            <v>5040131</v>
          </cell>
          <cell r="AK11806" t="str">
            <v>Diane Banks</v>
          </cell>
        </row>
        <row r="11807">
          <cell r="C11807" t="str">
            <v>Citi - EDO Data Exception Extension Feb26 -Jul26 (Shahin-Adjustments) (US Roles)</v>
          </cell>
          <cell r="H11807">
            <v>5056566</v>
          </cell>
          <cell r="AK11807" t="str">
            <v>Ifeoluwa Ajelabi</v>
          </cell>
        </row>
        <row r="11808">
          <cell r="C11808" t="str">
            <v>Walden Savings Bank_RAS_2027</v>
          </cell>
          <cell r="H11808">
            <v>5039571</v>
          </cell>
          <cell r="AK11808" t="str">
            <v>Diane Banks</v>
          </cell>
        </row>
        <row r="11809">
          <cell r="C11809" t="str">
            <v>Citi_Services Data Lead Support Feb'26 -Jan'27 (DAN STERN) (US Roles)</v>
          </cell>
          <cell r="H11809">
            <v>5056548</v>
          </cell>
          <cell r="AK11809" t="str">
            <v>Jordell Clarke-McIntosh</v>
          </cell>
        </row>
        <row r="11810">
          <cell r="C11810" t="str">
            <v>RECURRING Artisans CMS Support 26</v>
          </cell>
          <cell r="H11810">
            <v>5056728</v>
          </cell>
          <cell r="AK11810" t="str">
            <v>David Stalnaker</v>
          </cell>
        </row>
        <row r="11811">
          <cell r="C11811" t="str">
            <v>Carlyle_AlpInvest Team Extension</v>
          </cell>
          <cell r="H11811">
            <v>5057355</v>
          </cell>
          <cell r="AK11811" t="str">
            <v>Keshav Khanna</v>
          </cell>
        </row>
        <row r="11812">
          <cell r="C11812" t="str">
            <v>5039454 - Aura Mortgage Advisors LL_RAS</v>
          </cell>
          <cell r="H11812">
            <v>5039454</v>
          </cell>
          <cell r="AK11812" t="str">
            <v>Rebecca Breland</v>
          </cell>
        </row>
        <row r="11813">
          <cell r="C11813" t="str">
            <v>First National Bank of Mou_RAS</v>
          </cell>
          <cell r="H11813">
            <v>5039496</v>
          </cell>
          <cell r="AK11813" t="str">
            <v>Diane Banks</v>
          </cell>
        </row>
        <row r="11814">
          <cell r="C11814" t="str">
            <v>Hanover Community Bank_RAS_2027</v>
          </cell>
          <cell r="H11814">
            <v>5039510</v>
          </cell>
          <cell r="AK11814" t="str">
            <v>Diane Banks</v>
          </cell>
        </row>
        <row r="11815">
          <cell r="C11815" t="str">
            <v>Community National Bank TX_RAS_2027</v>
          </cell>
          <cell r="H11815">
            <v>5048525</v>
          </cell>
          <cell r="AK11815" t="str">
            <v>Diane Banks</v>
          </cell>
        </row>
        <row r="11816">
          <cell r="C11816" t="str">
            <v>Recurring_MVB_Compliance Audit</v>
          </cell>
          <cell r="H11816">
            <v>5056650</v>
          </cell>
          <cell r="AK11816" t="str">
            <v>David Stalnaker</v>
          </cell>
        </row>
        <row r="11817">
          <cell r="C11817" t="str">
            <v>Enterprise Bank &amp; Trust_RAS_2026</v>
          </cell>
          <cell r="H11817">
            <v>5039484</v>
          </cell>
          <cell r="AK11817" t="str">
            <v>Diane Banks</v>
          </cell>
        </row>
        <row r="11818">
          <cell r="C11818" t="str">
            <v>KodaBank_RAS_2027</v>
          </cell>
          <cell r="H11818">
            <v>5039675</v>
          </cell>
          <cell r="AK11818" t="str">
            <v>Diane Banks</v>
          </cell>
        </row>
        <row r="11819">
          <cell r="C11819" t="str">
            <v>NexTier Bank NA_RAS_2026</v>
          </cell>
          <cell r="H11819">
            <v>5039693</v>
          </cell>
          <cell r="AK11819" t="str">
            <v>Diane Banks</v>
          </cell>
        </row>
        <row r="11820">
          <cell r="C11820" t="str">
            <v>Carlsbad National Bank_RAS_2027</v>
          </cell>
          <cell r="H11820">
            <v>5039459</v>
          </cell>
          <cell r="AK11820" t="str">
            <v>Diane Banks</v>
          </cell>
        </row>
        <row r="11821">
          <cell r="C11821" t="str">
            <v>Liberty Bank_AL_RAS_2027</v>
          </cell>
          <cell r="H11821">
            <v>5039678</v>
          </cell>
          <cell r="AK11821" t="str">
            <v>Diane Banks</v>
          </cell>
        </row>
        <row r="11822">
          <cell r="C11822" t="str">
            <v>Grove Bank &amp; Trust_RAS_2026</v>
          </cell>
          <cell r="H11822">
            <v>5044597</v>
          </cell>
          <cell r="AK11822" t="str">
            <v>Diane Banks</v>
          </cell>
        </row>
        <row r="11823">
          <cell r="C11823" t="str">
            <v>Dime Community Bank_RAS_2027</v>
          </cell>
          <cell r="H11823">
            <v>5039479</v>
          </cell>
          <cell r="AK11823" t="str">
            <v>Diane Banks</v>
          </cell>
        </row>
        <row r="11824">
          <cell r="C11824" t="str">
            <v>Providence Bank_RAS_2027</v>
          </cell>
          <cell r="H11824">
            <v>5040159</v>
          </cell>
          <cell r="AK11824" t="str">
            <v>Diane Banks</v>
          </cell>
        </row>
        <row r="11825">
          <cell r="C11825" t="str">
            <v>County Bank_RAS_2027</v>
          </cell>
          <cell r="H11825">
            <v>5039619</v>
          </cell>
          <cell r="AK11825" t="str">
            <v>Diane Banks</v>
          </cell>
        </row>
        <row r="11826">
          <cell r="C11826" t="str">
            <v>Jeff-Arranged Financing Extension - Venkata</v>
          </cell>
          <cell r="H11826">
            <v>5057553</v>
          </cell>
          <cell r="AK11826" t="str">
            <v>Matthew Rodgers</v>
          </cell>
        </row>
        <row r="11827">
          <cell r="C11827" t="str">
            <v>AI Lab 2026CY</v>
          </cell>
          <cell r="H11827">
            <v>5053032</v>
          </cell>
          <cell r="AK11827" t="str">
            <v>Noah Brooks</v>
          </cell>
        </row>
        <row r="11828">
          <cell r="C11828" t="str">
            <v>Community Bank Mankato_RAS_2027</v>
          </cell>
          <cell r="H11828">
            <v>5039617</v>
          </cell>
          <cell r="AK11828" t="str">
            <v>Diane Banks</v>
          </cell>
        </row>
        <row r="11829">
          <cell r="C11829" t="str">
            <v>Jeff_Arranged Financing Developer - Ext</v>
          </cell>
          <cell r="H11829">
            <v>5057533</v>
          </cell>
          <cell r="AK11829" t="str">
            <v>Matthew Rodgers</v>
          </cell>
        </row>
        <row r="11830">
          <cell r="C11830" t="str">
            <v>Carlyle_Private Equity Extension</v>
          </cell>
          <cell r="H11830">
            <v>5057662</v>
          </cell>
          <cell r="AK11830" t="str">
            <v>Keshav Khanna</v>
          </cell>
        </row>
        <row r="11831">
          <cell r="C11831" t="str">
            <v>FrMc_SecOps Modernization Support Ext</v>
          </cell>
          <cell r="H11831">
            <v>5057112</v>
          </cell>
          <cell r="AK11831" t="str">
            <v>Gregory Barry</v>
          </cell>
        </row>
        <row r="11832">
          <cell r="C11832" t="str">
            <v>FCB_Microsoft 365 Migration CO1</v>
          </cell>
          <cell r="H11832">
            <v>5056259</v>
          </cell>
          <cell r="AK11832" t="str">
            <v>Samuel Awsumb</v>
          </cell>
        </row>
        <row r="11833">
          <cell r="C11833" t="str">
            <v>5039688 - Mifflinburg Bank &amp; Trust C_RAS</v>
          </cell>
          <cell r="H11833">
            <v>5039688</v>
          </cell>
          <cell r="AK11833" t="str">
            <v>Diane Banks</v>
          </cell>
        </row>
        <row r="11834">
          <cell r="C11834" t="str">
            <v>Derayah Financial - BigID Implementation - ME (Capco)</v>
          </cell>
          <cell r="H11834">
            <v>5057607</v>
          </cell>
          <cell r="AK11834" t="str">
            <v>Nadir Basma</v>
          </cell>
        </row>
        <row r="11835">
          <cell r="C11835" t="str">
            <v>Merchants &amp; Planters Bank_RAS_2027</v>
          </cell>
          <cell r="H11835">
            <v>5039525</v>
          </cell>
          <cell r="AK11835" t="str">
            <v>Diane Banks</v>
          </cell>
        </row>
        <row r="11836">
          <cell r="C11836" t="str">
            <v>Citizens Bank - TN_RAS_2027</v>
          </cell>
          <cell r="H11836">
            <v>5040206</v>
          </cell>
          <cell r="AK11836" t="str">
            <v>Diane Banks</v>
          </cell>
        </row>
        <row r="11837">
          <cell r="C11837" t="str">
            <v>Country Bank for Savings 2026 Compliance Audits</v>
          </cell>
          <cell r="H11837">
            <v>5057568</v>
          </cell>
          <cell r="AK11837" t="str">
            <v>Mary Louise Radley</v>
          </cell>
        </row>
        <row r="11838">
          <cell r="C11838" t="str">
            <v>Dedham Institution for Sav_RAS_2027</v>
          </cell>
          <cell r="H11838">
            <v>5039477</v>
          </cell>
          <cell r="AK11838" t="str">
            <v>Diane Banks</v>
          </cell>
        </row>
        <row r="11839">
          <cell r="C11839" t="str">
            <v>Dean Bank Consulting</v>
          </cell>
          <cell r="H11839">
            <v>5057534</v>
          </cell>
          <cell r="AK11839" t="str">
            <v>Louvera Walden</v>
          </cell>
        </row>
        <row r="11840">
          <cell r="C11840" t="str">
            <v>Arthur State Bank_RAS_2027</v>
          </cell>
          <cell r="H11840">
            <v>5039586</v>
          </cell>
          <cell r="AK11840" t="str">
            <v>Diane Banks</v>
          </cell>
        </row>
        <row r="11841">
          <cell r="C11841" t="str">
            <v>Savings Bank of Danbury_RAS_2027</v>
          </cell>
          <cell r="H11841">
            <v>5039721</v>
          </cell>
          <cell r="AK11841" t="str">
            <v>Diane Banks</v>
          </cell>
        </row>
        <row r="11842">
          <cell r="C11842" t="str">
            <v>Connecticut CB IT/IS Risk Assessment 2026</v>
          </cell>
          <cell r="H11842">
            <v>5057560</v>
          </cell>
          <cell r="AK11842" t="str">
            <v>Mary Louise Radley</v>
          </cell>
        </row>
        <row r="11843">
          <cell r="C11843" t="str">
            <v>First County Bank - 2025 ABA RCC Lead - Monitoring and Testing</v>
          </cell>
          <cell r="H11843">
            <v>5057625</v>
          </cell>
          <cell r="AK11843" t="str">
            <v>Leigh Tribou</v>
          </cell>
        </row>
        <row r="11844">
          <cell r="C11844" t="str">
            <v>Wintrust Seven Month Smart Suite Support</v>
          </cell>
          <cell r="H11844">
            <v>5057639</v>
          </cell>
          <cell r="AK11844" t="str">
            <v>Gregg Henzel</v>
          </cell>
        </row>
        <row r="11845">
          <cell r="C11845" t="str">
            <v>Jeff_T+1 Tech Impact Assessment - Phase 1</v>
          </cell>
          <cell r="H11845">
            <v>5057596</v>
          </cell>
          <cell r="AK11845" t="str">
            <v>Conor Dowling</v>
          </cell>
        </row>
        <row r="11846">
          <cell r="C11846" t="str">
            <v>FrMc_MF Re-ignite 2026 Program Data Roles Ext</v>
          </cell>
          <cell r="H11846">
            <v>5056376</v>
          </cell>
          <cell r="AK11846" t="str">
            <v>Raj Narayan</v>
          </cell>
        </row>
        <row r="11847">
          <cell r="C11847" t="str">
            <v>Jeff_Equity Swaps PM Ext July 2026</v>
          </cell>
          <cell r="H11847">
            <v>5057557</v>
          </cell>
          <cell r="AK11847" t="str">
            <v>Sri Nonabur Srinivasamurthy</v>
          </cell>
        </row>
        <row r="11848">
          <cell r="C11848" t="str">
            <v>Communications Director</v>
          </cell>
          <cell r="H11848">
            <v>5057485</v>
          </cell>
          <cell r="AK11848" t="str">
            <v>Michelle Rosen</v>
          </cell>
        </row>
        <row r="11849">
          <cell r="C11849" t="str">
            <v>Jefferies Market Data Optimization</v>
          </cell>
          <cell r="H11849">
            <v>5057597</v>
          </cell>
          <cell r="AK11849" t="str">
            <v>Imran Parekh</v>
          </cell>
        </row>
        <row r="11850">
          <cell r="C11850" t="str">
            <v>GLIC Finance Open Item Clean up- POST SOW Renewal Feb 1-28-2026</v>
          </cell>
          <cell r="H11850">
            <v>5057136</v>
          </cell>
          <cell r="AK11850" t="str">
            <v>Michelle Rosen</v>
          </cell>
        </row>
        <row r="11851">
          <cell r="C11851" t="str">
            <v>Jefferies ISO 20022 - 2026 support</v>
          </cell>
          <cell r="H11851">
            <v>5057555</v>
          </cell>
          <cell r="AK11851" t="str">
            <v>Julia Simmons</v>
          </cell>
        </row>
        <row r="11852">
          <cell r="C11852" t="str">
            <v>Jefferies Infrastructure - Program Project Support Analyst - Fy261H</v>
          </cell>
          <cell r="H11852">
            <v>5057517</v>
          </cell>
          <cell r="AK11852" t="str">
            <v>Imran Parekh</v>
          </cell>
        </row>
        <row r="11853">
          <cell r="C11853" t="str">
            <v>Jefferies Global CISO Support_Grace K - FY26 1H Extension</v>
          </cell>
          <cell r="H11853">
            <v>5057329</v>
          </cell>
          <cell r="AK11853" t="str">
            <v>Imran Parekh</v>
          </cell>
        </row>
        <row r="11854">
          <cell r="C11854" t="str">
            <v>Carlyle_AI Scaler Extension</v>
          </cell>
          <cell r="H11854">
            <v>5055832</v>
          </cell>
          <cell r="AK11854" t="str">
            <v>Keshav Khanna</v>
          </cell>
        </row>
        <row r="11855">
          <cell r="C11855" t="str">
            <v>Recurring Leader Bank CMSO 2026</v>
          </cell>
          <cell r="H11855">
            <v>5057636</v>
          </cell>
          <cell r="AK11855" t="str">
            <v>Eugene Collett</v>
          </cell>
        </row>
        <row r="11856">
          <cell r="C11856" t="str">
            <v>NFCU Servicing Implementation - Phase 4</v>
          </cell>
          <cell r="H11856">
            <v>5057502</v>
          </cell>
          <cell r="AK11856" t="str">
            <v>Thomas Scott</v>
          </cell>
        </row>
        <row r="11857">
          <cell r="C11857" t="str">
            <v>Jefferies New Business Support</v>
          </cell>
          <cell r="H11857">
            <v>5057559</v>
          </cell>
          <cell r="AK11857" t="str">
            <v>Julia Simmons</v>
          </cell>
        </row>
        <row r="11858">
          <cell r="C11858" t="str">
            <v>GLIC Stabilization Program/Governance Leadership- Part 2 to extend through end of Q4</v>
          </cell>
          <cell r="H11858">
            <v>5057136</v>
          </cell>
          <cell r="AK11858" t="str">
            <v>Michelle Rosen</v>
          </cell>
        </row>
        <row r="11859">
          <cell r="C11859" t="str">
            <v>PRU-GI-Web Development Pod Extension for 2026</v>
          </cell>
          <cell r="H11859">
            <v>5057575</v>
          </cell>
          <cell r="AK11859" t="str">
            <v>Deb Nelis</v>
          </cell>
        </row>
        <row r="11860">
          <cell r="C11860" t="str">
            <v>MSWM Ops_Strategic Initiatives PM Support [Chris S.]</v>
          </cell>
          <cell r="H11860">
            <v>5054738</v>
          </cell>
          <cell r="AK11860" t="str">
            <v>Dan Schutzman</v>
          </cell>
        </row>
        <row r="11861">
          <cell r="C11861" t="str">
            <v>Navy Federal - MetricStream Upgrade</v>
          </cell>
          <cell r="H11861">
            <v>5057561</v>
          </cell>
          <cell r="AK11861" t="str">
            <v>Gregg Henzel</v>
          </cell>
        </row>
        <row r="11862">
          <cell r="C11862" t="str">
            <v>HNB_AI Product Owner Support</v>
          </cell>
          <cell r="H11862">
            <v>5057501</v>
          </cell>
          <cell r="AK11862" t="str">
            <v>Spencer Feuer</v>
          </cell>
        </row>
        <row r="11863">
          <cell r="C11863" t="str">
            <v>Jefferies CISO TOM Phase 1 - Research</v>
          </cell>
          <cell r="AK11863" t="str">
            <v>Ervinas Janavicius</v>
          </cell>
        </row>
        <row r="11864">
          <cell r="C11864" t="str">
            <v>ICBA- TCM Bank Card Conversion</v>
          </cell>
          <cell r="H11864">
            <v>5057570</v>
          </cell>
          <cell r="AK11864" t="str">
            <v>Ian Guidash</v>
          </cell>
        </row>
        <row r="11865">
          <cell r="C11865" t="str">
            <v>MSWM_Ops Digital Asset Support PM [Stephanie Philip]</v>
          </cell>
          <cell r="H11865">
            <v>5054738</v>
          </cell>
          <cell r="AK11865" t="str">
            <v>Dan Schutzman</v>
          </cell>
        </row>
        <row r="11866">
          <cell r="C11866" t="str">
            <v>USB_Offshore Bank (Pod 5) Amd2</v>
          </cell>
          <cell r="H11866">
            <v>5056485</v>
          </cell>
          <cell r="AK11866" t="str">
            <v>Samuel Awsumb</v>
          </cell>
        </row>
        <row r="11867">
          <cell r="C11867" t="str">
            <v>SMBC Agile DevOps Transformation Add On</v>
          </cell>
          <cell r="H11867">
            <v>5056150</v>
          </cell>
          <cell r="AK11867" t="str">
            <v>Kirby Pulver</v>
          </cell>
        </row>
        <row r="11868">
          <cell r="C11868" t="str">
            <v>PacLife PRT Data Ingestion Optimization</v>
          </cell>
          <cell r="H11868">
            <v>5057606</v>
          </cell>
          <cell r="AK11868" t="str">
            <v>Matthew Zidow</v>
          </cell>
        </row>
        <row r="11869">
          <cell r="C11869" t="str">
            <v>FAST - Staff Augmentation Work - Additional Resource</v>
          </cell>
          <cell r="H11869">
            <v>5056910</v>
          </cell>
          <cell r="AK11869" t="str">
            <v>Nikolas Lozada</v>
          </cell>
        </row>
        <row r="11870">
          <cell r="C11870" t="str">
            <v>SEIU775 2026 Health Vendor Selection</v>
          </cell>
          <cell r="H11870">
            <v>5057671</v>
          </cell>
          <cell r="AK11870" t="str">
            <v>Marcela Santamaria</v>
          </cell>
        </row>
        <row r="11871">
          <cell r="C11871" t="str">
            <v>PureFacts - Tech Delivery Help</v>
          </cell>
          <cell r="H11871">
            <v>5057673</v>
          </cell>
          <cell r="AK11871" t="str">
            <v>Carl Repoli</v>
          </cell>
        </row>
        <row r="11872">
          <cell r="C11872" t="str">
            <v>MMC Additional Location Strategy PM</v>
          </cell>
          <cell r="H11872">
            <v>5057578</v>
          </cell>
          <cell r="AK11872" t="str">
            <v>Lucy Geringer</v>
          </cell>
        </row>
        <row r="11873">
          <cell r="C11873" t="str">
            <v>PGIM AEM Fabric Data Model Support</v>
          </cell>
          <cell r="AK11873" t="str">
            <v>Diego Sarai</v>
          </cell>
        </row>
        <row r="11874">
          <cell r="C11874" t="str">
            <v>Customers Bank VDD Recurring Auto Renew Mar</v>
          </cell>
          <cell r="H11874">
            <v>5053371</v>
          </cell>
          <cell r="AK11874" t="str">
            <v>Eugene Collett</v>
          </cell>
        </row>
        <row r="11875">
          <cell r="C11875" t="str">
            <v>MS Finance_Cloud Governance PM Support [PC] Charlotte Asaro</v>
          </cell>
          <cell r="H11875">
            <v>5054762</v>
          </cell>
          <cell r="AK11875" t="str">
            <v>Csaba Biro</v>
          </cell>
        </row>
        <row r="11876">
          <cell r="C11876" t="str">
            <v>FCB_D365 Migration CO2</v>
          </cell>
          <cell r="H11876">
            <v>5055490</v>
          </cell>
          <cell r="AK11876" t="str">
            <v>Vijaya Sripathi</v>
          </cell>
        </row>
        <row r="11877">
          <cell r="C11877" t="str">
            <v>Bread California ADMT Regulation Preparation</v>
          </cell>
          <cell r="AK11877" t="str">
            <v>Andy Soodek</v>
          </cell>
        </row>
        <row r="11878">
          <cell r="C11878" t="str">
            <v>BMO - Deposit Early Tenure Journey Program</v>
          </cell>
          <cell r="H11878">
            <v>5057672</v>
          </cell>
          <cell r="AK11878" t="str">
            <v>Daniel Glaser</v>
          </cell>
        </row>
        <row r="11879">
          <cell r="C11879" t="str">
            <v>Columbia Bank Online Regulatory Data Feed</v>
          </cell>
          <cell r="AK11879" t="str">
            <v>Leah Robinson</v>
          </cell>
        </row>
        <row r="11880">
          <cell r="C11880" t="str">
            <v>Unified Bank Overdraft Review</v>
          </cell>
          <cell r="H11880">
            <v>5057653</v>
          </cell>
          <cell r="AK11880" t="str">
            <v>Louvera Walden</v>
          </cell>
        </row>
        <row r="11881">
          <cell r="C11881" t="str">
            <v>5/3_SD Decoupling Post LD1</v>
          </cell>
          <cell r="H11881">
            <v>5056938</v>
          </cell>
          <cell r="AK11881" t="str">
            <v>Matthew Rodgers</v>
          </cell>
        </row>
        <row r="11882">
          <cell r="C11882" t="str">
            <v>USAA Purchase Agreement Review 2026</v>
          </cell>
          <cell r="AK11882" t="str">
            <v>Michael Austin</v>
          </cell>
        </row>
        <row r="11883">
          <cell r="C11883" t="str">
            <v>USAA Redisclosure Desk 2026</v>
          </cell>
          <cell r="AK11883" t="str">
            <v>Michael Austin</v>
          </cell>
        </row>
        <row r="11884">
          <cell r="C11884" t="str">
            <v>MS at Work Calgary RFP</v>
          </cell>
          <cell r="AK11884" t="str">
            <v>Monoseej Sinha</v>
          </cell>
        </row>
        <row r="11885">
          <cell r="C11885" t="str">
            <v>MF - RFP  Data Governance Transition Program (2026)</v>
          </cell>
          <cell r="AK11885" t="str">
            <v>Rishi Sanghavi</v>
          </cell>
        </row>
        <row r="11886">
          <cell r="C11886" t="str">
            <v>SEIU775_CLC EA Project Support Ph20</v>
          </cell>
          <cell r="H11886">
            <v>5041705</v>
          </cell>
          <cell r="AK11886" t="str">
            <v>Eric Fairchild</v>
          </cell>
        </row>
        <row r="11887">
          <cell r="C11887" t="str">
            <v>Pru - ILI - Simplified Solutions CY 2026 Extension (mar-jun)</v>
          </cell>
          <cell r="H11887">
            <v>5057447</v>
          </cell>
          <cell r="AK11887" t="str">
            <v>Vanessa Kaiser</v>
          </cell>
        </row>
        <row r="11888">
          <cell r="C11888" t="str">
            <v>Recurring FAB_Audit Consulting</v>
          </cell>
          <cell r="H11888">
            <v>5057212</v>
          </cell>
          <cell r="AK11888" t="str">
            <v>William Sachs</v>
          </cell>
        </row>
        <row r="11889">
          <cell r="C11889" t="str">
            <v>Pru - DMN - Contract Domain Team Extension</v>
          </cell>
          <cell r="H11889">
            <v>5052575</v>
          </cell>
          <cell r="AK11889" t="str">
            <v>Seth Berman</v>
          </cell>
        </row>
        <row r="11890">
          <cell r="C11890" t="str">
            <v>USAA_CDQA 2026</v>
          </cell>
          <cell r="AK11890" t="str">
            <v>Michael Austin</v>
          </cell>
        </row>
        <row r="11891">
          <cell r="C11891" t="str">
            <v>Carlyle_Enterprise DevOps</v>
          </cell>
          <cell r="H11891">
            <v>5057591</v>
          </cell>
          <cell r="AK11891" t="str">
            <v>Keshav Khanna</v>
          </cell>
        </row>
        <row r="11892">
          <cell r="C11892" t="str">
            <v>SF - Enterprise Transformation Office Program (Bridge)</v>
          </cell>
          <cell r="AK11892" t="str">
            <v>Kalkidan Tedla</v>
          </cell>
        </row>
        <row r="11893">
          <cell r="C11893" t="str">
            <v>USAA_TILA Good Faith Review 2026</v>
          </cell>
          <cell r="AK11893" t="str">
            <v>Michael Austin</v>
          </cell>
        </row>
        <row r="11894">
          <cell r="C11894" t="str">
            <v>WSFS Compliance Reviews</v>
          </cell>
          <cell r="AK11894" t="str">
            <v>Jeanette Wampler</v>
          </cell>
        </row>
        <row r="11895">
          <cell r="C11895" t="str">
            <v>Wells Fargo CIB Crypto Trading</v>
          </cell>
          <cell r="AK11895" t="str">
            <v>Stephanie Colling</v>
          </cell>
        </row>
        <row r="11896">
          <cell r="C11896" t="str">
            <v>FCB_Payments Transformation_Wires Execution</v>
          </cell>
          <cell r="AK11896" t="str">
            <v>Ann Culbertson</v>
          </cell>
        </row>
        <row r="11897">
          <cell r="C11897" t="str">
            <v>Desjardins Fiserv Card Conversion Testing Support March - April Extension</v>
          </cell>
          <cell r="H11897">
            <v>5055152</v>
          </cell>
          <cell r="AK11897" t="str">
            <v>Victor Plante</v>
          </cell>
        </row>
        <row r="11898">
          <cell r="C11898" t="str">
            <v>Bread - UCPM API Engineer Extension #2 - Abigail Limpioso</v>
          </cell>
          <cell r="H11898">
            <v>5055104</v>
          </cell>
          <cell r="AK11898" t="str">
            <v>Paul Laurent</v>
          </cell>
        </row>
        <row r="11899">
          <cell r="C11899" t="str">
            <v>Carlyle_AlpInvest Team March-June</v>
          </cell>
          <cell r="H11899">
            <v>5057355</v>
          </cell>
          <cell r="AK11899" t="str">
            <v>Keshav Khanna</v>
          </cell>
        </row>
        <row r="11900">
          <cell r="C11900" t="str">
            <v>HSBC-GFP-DBS-Cyber</v>
          </cell>
          <cell r="AK11900" t="str">
            <v>Daisy Pradhan</v>
          </cell>
        </row>
        <row r="11901">
          <cell r="C11901" t="str">
            <v>Republic Bank &amp; Trust - Compliance Consulting</v>
          </cell>
          <cell r="AK11901" t="str">
            <v>Eugene Collett</v>
          </cell>
        </row>
        <row r="11902">
          <cell r="C11902" t="str">
            <v>Carlyle_Investor Relations March-June</v>
          </cell>
          <cell r="H11902">
            <v>5057398</v>
          </cell>
          <cell r="AK11902" t="str">
            <v>Keshav Khanna</v>
          </cell>
        </row>
        <row r="11903">
          <cell r="C11903" t="str">
            <v>WSFS</v>
          </cell>
          <cell r="AK11903" t="str">
            <v>Michael Austin</v>
          </cell>
        </row>
        <row r="11904">
          <cell r="C11904" t="str">
            <v>WF expenses/allocations analysis</v>
          </cell>
          <cell r="H11904">
            <v>5048255</v>
          </cell>
          <cell r="AK11904" t="str">
            <v>Stephanie Colling</v>
          </cell>
        </row>
        <row r="11905">
          <cell r="C11905" t="str">
            <v>Obsolescence and Vulnerability IT Analyst for Software</v>
          </cell>
          <cell r="AK11905" t="str">
            <v>Boris Mallet</v>
          </cell>
        </row>
        <row r="11906">
          <cell r="C11906" t="str">
            <v>Selco - Marketing Strategy</v>
          </cell>
          <cell r="AK11906" t="str">
            <v>Allison Duffee</v>
          </cell>
        </row>
        <row r="11907">
          <cell r="C11907" t="str">
            <v>UBS - Marketing Capabilities Transformation</v>
          </cell>
          <cell r="AK11907" t="str">
            <v>Sophia Cutler</v>
          </cell>
        </row>
        <row r="11908">
          <cell r="C11908" t="str">
            <v>Truist_SOW#25_CO2_CIB Regulatory Reporting</v>
          </cell>
          <cell r="H11908">
            <v>5053607</v>
          </cell>
          <cell r="AK11908" t="str">
            <v>Jori Heikkinen</v>
          </cell>
        </row>
        <row r="11909">
          <cell r="C11909" t="str">
            <v>Fiserv Desjardins Commercial Card 360 Control Extension - Adam Polson</v>
          </cell>
          <cell r="H11909">
            <v>5056056</v>
          </cell>
          <cell r="AK11909" t="str">
            <v>Robbie Roberts</v>
          </cell>
        </row>
        <row r="11910">
          <cell r="C11910" t="str">
            <v>GSB (Ascend Bank) - RCM automation</v>
          </cell>
          <cell r="AK11910" t="str">
            <v>Gregg Henzel</v>
          </cell>
        </row>
        <row r="11911">
          <cell r="C11911" t="str">
            <v>Jeff_Flow Monitor PM / Prod Manager Ext</v>
          </cell>
          <cell r="H11911">
            <v>5048646</v>
          </cell>
          <cell r="AK11911" t="str">
            <v>Irina Szilagyi</v>
          </cell>
        </row>
        <row r="11912">
          <cell r="C11912" t="str">
            <v>WF_Cognitive Brain V 2</v>
          </cell>
          <cell r="H11912">
            <v>5055976</v>
          </cell>
          <cell r="AK11912" t="str">
            <v>Varun Putchala</v>
          </cell>
        </row>
        <row r="11913">
          <cell r="C11913" t="str">
            <v>Compliance Reviews - 2026</v>
          </cell>
          <cell r="AK11913" t="str">
            <v>Eugene Collett</v>
          </cell>
        </row>
        <row r="11914">
          <cell r="C11914" t="str">
            <v>FrMc_EO&amp;T - GenAI - Risk and Controls Self-Service Portal</v>
          </cell>
          <cell r="H11914">
            <v>5052346</v>
          </cell>
          <cell r="AK11914" t="str">
            <v>Kalkidan Tedla</v>
          </cell>
        </row>
        <row r="11915">
          <cell r="C11915" t="str">
            <v>PRU-ILI-Essential Term Stabilization</v>
          </cell>
          <cell r="AK11915" t="str">
            <v>Deb Nelis</v>
          </cell>
        </row>
        <row r="11916">
          <cell r="C11916" t="str">
            <v>Jefferies - SPM Program Extension Fy262H</v>
          </cell>
          <cell r="H11916">
            <v>5048963</v>
          </cell>
          <cell r="AK11916" t="str">
            <v>Imran Parekh</v>
          </cell>
        </row>
        <row r="11917">
          <cell r="C11917" t="str">
            <v>Prima AFP_Product Research</v>
          </cell>
          <cell r="AK11917" t="str">
            <v>Danielle Theroux</v>
          </cell>
        </row>
        <row r="11918">
          <cell r="C11918" t="str">
            <v>Spencer Savings, SLA - 2026 Compliance Reviews</v>
          </cell>
          <cell r="AK11918" t="str">
            <v>Eugene Collett</v>
          </cell>
        </row>
        <row r="11919">
          <cell r="C11919" t="str">
            <v>PRU - PA - PAConnect - Mobile developer addition</v>
          </cell>
          <cell r="H11919">
            <v>5057233</v>
          </cell>
          <cell r="AK11919" t="str">
            <v>Stanley Rodrigues</v>
          </cell>
        </row>
        <row r="11920">
          <cell r="C11920" t="str">
            <v>AI Current State Assessment</v>
          </cell>
          <cell r="AK11920" t="str">
            <v>Emily Glaessner</v>
          </cell>
        </row>
        <row r="11921">
          <cell r="C11921" t="str">
            <v>Equity Compliance Support</v>
          </cell>
          <cell r="AK11921" t="str">
            <v>Matthew Rodgers</v>
          </cell>
        </row>
        <row r="11922">
          <cell r="C11922" t="str">
            <v>Marex - NFA Exam PMO</v>
          </cell>
          <cell r="AK11922" t="str">
            <v>David Nam</v>
          </cell>
        </row>
        <row r="11923">
          <cell r="C11923" t="str">
            <v>5047260 - Southern Bank - RAS</v>
          </cell>
          <cell r="H11923">
            <v>5047260</v>
          </cell>
          <cell r="AK11923" t="str">
            <v>Diane Banks</v>
          </cell>
        </row>
        <row r="11924">
          <cell r="C11924" t="str">
            <v>Blue Foundry CMS Support 2026-27</v>
          </cell>
          <cell r="AK11924" t="str">
            <v>Jeanette Wampler</v>
          </cell>
        </row>
        <row r="11925">
          <cell r="C11925" t="str">
            <v>HSBC-CIB-DAC Data Validations &amp; Use Case Execution</v>
          </cell>
          <cell r="AK11925" t="str">
            <v>Parul Chowdhry</v>
          </cell>
        </row>
        <row r="11926">
          <cell r="C11926" t="str">
            <v>NFCU REL Document Mgt Assessment</v>
          </cell>
          <cell r="AK11926" t="str">
            <v>Thomas Scott</v>
          </cell>
        </row>
        <row r="11927">
          <cell r="C11927" t="str">
            <v>MS_Procurement EquityZen Cost Synergy [Elizabeth P]</v>
          </cell>
          <cell r="AK11927" t="str">
            <v>Dan Schutzman</v>
          </cell>
        </row>
        <row r="11928">
          <cell r="C11928" t="str">
            <v>Edward Jones Trading Program Management</v>
          </cell>
          <cell r="AK11928" t="str">
            <v>Robert Norris</v>
          </cell>
        </row>
        <row r="11929">
          <cell r="C11929" t="str">
            <v>Bankfirst - RAS Team Membership</v>
          </cell>
          <cell r="AK11929" t="str">
            <v>Diane Banks</v>
          </cell>
        </row>
        <row r="11930">
          <cell r="C11930" t="str">
            <v>MS_Project Nexus_PM Support [Harrup Singh]</v>
          </cell>
          <cell r="AK11930" t="str">
            <v>Dan Schutzman</v>
          </cell>
        </row>
        <row r="11931">
          <cell r="C11931" t="str">
            <v>S&amp;P_Cost Takeout Due Diligence</v>
          </cell>
          <cell r="AK11931" t="str">
            <v>John McHugh</v>
          </cell>
        </row>
        <row r="11932">
          <cell r="C11932" t="str">
            <v>Pru - GRI - Distributor Domain - Adoption Mgmt Framework</v>
          </cell>
          <cell r="H11932">
            <v>5053691</v>
          </cell>
          <cell r="AK11932" t="str">
            <v>Vivek Natarajan</v>
          </cell>
        </row>
        <row r="11933">
          <cell r="C11933" t="str">
            <v>53 vendor eval</v>
          </cell>
          <cell r="AK11933" t="str">
            <v>Matthew Rodgers</v>
          </cell>
        </row>
        <row r="11934">
          <cell r="C11934" t="str">
            <v>Fixed Income Anaylst</v>
          </cell>
          <cell r="AK11934" t="str">
            <v>Matthew Rodgers</v>
          </cell>
        </row>
        <row r="11935">
          <cell r="C11935" t="str">
            <v>Pru - SA - CTO - IAM Developer</v>
          </cell>
          <cell r="AK11935" t="str">
            <v>Eric Fairchild</v>
          </cell>
        </row>
        <row r="11936">
          <cell r="C11936" t="str">
            <v>Registrations Project BA</v>
          </cell>
          <cell r="AK11936" t="str">
            <v>Matthew Rodgers</v>
          </cell>
        </row>
        <row r="11937">
          <cell r="C11937" t="str">
            <v>IT Budget Management</v>
          </cell>
          <cell r="AK11937" t="str">
            <v>Boris Mallet</v>
          </cell>
        </row>
        <row r="11938">
          <cell r="C11938" t="str">
            <v>Optum Legacy Modernization POC - South Dakota</v>
          </cell>
          <cell r="AK11938" t="str">
            <v>Jason Noran</v>
          </cell>
        </row>
        <row r="11939">
          <cell r="C11939" t="str">
            <v>Asset Management SalesForce Implementation</v>
          </cell>
          <cell r="AK11939" t="str">
            <v>Conor Dowling</v>
          </cell>
        </row>
        <row r="11940">
          <cell r="C11940" t="str">
            <v>Network &amp; Security Engineering</v>
          </cell>
          <cell r="AK11940" t="str">
            <v>Boris Mallet</v>
          </cell>
        </row>
        <row r="11941">
          <cell r="C11941" t="str">
            <v>BMO MDAL - AI Value Acceleration &amp; Enablement</v>
          </cell>
          <cell r="AK11941" t="str">
            <v>Jason Noran</v>
          </cell>
        </row>
        <row r="11942">
          <cell r="C11942" t="str">
            <v>Wintrust GRC Content 2026</v>
          </cell>
          <cell r="AK11942" t="str">
            <v>Gregg Henzel</v>
          </cell>
        </row>
        <row r="11943">
          <cell r="C11943" t="str">
            <v>Watertown SB_Compliance Consulting 2026 Recurring</v>
          </cell>
          <cell r="H11943">
            <v>5054081</v>
          </cell>
          <cell r="AK11943" t="str">
            <v>Eugene Collett</v>
          </cell>
        </row>
        <row r="11944">
          <cell r="C11944" t="str">
            <v>Mutual Bancorp Risk Assessments 2026</v>
          </cell>
          <cell r="H11944">
            <v>5054375</v>
          </cell>
          <cell r="AK11944" t="str">
            <v>Eugene Collett</v>
          </cell>
        </row>
        <row r="11945">
          <cell r="C11945" t="str">
            <v>Security Operations Assessment</v>
          </cell>
          <cell r="AK11945" t="str">
            <v>Boris Mallet</v>
          </cell>
        </row>
        <row r="11946">
          <cell r="C11946" t="str">
            <v>BECU - Marketing Tech Strategy (EXT)</v>
          </cell>
          <cell r="H11946">
            <v>5056930</v>
          </cell>
          <cell r="AK11946" t="str">
            <v>Sophia Cutler</v>
          </cell>
        </row>
        <row r="11947">
          <cell r="C11947" t="str">
            <v>Jefferies - Project Journey Corporate Tech Extension FY262H</v>
          </cell>
          <cell r="AK11947" t="str">
            <v>Imran Parekh</v>
          </cell>
        </row>
        <row r="11948">
          <cell r="C11948" t="str">
            <v>TD Head of KYC - Operations and Regulatory Support</v>
          </cell>
          <cell r="AK11948" t="str">
            <v>Jasmina Hazuria</v>
          </cell>
        </row>
        <row r="11949">
          <cell r="C11949" t="str">
            <v>Customers Bank Regulatory Data Feed 2026</v>
          </cell>
          <cell r="AK11949" t="str">
            <v>Gregg Henzel</v>
          </cell>
        </row>
        <row r="11950">
          <cell r="C11950" t="str">
            <v>CNB - Change-as-a-Service</v>
          </cell>
          <cell r="AK11950" t="str">
            <v>Brian Reed</v>
          </cell>
        </row>
        <row r="11951">
          <cell r="C11951" t="str">
            <v>Santander_Data Dashboard</v>
          </cell>
          <cell r="AK11951" t="str">
            <v>Dana Schwaeber</v>
          </cell>
        </row>
        <row r="11952">
          <cell r="C11952" t="str">
            <v>HNB_CACS Modernization Program Support (Cadence M&amp;A - Collections)</v>
          </cell>
          <cell r="H11952">
            <v>5056561</v>
          </cell>
          <cell r="AK11952" t="str">
            <v>Spencer Feuer</v>
          </cell>
        </row>
        <row r="11953">
          <cell r="C11953" t="str">
            <v>Reg Reporting Dev/BA</v>
          </cell>
          <cell r="AK11953" t="str">
            <v>Boris Mallet</v>
          </cell>
        </row>
        <row r="11954">
          <cell r="C11954" t="str">
            <v>Guggenheim Partners_Treasury Systems</v>
          </cell>
          <cell r="AK11954" t="str">
            <v>Arjun Reddy</v>
          </cell>
        </row>
        <row r="11955">
          <cell r="C11955" t="str">
            <v>IDB_CMS</v>
          </cell>
          <cell r="AK11955" t="str">
            <v>Louvera Walden</v>
          </cell>
        </row>
        <row r="11956">
          <cell r="C11956" t="str">
            <v>Ives Bank - 2026 CMS</v>
          </cell>
          <cell r="AK11956" t="str">
            <v>David Belfer</v>
          </cell>
        </row>
        <row r="11957">
          <cell r="C11957" t="str">
            <v>M&amp;A_Staffing UK Acquisition_TBD US_Ext 5</v>
          </cell>
          <cell r="H11957">
            <v>5054183</v>
          </cell>
          <cell r="AK11957" t="str">
            <v>Thea Smith</v>
          </cell>
        </row>
        <row r="11958">
          <cell r="C11958" t="str">
            <v>Citi Services Vanguard Tech Extension</v>
          </cell>
          <cell r="H11958">
            <v>5057328</v>
          </cell>
          <cell r="AK11958" t="str">
            <v>Ramnish Gupta</v>
          </cell>
        </row>
        <row r="11959">
          <cell r="C11959" t="str">
            <v>Pru PRT Pricing Data Modernization Graph Extension PI1</v>
          </cell>
          <cell r="H11959">
            <v>5056085</v>
          </cell>
          <cell r="AK11959" t="str">
            <v>Emily Clark</v>
          </cell>
        </row>
        <row r="11960">
          <cell r="C11960" t="str">
            <v>Capital One AI Reconciliation POC</v>
          </cell>
          <cell r="AK11960" t="str">
            <v>Amrit Rai</v>
          </cell>
        </row>
        <row r="11961">
          <cell r="C11961" t="str">
            <v>Customers Bank - Reg Data Feed</v>
          </cell>
          <cell r="AK11961" t="str">
            <v>Leah Robinson</v>
          </cell>
        </row>
        <row r="11962">
          <cell r="C11962" t="str">
            <v>PGIM Sr Data Engineer - Fabric</v>
          </cell>
          <cell r="AK11962" t="str">
            <v>Emily Clark</v>
          </cell>
        </row>
        <row r="11963">
          <cell r="C11963" t="str">
            <v>BMO - Marketing Resource Augmentation</v>
          </cell>
          <cell r="AK11963" t="str">
            <v>Mark Mountan</v>
          </cell>
        </row>
        <row r="11964">
          <cell r="C11964" t="str">
            <v>Onyx_PortCo Value Creation</v>
          </cell>
          <cell r="AK11964" t="str">
            <v>John McHugh</v>
          </cell>
        </row>
        <row r="11965">
          <cell r="C11965" t="str">
            <v>Jefferies CFO Expense Management Detailed Design</v>
          </cell>
          <cell r="AK11965" t="str">
            <v>Ervinas Janavicius</v>
          </cell>
        </row>
        <row r="11966">
          <cell r="C11966" t="str">
            <v>MSIM_Reg Reporting PM/TOM Support</v>
          </cell>
          <cell r="H11966">
            <v>5054706</v>
          </cell>
          <cell r="AK11966" t="str">
            <v>Dan Schutzman</v>
          </cell>
        </row>
        <row r="11967">
          <cell r="C11967" t="str">
            <v>Guggenheim Partners_Tech Lead</v>
          </cell>
          <cell r="AK11967" t="str">
            <v>Arjun Reddy</v>
          </cell>
        </row>
        <row r="11968">
          <cell r="C11968" t="str">
            <v>Guggenheim Partners_Rapid AI Prototyping</v>
          </cell>
          <cell r="AK11968" t="str">
            <v>Arjun Reddy</v>
          </cell>
        </row>
        <row r="11969">
          <cell r="C11969" t="str">
            <v>BECU - Marketing Campaign &amp; Offer Audit</v>
          </cell>
          <cell r="AK11969" t="str">
            <v>Mark Mountan</v>
          </cell>
        </row>
        <row r="11970">
          <cell r="C11970" t="str">
            <v>Cyber / Tech Risk Strategy</v>
          </cell>
          <cell r="AK11970" t="str">
            <v>Michael Barry</v>
          </cell>
        </row>
        <row r="11971">
          <cell r="C11971" t="str">
            <v>MSIM_Private Credit Fund Onboarding PM [SC]</v>
          </cell>
          <cell r="AK11971" t="str">
            <v>Dan Schutzman</v>
          </cell>
        </row>
        <row r="11972">
          <cell r="C11972" t="str">
            <v>Antares AI Implementation Partner</v>
          </cell>
          <cell r="AK11972" t="str">
            <v>Nishant Agarwal</v>
          </cell>
        </row>
        <row r="11973">
          <cell r="C11973" t="str">
            <v>FRBNY_Middle Office Trade Processing &amp; Accounting Integration</v>
          </cell>
          <cell r="AK11973" t="str">
            <v>Thanh Le Xuan</v>
          </cell>
        </row>
        <row r="11974">
          <cell r="C11974" t="str">
            <v>Security Awareness Expansion</v>
          </cell>
          <cell r="H11974">
            <v>5053104</v>
          </cell>
          <cell r="AK11974" t="str">
            <v>Danielle Theroux</v>
          </cell>
        </row>
        <row r="11975">
          <cell r="C11975" t="str">
            <v>THER_PMO Support - ES</v>
          </cell>
          <cell r="AK11975" t="str">
            <v>Erika Schmitt</v>
          </cell>
        </row>
        <row r="11976">
          <cell r="C11976" t="str">
            <v>Optum Insight SGS - Certification Requirements</v>
          </cell>
          <cell r="AK11976" t="str">
            <v>Jason Noran</v>
          </cell>
        </row>
        <row r="11977">
          <cell r="C11977" t="str">
            <v>Optum Insight SGS Client Portal Migration</v>
          </cell>
          <cell r="AK11977" t="str">
            <v>Jason Noran</v>
          </cell>
        </row>
        <row r="11978">
          <cell r="C11978" t="str">
            <v>AI Implementation</v>
          </cell>
          <cell r="AK11978" t="str">
            <v>Steven D'Angelo</v>
          </cell>
        </row>
        <row r="11979">
          <cell r="C11979" t="str">
            <v>Janney_TradEx Project</v>
          </cell>
          <cell r="AK11979" t="str">
            <v>Apsara Srivats</v>
          </cell>
        </row>
        <row r="11980">
          <cell r="C11980" t="str">
            <v>2U - Day 2 Launch Support</v>
          </cell>
          <cell r="AK11980" t="str">
            <v>Adam Polson</v>
          </cell>
        </row>
        <row r="11981">
          <cell r="C11981" t="str">
            <v>AVAN_BA Genie Pilot</v>
          </cell>
          <cell r="AK11981" t="str">
            <v>Mayank Pandey</v>
          </cell>
        </row>
        <row r="11982">
          <cell r="C11982" t="str">
            <v>Customers Bank VDD Recurring Auto Renew Apr</v>
          </cell>
          <cell r="H11982">
            <v>5052777</v>
          </cell>
          <cell r="AK11982" t="str">
            <v>Gregg Henzel</v>
          </cell>
        </row>
        <row r="11983">
          <cell r="C11983" t="str">
            <v>UBS RIA Market Entry Evaluation</v>
          </cell>
          <cell r="AK11983" t="str">
            <v>Matthew Berkowitz</v>
          </cell>
        </row>
        <row r="11984">
          <cell r="C11984" t="str">
            <v>AVAN_OMS Support</v>
          </cell>
          <cell r="AK11984" t="str">
            <v>Mary Lehto</v>
          </cell>
        </row>
        <row r="11985">
          <cell r="C11985" t="str">
            <v>MS_ISG_ETH FY27 Q1</v>
          </cell>
          <cell r="H11985">
            <v>5056057</v>
          </cell>
          <cell r="AK11985" t="str">
            <v>Csaba Biro</v>
          </cell>
        </row>
        <row r="11986">
          <cell r="C11986" t="str">
            <v>KeyBank Financial Crimes Compliance Support</v>
          </cell>
          <cell r="AK11986" t="str">
            <v>Daniel Outcalt</v>
          </cell>
        </row>
        <row r="11987">
          <cell r="C11987" t="str">
            <v>Mastercard RFI for Mastercard Advisors</v>
          </cell>
          <cell r="AK11987" t="str">
            <v>Thea Smith</v>
          </cell>
        </row>
        <row r="11988">
          <cell r="C11988" t="str">
            <v>Popular 2026 Assessment of Mortgage &amp; Small Business Lending Data for Regulatory Reporting Accuracy</v>
          </cell>
          <cell r="H11988">
            <v>5054447</v>
          </cell>
          <cell r="AK11988" t="str">
            <v>Susan Stevenson</v>
          </cell>
        </row>
        <row r="11989">
          <cell r="C11989" t="str">
            <v>Trust Compliance Review</v>
          </cell>
          <cell r="H11989">
            <v>5055349</v>
          </cell>
          <cell r="AK11989" t="str">
            <v>David Stalnaker</v>
          </cell>
        </row>
        <row r="11990">
          <cell r="C11990" t="str">
            <v>Mortgage Pipeline Quality Assurance</v>
          </cell>
          <cell r="AK11990" t="str">
            <v>Michael Austin</v>
          </cell>
        </row>
        <row r="11991">
          <cell r="C11991" t="str">
            <v>State Street - Cloud Operating Model and Migration Strategy</v>
          </cell>
          <cell r="AK11991" t="str">
            <v>Owen Priestley</v>
          </cell>
        </row>
        <row r="11992">
          <cell r="C11992" t="str">
            <v>Schwab - Wealth &amp; Advice Solutions</v>
          </cell>
          <cell r="AK11992" t="str">
            <v>Ian Guidash</v>
          </cell>
        </row>
        <row r="11993">
          <cell r="C11993" t="str">
            <v>MS_HR Data BA FY27 Q1</v>
          </cell>
          <cell r="H11993">
            <v>5054735</v>
          </cell>
          <cell r="AK11993" t="str">
            <v>Kshitij Zaveri</v>
          </cell>
        </row>
        <row r="11994">
          <cell r="C11994" t="str">
            <v>Backfill Role for M.Porter [SC]</v>
          </cell>
          <cell r="H11994">
            <v>5054733</v>
          </cell>
          <cell r="AK11994" t="str">
            <v>Dan Schutzman</v>
          </cell>
        </row>
        <row r="11995">
          <cell r="C11995" t="str">
            <v>S&amp;P_Cost Takeout Portfolio Mgmt</v>
          </cell>
          <cell r="AK11995" t="str">
            <v>John McHugh</v>
          </cell>
        </row>
        <row r="11996">
          <cell r="C11996" t="str">
            <v>SEIU775 Research/Innovation Data Strategy</v>
          </cell>
          <cell r="AK11996" t="str">
            <v>Eric Fairchild</v>
          </cell>
        </row>
        <row r="11997">
          <cell r="C11997" t="str">
            <v>Mastercard_ Gen AI</v>
          </cell>
          <cell r="AK11997" t="str">
            <v>Thea Smith</v>
          </cell>
        </row>
        <row r="11998">
          <cell r="C11998" t="str">
            <v>Legal and Compliance Extension - AA</v>
          </cell>
          <cell r="H11998">
            <v>5048320</v>
          </cell>
          <cell r="AK11998" t="str">
            <v>Matthew Rodgers</v>
          </cell>
        </row>
        <row r="11999">
          <cell r="C11999" t="str">
            <v>MSWM_Institutional Platforms PO Support [Quick Bid]</v>
          </cell>
          <cell r="AK11999" t="str">
            <v>Dan Schutzman</v>
          </cell>
        </row>
        <row r="12000">
          <cell r="C12000" t="str">
            <v>Truist_SOW#31_2026 Extension</v>
          </cell>
          <cell r="H12000">
            <v>5056221</v>
          </cell>
          <cell r="AK12000" t="str">
            <v>Brian Reed</v>
          </cell>
        </row>
        <row r="12001">
          <cell r="C12001" t="str">
            <v>Preferred Bank - Vendor Mgmt Audit 2026</v>
          </cell>
          <cell r="AK12001" t="str">
            <v>Mary Louise Radley</v>
          </cell>
        </row>
        <row r="12002">
          <cell r="C12002" t="str">
            <v>Pru - GRI - Agile Delivery Manager</v>
          </cell>
          <cell r="AK12002" t="str">
            <v>Lauren Somma</v>
          </cell>
        </row>
        <row r="12003">
          <cell r="C12003" t="str">
            <v>PureFacts Billing Manager Definition</v>
          </cell>
          <cell r="AK12003" t="str">
            <v>Matthew Berkowitz</v>
          </cell>
        </row>
        <row r="12004">
          <cell r="C12004" t="str">
            <v>BMO SARS BSA AI</v>
          </cell>
          <cell r="AK12004" t="str">
            <v>Chinmoy Bhatiya</v>
          </cell>
        </row>
        <row r="12005">
          <cell r="C12005" t="str">
            <v>Pru - GRI - LARS Extension (Mar-Sep) 2026</v>
          </cell>
          <cell r="H12005">
            <v>5055497</v>
          </cell>
          <cell r="AK12005" t="str">
            <v>Zach Gould</v>
          </cell>
        </row>
        <row r="12006">
          <cell r="C12006" t="str">
            <v>Pru - GRI - Core Domain Team Extension (Mar-Sep) 2026</v>
          </cell>
          <cell r="H12006">
            <v>5053691</v>
          </cell>
          <cell r="AK12006" t="str">
            <v>Vivek Natarajan</v>
          </cell>
        </row>
        <row r="12007">
          <cell r="C12007" t="str">
            <v>Murex Risk BA</v>
          </cell>
          <cell r="AK12007" t="str">
            <v>Conor Dowling</v>
          </cell>
        </row>
        <row r="12008">
          <cell r="C12008" t="str">
            <v>RECURRING_PSB&amp;T_CMS Optimizer 2026</v>
          </cell>
          <cell r="H12008">
            <v>5048994</v>
          </cell>
          <cell r="AK12008" t="str">
            <v>Gail Rassler</v>
          </cell>
        </row>
        <row r="12009">
          <cell r="C12009" t="str">
            <v>Cardone Ventures GCC BOT</v>
          </cell>
          <cell r="AK12009" t="str">
            <v>Emily Glaessner</v>
          </cell>
        </row>
        <row r="12010">
          <cell r="C12010" t="str">
            <v>Pru - GRI - Tech Delivery Excellence Team (ILI &amp; Domains)</v>
          </cell>
          <cell r="H12010">
            <v>5056521</v>
          </cell>
          <cell r="AK12010" t="str">
            <v>Emily Grochowski</v>
          </cell>
        </row>
        <row r="12011">
          <cell r="C12011" t="str">
            <v>BMO - UCMP Implementation</v>
          </cell>
          <cell r="AK12011" t="str">
            <v>Mark Mountan</v>
          </cell>
        </row>
        <row r="12012">
          <cell r="C12012" t="str">
            <v>Banco do Brasil (BB Americas) - Fair Lending Services</v>
          </cell>
          <cell r="AK12012" t="str">
            <v>Leigh Tribou</v>
          </cell>
        </row>
        <row r="12013">
          <cell r="C12013" t="str">
            <v>Citi- Reference Data Utility (Ari Marcus) Jan- Mar 26(US Roles)</v>
          </cell>
          <cell r="AK12013" t="str">
            <v>George Georgiou</v>
          </cell>
        </row>
        <row r="12014">
          <cell r="C12014" t="str">
            <v>HR Process Flow BA</v>
          </cell>
          <cell r="AK12014" t="str">
            <v>Conor Dowling</v>
          </cell>
        </row>
        <row r="12015">
          <cell r="C12015" t="str">
            <v>India Consulting Services - Build, Operate, Transfer (BOT)</v>
          </cell>
          <cell r="AK12015" t="str">
            <v>Chris Johnston</v>
          </cell>
        </row>
        <row r="12016">
          <cell r="C12016" t="str">
            <v>FCB_SDLC PM Q2 Extension</v>
          </cell>
          <cell r="H12016">
            <v>5056803</v>
          </cell>
          <cell r="AK12016" t="str">
            <v>Michael Groberman</v>
          </cell>
        </row>
        <row r="12017">
          <cell r="C12017" t="str">
            <v>MF - RFP Data Modernization Program</v>
          </cell>
          <cell r="AK12017" t="str">
            <v>Raj Narayan</v>
          </cell>
        </row>
        <row r="12018">
          <cell r="C12018" t="str">
            <v>Truist_SOW#TBD_Policy_Adherence</v>
          </cell>
          <cell r="AK12018" t="str">
            <v>Keshav Khanna</v>
          </cell>
        </row>
        <row r="12019">
          <cell r="C12019" t="str">
            <v>USAA_Cyber Program Assessment</v>
          </cell>
          <cell r="AK12019" t="str">
            <v>Ridha Mesli</v>
          </cell>
        </row>
        <row r="12020">
          <cell r="C12020" t="str">
            <v>MS_WM Business FY27 Q1</v>
          </cell>
          <cell r="H12020">
            <v>5054733</v>
          </cell>
          <cell r="AK12020" t="str">
            <v>Dan Schutzman</v>
          </cell>
        </row>
        <row r="12021">
          <cell r="C12021" t="str">
            <v>Navy- TRID Process Improvement Support</v>
          </cell>
          <cell r="AK12021" t="str">
            <v>Thuy Whitaker</v>
          </cell>
        </row>
        <row r="12022">
          <cell r="C12022" t="str">
            <v>Custody Ontology (US Roles) (Steve Taylor)</v>
          </cell>
          <cell r="AK12022" t="str">
            <v>Jak Hart</v>
          </cell>
        </row>
        <row r="12023">
          <cell r="C12023" t="str">
            <v>Broadway Bk - CMS Targeted Reviews</v>
          </cell>
          <cell r="AK12023" t="str">
            <v>Eugene Collett</v>
          </cell>
        </row>
        <row r="12024">
          <cell r="C12024" t="str">
            <v>MS_WM Technology FY27 Q1</v>
          </cell>
          <cell r="H12024">
            <v>5054717</v>
          </cell>
          <cell r="AK12024" t="str">
            <v>Dan Schutzman</v>
          </cell>
        </row>
        <row r="12025">
          <cell r="C12025" t="str">
            <v>82943</v>
          </cell>
          <cell r="H12025">
            <v>5055875</v>
          </cell>
          <cell r="AK12025" t="str">
            <v>Susan Stevenson</v>
          </cell>
        </row>
        <row r="12026">
          <cell r="C12026" t="str">
            <v>Arcus - EApp Integration</v>
          </cell>
          <cell r="AK12026" t="str">
            <v>Eric Fairchild</v>
          </cell>
        </row>
        <row r="12027">
          <cell r="C12027" t="str">
            <v>Citi - EDO Data Exceptions Extension Apr'26- Jun'26 (Gulsh Mandair) (US Roles - Early Roll-Off)</v>
          </cell>
          <cell r="H12027">
            <v>5056566</v>
          </cell>
          <cell r="AK12027" t="str">
            <v>Ifeoluwa Ajelabi</v>
          </cell>
        </row>
        <row r="12028">
          <cell r="C12028" t="str">
            <v>MS_MSIM FY27 Q1</v>
          </cell>
          <cell r="H12028">
            <v>5054706</v>
          </cell>
          <cell r="AK12028" t="str">
            <v>Dan Schutzman</v>
          </cell>
        </row>
        <row r="12029">
          <cell r="C12029" t="str">
            <v>Citi - EDO Data Exceptions Extension Apr26- Jun26 (Chris C) (US Roles)</v>
          </cell>
          <cell r="H12029">
            <v>5056566</v>
          </cell>
          <cell r="AK12029" t="str">
            <v>Ifeoluwa Ajelabi</v>
          </cell>
        </row>
        <row r="12030">
          <cell r="C12030" t="str">
            <v>ICBC - FLRA and FLSA</v>
          </cell>
          <cell r="AK12030" t="str">
            <v>Elanna Kooistra</v>
          </cell>
        </row>
        <row r="12031">
          <cell r="C12031" t="str">
            <v>Truist_SOW#21 CO#3 Cyber Risk Engine Extension 2026</v>
          </cell>
          <cell r="H12031">
            <v>5053731</v>
          </cell>
          <cell r="AK12031" t="str">
            <v>Christopher Tecchio</v>
          </cell>
        </row>
        <row r="12032">
          <cell r="C12032" t="str">
            <v>Commerz Bank Cyber Security</v>
          </cell>
          <cell r="AK12032" t="str">
            <v>Michael Barry</v>
          </cell>
        </row>
        <row r="12033">
          <cell r="C12033" t="str">
            <v>Hanover Bank Model Validation</v>
          </cell>
          <cell r="AK12033" t="str">
            <v>Daniel Outcalt</v>
          </cell>
        </row>
        <row r="12034">
          <cell r="C12034" t="str">
            <v>MS_ISG Operations FY27 Q1</v>
          </cell>
          <cell r="H12034">
            <v>5054762</v>
          </cell>
          <cell r="AK12034" t="str">
            <v>Csaba Biro</v>
          </cell>
        </row>
        <row r="12035">
          <cell r="C12035" t="str">
            <v>MS_Data FY27 Q1</v>
          </cell>
          <cell r="H12035">
            <v>5054704</v>
          </cell>
          <cell r="AK12035" t="str">
            <v>Dan Schutzman</v>
          </cell>
        </row>
        <row r="12036">
          <cell r="C12036" t="str">
            <v>MS_ISG US Legacy Mod Ops India Q1</v>
          </cell>
          <cell r="H12036">
            <v>5055981</v>
          </cell>
          <cell r="AK12036" t="str">
            <v>Csaba Biro</v>
          </cell>
        </row>
        <row r="12037">
          <cell r="C12037" t="str">
            <v>Fidelity - Marketing - AI Capabilities</v>
          </cell>
          <cell r="AK12037" t="str">
            <v>Eric Fairchild</v>
          </cell>
        </row>
        <row r="12038">
          <cell r="C12038" t="str">
            <v>Lazard - Security Data Lake</v>
          </cell>
          <cell r="AK12038" t="str">
            <v>Andy Soodek</v>
          </cell>
        </row>
        <row r="12039">
          <cell r="C12039" t="str">
            <v>Citi - EDO Data Marketplace (US Roles)</v>
          </cell>
          <cell r="AK12039" t="str">
            <v>Jak Hart</v>
          </cell>
        </row>
        <row r="12040">
          <cell r="C12040" t="str">
            <v>Market Maker clearing initiative-PM</v>
          </cell>
          <cell r="H12040">
            <v>5048255</v>
          </cell>
          <cell r="AK12040" t="str">
            <v>Stephanie Colling</v>
          </cell>
        </row>
        <row r="12041">
          <cell r="C12041" t="str">
            <v>MS_TPPM Business FY27 Q1</v>
          </cell>
          <cell r="H12041">
            <v>5054716</v>
          </cell>
          <cell r="AK12041" t="str">
            <v>Dan Schutzman</v>
          </cell>
        </row>
        <row r="12042">
          <cell r="C12042" t="str">
            <v>Ridgewood Savings Bank - HMDA FL CRA FY27</v>
          </cell>
          <cell r="H12042">
            <v>5057052</v>
          </cell>
          <cell r="AK12042" t="str">
            <v>Leigh Tribou</v>
          </cell>
        </row>
        <row r="12043">
          <cell r="C12043" t="str">
            <v>MS_ISG Bangalore FY27 Q1</v>
          </cell>
          <cell r="H12043">
            <v>5054681</v>
          </cell>
          <cell r="AK12043" t="str">
            <v>Csaba Biro</v>
          </cell>
        </row>
        <row r="12044">
          <cell r="C12044" t="str">
            <v>MS_ISG Mumbai FY27 Q1</v>
          </cell>
          <cell r="H12044">
            <v>5054682</v>
          </cell>
          <cell r="AK12044" t="str">
            <v>Csaba Biro</v>
          </cell>
        </row>
        <row r="12045">
          <cell r="C12045" t="str">
            <v>TFIN_2026 Model Validation Support</v>
          </cell>
          <cell r="AK12045" t="str">
            <v>Gregg Henzel</v>
          </cell>
        </row>
        <row r="12046">
          <cell r="C12046" t="str">
            <v>MS_WM Operations FY27 Q1</v>
          </cell>
          <cell r="H12046">
            <v>5054738</v>
          </cell>
          <cell r="AK12046" t="str">
            <v>Dan Schutzman</v>
          </cell>
        </row>
        <row r="12047">
          <cell r="C12047" t="str">
            <v>Vulnerability Managment Enhancements</v>
          </cell>
          <cell r="AK12047" t="str">
            <v>John Hibbs</v>
          </cell>
        </row>
        <row r="12048">
          <cell r="C12048" t="str">
            <v>BMO - Wealth Management Hyper-Personalization</v>
          </cell>
          <cell r="AK12048" t="str">
            <v>Mark Mountan</v>
          </cell>
        </row>
        <row r="12049">
          <cell r="C12049" t="str">
            <v>Jeff Cyber resilience and MVO Extension</v>
          </cell>
          <cell r="H12049">
            <v>5057474</v>
          </cell>
          <cell r="AK12049" t="str">
            <v>Hayden Phung</v>
          </cell>
        </row>
        <row r="12050">
          <cell r="C12050" t="str">
            <v>NFCU Lending Support</v>
          </cell>
          <cell r="AK12050" t="str">
            <v>John Geertsema</v>
          </cell>
        </row>
        <row r="12051">
          <cell r="C12051" t="str">
            <v>Carlyle Cyber Assessment Support</v>
          </cell>
          <cell r="AK12051" t="str">
            <v>Keshav Khanna</v>
          </cell>
        </row>
        <row r="12052">
          <cell r="C12052" t="str">
            <v>MS_Data Big ID US FY27</v>
          </cell>
          <cell r="H12052">
            <v>5054996</v>
          </cell>
          <cell r="AK12052" t="str">
            <v>Paul Laurent</v>
          </cell>
        </row>
        <row r="12053">
          <cell r="C12053" t="str">
            <v>Optum Insight - Provider Management Product Redesign</v>
          </cell>
          <cell r="AK12053" t="str">
            <v>Jason Noran</v>
          </cell>
        </row>
        <row r="12054">
          <cell r="C12054" t="str">
            <v>S&amp;P_Cappitech India support FY27</v>
          </cell>
          <cell r="AK12054" t="str">
            <v>Ruby Cherian</v>
          </cell>
        </row>
        <row r="12055">
          <cell r="C12055" t="str">
            <v>New Millennium Bank</v>
          </cell>
          <cell r="AK12055" t="str">
            <v>Elanna Kooistra</v>
          </cell>
        </row>
        <row r="12056">
          <cell r="C12056" t="str">
            <v>Truist_SOW#TBD_DTCC_Clearing/Settlements_Change</v>
          </cell>
          <cell r="AK12056" t="str">
            <v>Salim Modi</v>
          </cell>
        </row>
        <row r="12057">
          <cell r="C12057" t="str">
            <v>CNB_Risk  - PMO Support for SOR</v>
          </cell>
          <cell r="AK12057" t="str">
            <v>Carl Repoli</v>
          </cell>
        </row>
        <row r="12058">
          <cell r="C12058" t="str">
            <v>AML Adverse News Short Term Project</v>
          </cell>
          <cell r="AK12058" t="str">
            <v>Chelsea Mattias</v>
          </cell>
        </row>
        <row r="12059">
          <cell r="C12059" t="str">
            <v>MS_TPPM Bangalore Expansion [6 Roles]</v>
          </cell>
          <cell r="H12059">
            <v>5056086</v>
          </cell>
          <cell r="AK12059" t="str">
            <v>Dan Schutzman</v>
          </cell>
        </row>
        <row r="12060">
          <cell r="C12060" t="str">
            <v>Lazard - AI-Enabled TPRM</v>
          </cell>
          <cell r="AK12060" t="str">
            <v>Vanessa Movasseghi</v>
          </cell>
        </row>
        <row r="12061">
          <cell r="C12061" t="str">
            <v>BOC- Data Feed 2026</v>
          </cell>
          <cell r="AK12061" t="str">
            <v>Leah Robinson</v>
          </cell>
        </row>
        <row r="12062">
          <cell r="C12062" t="str">
            <v>HSBC-WSB-GPS - Commercial Card Portfolio 2026 Strategic Initiatives BA Implementation Resource</v>
          </cell>
          <cell r="H12062">
            <v>5057076</v>
          </cell>
          <cell r="AK12062" t="str">
            <v>James Kane</v>
          </cell>
        </row>
        <row r="12063">
          <cell r="C12063" t="str">
            <v>Recurring GRC Compliance Content</v>
          </cell>
          <cell r="H12063">
            <v>5047308</v>
          </cell>
          <cell r="AK12063" t="str">
            <v>Gregg Henzel</v>
          </cell>
        </row>
        <row r="12064">
          <cell r="C12064" t="str">
            <v>Pru - GRI - Tech Delivery Excellence Team Phase 2 (BU 3)</v>
          </cell>
          <cell r="AK12064" t="str">
            <v>Emily Grochowski</v>
          </cell>
        </row>
        <row r="12065">
          <cell r="C12065" t="str">
            <v>HNB_CSC AI Modernization Roadmap Refinement and 2026 Mobilization</v>
          </cell>
          <cell r="AK12065" t="str">
            <v>Mayank Pandey</v>
          </cell>
        </row>
        <row r="12066">
          <cell r="C12066" t="str">
            <v>HSBC-WSB-GPS Commercial Card Portfolio Strategic Initiatives 2026 BA for Visa CAD Payment</v>
          </cell>
          <cell r="H12066">
            <v>5057076</v>
          </cell>
          <cell r="AK12066" t="str">
            <v>James Kane</v>
          </cell>
        </row>
        <row r="12067">
          <cell r="C12067" t="str">
            <v>Wealth Mgmt GCO BA</v>
          </cell>
          <cell r="AK12067" t="str">
            <v>Shruti Vashist</v>
          </cell>
        </row>
        <row r="12068">
          <cell r="C12068" t="str">
            <v>FCB Test Data Management Staff Augmentation - Delphix</v>
          </cell>
          <cell r="AK12068" t="str">
            <v>Ramnish Gupta</v>
          </cell>
        </row>
        <row r="12069">
          <cell r="C12069" t="str">
            <v>Jefferies - JDOE Quality Engineering Lead (JSS)</v>
          </cell>
          <cell r="AK12069" t="str">
            <v>John McCaffrey</v>
          </cell>
        </row>
        <row r="12070">
          <cell r="C12070" t="str">
            <v>Empire State Bank NA - CRA Services and CRA Consulting - RECURRING</v>
          </cell>
          <cell r="H12070">
            <v>5054672</v>
          </cell>
          <cell r="AK12070" t="str">
            <v>Elanna Kooistra</v>
          </cell>
        </row>
        <row r="12071">
          <cell r="C12071" t="str">
            <v>Computershare - Ops Risk Operating Model (placeholder)</v>
          </cell>
          <cell r="AK12071" t="str">
            <v>Will Marle</v>
          </cell>
        </row>
        <row r="12072">
          <cell r="C12072" t="str">
            <v>DB Corporate Bank PM- Cary</v>
          </cell>
          <cell r="AK12072" t="str">
            <v>Ruby Cherian</v>
          </cell>
        </row>
        <row r="12073">
          <cell r="C12073" t="str">
            <v>Pinnacle | Synovus Merger</v>
          </cell>
          <cell r="AK12073" t="str">
            <v>Dana Schwaeber</v>
          </cell>
        </row>
        <row r="12074">
          <cell r="C12074" t="str">
            <v>Bank Hapoalim - CD Loan Qualification</v>
          </cell>
          <cell r="AK12074" t="str">
            <v>Elanna Kooistra</v>
          </cell>
        </row>
        <row r="12075">
          <cell r="C12075" t="str">
            <v>HSBC-GFP-DAT DAO-Data Controls Automation/AI POC</v>
          </cell>
          <cell r="AK12075" t="str">
            <v>Parul Chowdhry</v>
          </cell>
        </row>
        <row r="12076">
          <cell r="C12076" t="str">
            <v>Popular _ MiBanco Q1 Ext</v>
          </cell>
          <cell r="AK12076" t="str">
            <v>Eugene Collett</v>
          </cell>
        </row>
        <row r="12077">
          <cell r="C12077" t="str">
            <v>ALZ VS10 Conversion Extension</v>
          </cell>
          <cell r="H12077">
            <v>5051615</v>
          </cell>
          <cell r="AK12077" t="str">
            <v>Danielle Lutkus</v>
          </cell>
        </row>
        <row r="12078">
          <cell r="C12078" t="str">
            <v>Data Science Governance Framework &amp; TOM</v>
          </cell>
          <cell r="AK12078" t="str">
            <v>Andy Soodek</v>
          </cell>
        </row>
        <row r="12079">
          <cell r="C12079" t="str">
            <v>Optum Insight - Customer AI Consulting Support</v>
          </cell>
          <cell r="AK12079" t="str">
            <v>Jason Noran</v>
          </cell>
        </row>
        <row r="12080">
          <cell r="C12080" t="str">
            <v>Pru PRT Fabric Data Engineering</v>
          </cell>
          <cell r="AK12080" t="str">
            <v>Emily Clark</v>
          </cell>
        </row>
        <row r="12081">
          <cell r="C12081" t="str">
            <v>Pru - DMN - Distributor Operations UI</v>
          </cell>
          <cell r="H12081">
            <v>5056766</v>
          </cell>
          <cell r="AK12081" t="str">
            <v>Lauren Somma</v>
          </cell>
        </row>
        <row r="12082">
          <cell r="C12082" t="str">
            <v>FrMc_EO&amp;T - Analyst Role Ext</v>
          </cell>
          <cell r="H12082">
            <v>5052346</v>
          </cell>
          <cell r="AK12082" t="str">
            <v>Kalkidan Tedla</v>
          </cell>
        </row>
        <row r="12083">
          <cell r="C12083" t="str">
            <v>Identity and Access Management Enhancements</v>
          </cell>
          <cell r="AK12083" t="str">
            <v>Boris Mallet</v>
          </cell>
        </row>
        <row r="12084">
          <cell r="C12084" t="str">
            <v>GRC Content Accelrators</v>
          </cell>
          <cell r="AK12084" t="str">
            <v>Allan Cuttle</v>
          </cell>
        </row>
        <row r="12085">
          <cell r="C12085" t="str">
            <v>Vendavo - Cookie Compliance Assessment</v>
          </cell>
          <cell r="AK12085" t="str">
            <v>Kasey Pukys</v>
          </cell>
        </row>
        <row r="12086">
          <cell r="C12086" t="str">
            <v>Equities FO Tech PM BA Support</v>
          </cell>
          <cell r="H12086">
            <v>5049364</v>
          </cell>
          <cell r="AK12086" t="str">
            <v>Sri Nonabur Srinivasamurthy</v>
          </cell>
        </row>
        <row r="12087">
          <cell r="C12087" t="str">
            <v>Credit Risk Mgmt.</v>
          </cell>
          <cell r="AK12087" t="str">
            <v>Matthew Rodgers</v>
          </cell>
        </row>
        <row r="12088">
          <cell r="C12088" t="str">
            <v>USPB AI &amp; Data 2026 BOW (Char Suter) (US)</v>
          </cell>
          <cell r="AK12088" t="str">
            <v>Helen Needham</v>
          </cell>
        </row>
        <row r="12089">
          <cell r="C12089" t="str">
            <v>OceansFirst_Bank Modernization</v>
          </cell>
          <cell r="AK12089" t="str">
            <v>James Kane</v>
          </cell>
        </row>
        <row r="12090">
          <cell r="C12090" t="str">
            <v>JPMC - Marketing discussion</v>
          </cell>
          <cell r="AK12090" t="str">
            <v>Allison Duffee</v>
          </cell>
        </row>
        <row r="12091">
          <cell r="C12091" t="str">
            <v>University of Kentucky Federal Credit Union</v>
          </cell>
          <cell r="AK12091" t="str">
            <v>Diane Banks</v>
          </cell>
        </row>
        <row r="12092">
          <cell r="C12092" t="str">
            <v>Alamerica Bank_RAS</v>
          </cell>
          <cell r="AK12092" t="str">
            <v>Diane Banks</v>
          </cell>
        </row>
        <row r="12093">
          <cell r="C12093" t="str">
            <v>EO&amp;T- Apian (SA) Role Needs</v>
          </cell>
          <cell r="AK12093" t="str">
            <v>Kalkidan Tedla</v>
          </cell>
        </row>
        <row r="12094">
          <cell r="C12094" t="str">
            <v>Wealth - Supervision Product Owners</v>
          </cell>
          <cell r="AK12094" t="str">
            <v>Apsara Srivats</v>
          </cell>
        </row>
        <row r="12095">
          <cell r="C12095" t="str">
            <v>Atlantic Union Bank_RAS</v>
          </cell>
          <cell r="AK12095" t="str">
            <v>Diane Banks</v>
          </cell>
        </row>
        <row r="12096">
          <cell r="C12096" t="str">
            <v>BNY Data</v>
          </cell>
          <cell r="AK12096" t="str">
            <v>Bhavik Domadia</v>
          </cell>
        </row>
        <row r="12097">
          <cell r="C12097" t="str">
            <v>Glacier Bank-EWCRA</v>
          </cell>
          <cell r="AK12097" t="str">
            <v>Allan Cuttle</v>
          </cell>
        </row>
        <row r="12098">
          <cell r="C12098" t="str">
            <v>TBLRC Annual Exam of MobiLoans</v>
          </cell>
          <cell r="AK12098" t="str">
            <v>Brian Phillips</v>
          </cell>
        </row>
        <row r="12099">
          <cell r="C12099" t="str">
            <v>Truist  Equity Self Clearing RFP</v>
          </cell>
          <cell r="AK12099" t="str">
            <v>Salim Modi</v>
          </cell>
        </row>
        <row r="12100">
          <cell r="C12100" t="str">
            <v>State Banking Requirements Monitoring and Content Build-out</v>
          </cell>
          <cell r="AK12100" t="str">
            <v>Gregg Henzel</v>
          </cell>
        </row>
        <row r="12101">
          <cell r="C12101" t="str">
            <v>PureFacts Insights New Product Development</v>
          </cell>
          <cell r="AK12101" t="str">
            <v>Phil Kerkel</v>
          </cell>
        </row>
        <row r="12102">
          <cell r="C12102" t="str">
            <v>Wintrust_ Bank modernization</v>
          </cell>
          <cell r="AK12102" t="str">
            <v>Kevin Demeter</v>
          </cell>
        </row>
        <row r="12103">
          <cell r="C12103" t="str">
            <v>MidFirst_Bank modernization</v>
          </cell>
          <cell r="AK12103" t="str">
            <v>Kevin Demeter</v>
          </cell>
        </row>
        <row r="12104">
          <cell r="C12104" t="str">
            <v>TowneBank_bank modernization</v>
          </cell>
          <cell r="AK12104" t="str">
            <v>Kevin Demeter</v>
          </cell>
        </row>
        <row r="12105">
          <cell r="C12105" t="str">
            <v>FCB_Capital Mkts Operations_TOM Phase 1</v>
          </cell>
          <cell r="AK12105" t="str">
            <v>Conor Dowling</v>
          </cell>
        </row>
        <row r="12106">
          <cell r="C12106" t="str">
            <v>BNY Marketing</v>
          </cell>
          <cell r="AK12106" t="str">
            <v>Bhavik Domadia</v>
          </cell>
        </row>
        <row r="12107">
          <cell r="C12107" t="str">
            <v>Cyber Security AI Use Cases</v>
          </cell>
          <cell r="AK12107" t="str">
            <v>Alexandra Dorn</v>
          </cell>
        </row>
        <row r="12108">
          <cell r="C12108" t="str">
            <v>CISO TOM Phase 2 Detailed Design</v>
          </cell>
          <cell r="AK12108" t="str">
            <v>Ervinas Janavicius</v>
          </cell>
        </row>
        <row r="12109">
          <cell r="C12109" t="str">
            <v>Bread Procurement alignment</v>
          </cell>
          <cell r="AK12109" t="str">
            <v>Brian Reed</v>
          </cell>
        </row>
        <row r="12110">
          <cell r="C12110" t="str">
            <v>Recurring MSB CMS 2026</v>
          </cell>
          <cell r="AK12110" t="str">
            <v>David Stalnaker</v>
          </cell>
        </row>
        <row r="12111">
          <cell r="C12111" t="str">
            <v>Western Alliance_Bank modernization</v>
          </cell>
          <cell r="AK12111" t="str">
            <v>Kevin Demeter</v>
          </cell>
        </row>
        <row r="12112">
          <cell r="C12112" t="str">
            <v>BX_Engineering Pilot</v>
          </cell>
          <cell r="AK12112" t="str">
            <v>Gerhardt Scriven</v>
          </cell>
        </row>
        <row r="12113">
          <cell r="C12113" t="str">
            <v>Capital One AI KYC Onboarding Automation</v>
          </cell>
          <cell r="AK12113" t="str">
            <v>Daniel Outcalt</v>
          </cell>
        </row>
        <row r="12114">
          <cell r="C12114" t="str">
            <v>US TD_CCUL FLoD_Risk &amp; Controls</v>
          </cell>
          <cell r="AK12114" t="str">
            <v>John Geertsema</v>
          </cell>
        </row>
        <row r="12115">
          <cell r="C12115" t="str">
            <v>Popular_Interim Compliance Support</v>
          </cell>
          <cell r="AK12115" t="str">
            <v>Eugene Collett</v>
          </cell>
        </row>
        <row r="12116">
          <cell r="C12116" t="str">
            <v>Farm Credit Financial Partners - GRC Implementation and Support</v>
          </cell>
          <cell r="AK12116" t="str">
            <v>Gregg Henzel</v>
          </cell>
        </row>
        <row r="12117">
          <cell r="C12117" t="str">
            <v>PureFacts UX/UI Design Help</v>
          </cell>
          <cell r="AK12117" t="str">
            <v>Michael Porter</v>
          </cell>
        </row>
        <row r="12118">
          <cell r="C12118" t="str">
            <v>BMO - Change Strategy Target Operating Model</v>
          </cell>
          <cell r="AK12118" t="str">
            <v>Mark Mountan</v>
          </cell>
        </row>
        <row r="12119">
          <cell r="C12119" t="str">
            <v>TD US _ Risk Modelling Mgmt</v>
          </cell>
          <cell r="AK12119" t="str">
            <v>Aimen Khan</v>
          </cell>
        </row>
        <row r="12120">
          <cell r="C12120" t="str">
            <v>Regulatory Risk PM &amp; COO Support</v>
          </cell>
          <cell r="AK12120" t="str">
            <v>Julia Simmons</v>
          </cell>
        </row>
        <row r="12121">
          <cell r="C12121" t="str">
            <v>MMC Ai-Ops Optimization</v>
          </cell>
          <cell r="AK12121" t="str">
            <v>Michelle Rosen</v>
          </cell>
        </row>
        <row r="12122">
          <cell r="C12122" t="str">
            <v>Truist_SOW#_Security Technology AI Security Strategy</v>
          </cell>
          <cell r="AK12122" t="str">
            <v>Tyler Conover</v>
          </cell>
        </row>
        <row r="12123">
          <cell r="C12123" t="str">
            <v>TIAA_Omni</v>
          </cell>
          <cell r="AK12123" t="str">
            <v>Kevin Demeter</v>
          </cell>
        </row>
        <row r="12124">
          <cell r="C12124" t="str">
            <v>nomura collateral / margin platform support</v>
          </cell>
          <cell r="AK12124" t="str">
            <v>Matthew Fischer</v>
          </cell>
        </row>
        <row r="12125">
          <cell r="C12125" t="str">
            <v>USAA | OneTrust Consent and Preference Implementation</v>
          </cell>
          <cell r="AK12125" t="str">
            <v>Paul Laurent</v>
          </cell>
        </row>
        <row r="12126">
          <cell r="C12126" t="str">
            <v>BOKF_ICS Solution Implementation Planning</v>
          </cell>
          <cell r="AK12126" t="str">
            <v>Steven Siegismund</v>
          </cell>
        </row>
        <row r="12127">
          <cell r="C12127" t="str">
            <v>FAST Staff Augmentation Pod 2 Work February 2026</v>
          </cell>
          <cell r="H12127">
            <v>5056910</v>
          </cell>
          <cell r="AK12127" t="str">
            <v>Nikolas Lozada</v>
          </cell>
        </row>
        <row r="12128">
          <cell r="C12128" t="str">
            <v>Randolph Brooks Federal Credit Union_RAS</v>
          </cell>
          <cell r="AK12128" t="str">
            <v>Diane Banks</v>
          </cell>
        </row>
        <row r="12129">
          <cell r="C12129" t="str">
            <v>Crypto / Digital Assets Risk Assessment</v>
          </cell>
          <cell r="AK12129" t="str">
            <v>Daniel Outcalt</v>
          </cell>
        </row>
        <row r="12130">
          <cell r="C12130" t="str">
            <v>Clear Fork: BSA/CMS Program Enhancement</v>
          </cell>
          <cell r="AK12130" t="str">
            <v>Eugene Collett</v>
          </cell>
        </row>
        <row r="12131">
          <cell r="C12131" t="str">
            <v>MMC Corp &amp; Risk Account Data Optimization</v>
          </cell>
          <cell r="AK12131" t="str">
            <v>Lucy Geringer</v>
          </cell>
        </row>
        <row r="12132">
          <cell r="C12132" t="str">
            <v>Schwab - Extended Trading Hours</v>
          </cell>
          <cell r="AK12132" t="str">
            <v>Ian Guidash</v>
          </cell>
        </row>
        <row r="12133">
          <cell r="C12133" t="str">
            <v>Jefferies SD Compliance Program Support</v>
          </cell>
          <cell r="AK12133" t="str">
            <v>Matthew Rodgers</v>
          </cell>
        </row>
        <row r="12134">
          <cell r="C12134" t="str">
            <v>Optum Insight SGS - Vulnerability Graph Database</v>
          </cell>
          <cell r="AK12134" t="str">
            <v>Jason Noran</v>
          </cell>
        </row>
        <row r="12135">
          <cell r="C12135" t="str">
            <v>FCB_Payments Transformation Phase 4</v>
          </cell>
          <cell r="AK12135" t="str">
            <v>Brent DeLeo</v>
          </cell>
        </row>
        <row r="12136">
          <cell r="C12136" t="str">
            <v>Jefferies Baltimore Managed Services</v>
          </cell>
          <cell r="AK12136" t="str">
            <v>Emily Grochowski</v>
          </cell>
        </row>
        <row r="12137">
          <cell r="C12137" t="str">
            <v>Nomura Data Traceability</v>
          </cell>
          <cell r="AK12137" t="str">
            <v>Matthew Fischer</v>
          </cell>
        </row>
        <row r="12138">
          <cell r="C12138" t="str">
            <v>New Millenium Bank_CMS</v>
          </cell>
          <cell r="AK12138" t="str">
            <v>Eugene Collett</v>
          </cell>
        </row>
        <row r="12139">
          <cell r="C12139" t="str">
            <v>Graph KB Modelling for Actuarial CoE POC</v>
          </cell>
          <cell r="AK12139" t="str">
            <v>Emily Clark</v>
          </cell>
        </row>
        <row r="12140">
          <cell r="C12140" t="str">
            <v>PacLife Workforce Benefits Optimization</v>
          </cell>
          <cell r="AK12140" t="str">
            <v>Matthew Zidow</v>
          </cell>
        </row>
        <row r="12141">
          <cell r="C12141" t="str">
            <v>Absecon_CMS</v>
          </cell>
          <cell r="AK12141" t="str">
            <v>Elizabeth Rozsa</v>
          </cell>
        </row>
        <row r="12142">
          <cell r="C12142" t="str">
            <v>Corp Tech-Ops-Kafka/AWS</v>
          </cell>
          <cell r="AK12142" t="str">
            <v>John McCaffrey</v>
          </cell>
        </row>
        <row r="12143">
          <cell r="C12143" t="str">
            <v>Lennar Mortgage - BSA - RA</v>
          </cell>
          <cell r="AK12143" t="str">
            <v>Eugene Collett</v>
          </cell>
        </row>
        <row r="12144">
          <cell r="C12144" t="str">
            <v>WSFS Bank_ Digital</v>
          </cell>
          <cell r="AK12144" t="str">
            <v>James Kane</v>
          </cell>
        </row>
        <row r="12145">
          <cell r="C12145" t="str">
            <v>FNMA SF Test Automation Expansion</v>
          </cell>
          <cell r="H12145">
            <v>5053923</v>
          </cell>
          <cell r="AK12145" t="str">
            <v>Varun Putchala</v>
          </cell>
        </row>
        <row r="12146">
          <cell r="C12146" t="str">
            <v>FI Bloomberg PM/BA</v>
          </cell>
          <cell r="AK12146" t="str">
            <v>Conor Dowling</v>
          </cell>
        </row>
        <row r="12147">
          <cell r="C12147" t="str">
            <v>Jefferies Managed Services - TM and Onboarding Support</v>
          </cell>
          <cell r="AK12147" t="str">
            <v>Chelsea Mattias</v>
          </cell>
        </row>
        <row r="12148">
          <cell r="C12148" t="str">
            <v>BMO - US Deposits Personalization Strategy</v>
          </cell>
          <cell r="AK12148" t="str">
            <v>Mark Mountan</v>
          </cell>
        </row>
        <row r="12149">
          <cell r="C12149" t="str">
            <v>US TD_Sr. Data Scientist_AMCB</v>
          </cell>
          <cell r="AK12149" t="str">
            <v>Aimen Khan</v>
          </cell>
        </row>
        <row r="12150">
          <cell r="C12150" t="str">
            <v>Axos Data Lakehouse with Databricks</v>
          </cell>
          <cell r="AK12150" t="str">
            <v>Jak Hart</v>
          </cell>
        </row>
        <row r="12151">
          <cell r="C12151" t="str">
            <v>AI Infusion Phase 2</v>
          </cell>
          <cell r="AK12151" t="str">
            <v>Prem Natarajan</v>
          </cell>
        </row>
        <row r="12152">
          <cell r="C12152" t="str">
            <v>Nomura Compliance Testing</v>
          </cell>
          <cell r="AK12152" t="str">
            <v>Matthew Fischer</v>
          </cell>
        </row>
        <row r="12153">
          <cell r="C12153" t="str">
            <v>EO&amp;T Java Developer (SA) Needs</v>
          </cell>
          <cell r="AK12153" t="str">
            <v>Kalkidan Tedla</v>
          </cell>
        </row>
        <row r="12154">
          <cell r="C12154" t="str">
            <v>Cardone_Onshore Transformation Staffing</v>
          </cell>
          <cell r="AK12154" t="str">
            <v>Emily Glaessner</v>
          </cell>
        </row>
        <row r="12155">
          <cell r="C12155" t="str">
            <v>KeyBank - Wealth Operations Process Reengineering</v>
          </cell>
          <cell r="AK12155" t="str">
            <v>Jason Noran</v>
          </cell>
        </row>
        <row r="12156">
          <cell r="C12156" t="str">
            <v>Flexible Staffing Model for M&amp;A Tech</v>
          </cell>
          <cell r="AK12156" t="str">
            <v>Thea Smith</v>
          </cell>
        </row>
        <row r="12157">
          <cell r="C12157" t="str">
            <v>WF AI POC Reconciliation WIM</v>
          </cell>
          <cell r="AK12157" t="str">
            <v>Emily Glaessner</v>
          </cell>
        </row>
        <row r="12158">
          <cell r="C12158" t="str">
            <v>Middletown Valley Bank_RAS</v>
          </cell>
          <cell r="AK12158" t="str">
            <v>Diane Banks</v>
          </cell>
        </row>
        <row r="12159">
          <cell r="C12159" t="str">
            <v>Stifel Bank_RAS</v>
          </cell>
          <cell r="AK12159" t="str">
            <v>Diane Banks</v>
          </cell>
        </row>
        <row r="12160">
          <cell r="C12160" t="str">
            <v>Merrick Bank_RAS</v>
          </cell>
          <cell r="AK12160" t="str">
            <v>Diane Banks</v>
          </cell>
        </row>
        <row r="12161">
          <cell r="C12161" t="str">
            <v>East West Bank_RAS</v>
          </cell>
          <cell r="AK12161" t="str">
            <v>Diane Banks</v>
          </cell>
        </row>
        <row r="12162">
          <cell r="C12162" t="str">
            <v>GLIC Testing - Supplement Staff &amp; Assessment</v>
          </cell>
          <cell r="AK12162" t="str">
            <v>Michelle Rosen</v>
          </cell>
        </row>
        <row r="12163">
          <cell r="C12163" t="str">
            <v>Banesco ECI BSA AML Solution Tuning</v>
          </cell>
          <cell r="AK12163" t="str">
            <v>Eugene Collett</v>
          </cell>
        </row>
        <row r="12164">
          <cell r="C12164" t="str">
            <v>GM_auto finance</v>
          </cell>
          <cell r="AK12164" t="str">
            <v>Kevin Demeter</v>
          </cell>
        </row>
        <row r="12165">
          <cell r="C12165" t="str">
            <v>Valley -bank modernization</v>
          </cell>
          <cell r="AK12165" t="str">
            <v>Kevin Demeter</v>
          </cell>
        </row>
        <row r="12166">
          <cell r="C12166" t="str">
            <v>US BNPP C&amp;S Change as a Service Residual</v>
          </cell>
          <cell r="AK12166" t="str">
            <v>Ervinas Janavicius</v>
          </cell>
        </row>
        <row r="12167">
          <cell r="C12167" t="str">
            <v>Regions_Data Integrity</v>
          </cell>
          <cell r="AK12167" t="str">
            <v>Kevin Demeter</v>
          </cell>
        </row>
        <row r="12168">
          <cell r="C12168" t="str">
            <v>Naehas Partnership Santander US</v>
          </cell>
          <cell r="AK12168" t="str">
            <v>Dana Schwaeber</v>
          </cell>
        </row>
        <row r="12169">
          <cell r="C12169" t="str">
            <v>Cathay _ Core modernization</v>
          </cell>
          <cell r="AK12169" t="str">
            <v>Kevin Demeter</v>
          </cell>
        </row>
        <row r="12170">
          <cell r="C12170" t="str">
            <v>RCM Point Solution</v>
          </cell>
          <cell r="AK12170" t="str">
            <v>Gregg Henzel</v>
          </cell>
        </row>
        <row r="12171">
          <cell r="C12171" t="str">
            <v>Chubb -  AI and S&amp;P Opportunity (BigID)</v>
          </cell>
          <cell r="AK12171" t="str">
            <v>FK Funderburke</v>
          </cell>
        </row>
        <row r="12172">
          <cell r="C12172" t="str">
            <v>WF E2E Trade Surveillance Buildout</v>
          </cell>
          <cell r="AK12172" t="str">
            <v>Ruby Cherian</v>
          </cell>
        </row>
        <row r="12173">
          <cell r="C12173" t="str">
            <v>America First Credit Union - Card Migration Strategy</v>
          </cell>
          <cell r="AK12173" t="str">
            <v>Spencer Feuer</v>
          </cell>
        </row>
        <row r="12174">
          <cell r="C12174" t="str">
            <v>Marketing Reviews</v>
          </cell>
          <cell r="AK12174" t="str">
            <v>Eugene Collett</v>
          </cell>
        </row>
        <row r="12175">
          <cell r="C12175" t="str">
            <v>BMO Product Management / Digital Strategy Team Fulfillment</v>
          </cell>
          <cell r="AK12175" t="str">
            <v>James Kane</v>
          </cell>
        </row>
        <row r="12176">
          <cell r="C12176" t="str">
            <v>MS Tech - Developer Demand (US and India)</v>
          </cell>
          <cell r="AK12176" t="str">
            <v>Thomas Kurian Kovoor</v>
          </cell>
        </row>
        <row r="12177">
          <cell r="C12177" t="str">
            <v>HSBC-CIB-GPS TCH-US-Commercial Card</v>
          </cell>
          <cell r="AK12177" t="str">
            <v>Daisy Pradhan</v>
          </cell>
        </row>
        <row r="12178">
          <cell r="C12178" t="str">
            <v>BOKF_ERP Integrator_Discovery</v>
          </cell>
          <cell r="AK12178" t="str">
            <v>Chris Murray</v>
          </cell>
        </row>
        <row r="12179">
          <cell r="C12179" t="str">
            <v>BOFA_Wires Transformation (WTX)</v>
          </cell>
          <cell r="AK12179" t="str">
            <v>Brent DeLeo</v>
          </cell>
        </row>
        <row r="12180">
          <cell r="C12180" t="str">
            <v>Visa Disputes Automation</v>
          </cell>
          <cell r="AK12180" t="str">
            <v>Henry Loosmore</v>
          </cell>
        </row>
        <row r="12181">
          <cell r="C12181" t="str">
            <v>BECU - Marketing Operations Direictor</v>
          </cell>
          <cell r="AK12181" t="str">
            <v>Mark Mountan</v>
          </cell>
        </row>
        <row r="12182">
          <cell r="C12182" t="str">
            <v>FCB Technology Delivery Lead</v>
          </cell>
          <cell r="AK12182" t="str">
            <v>Vijaya Sripathi</v>
          </cell>
        </row>
        <row r="12183">
          <cell r="C12183" t="str">
            <v>MS_Snowflake IFM Financials Data [Quick Bid]</v>
          </cell>
          <cell r="AK12183" t="str">
            <v>Mitali Drews</v>
          </cell>
        </row>
        <row r="12184">
          <cell r="C12184" t="str">
            <v>HNB Small Business Banking Subscription_Tech Program Execution &amp; AI Infusion</v>
          </cell>
          <cell r="H12184">
            <v>5055432</v>
          </cell>
          <cell r="AK12184" t="str">
            <v>James Kane</v>
          </cell>
        </row>
        <row r="12185">
          <cell r="C12185" t="str">
            <v>RBC GRC Program Support</v>
          </cell>
          <cell r="AK12185" t="str">
            <v>Carl Repoli</v>
          </cell>
        </row>
        <row r="12186">
          <cell r="C12186" t="str">
            <v>BECU - Marketing Enablement Strategy</v>
          </cell>
          <cell r="AK12186" t="str">
            <v>Mark Mountan</v>
          </cell>
        </row>
        <row r="12187">
          <cell r="C12187" t="str">
            <v>Reg Data Feed</v>
          </cell>
          <cell r="AK12187" t="str">
            <v>Gregg Henzel</v>
          </cell>
        </row>
        <row r="12188">
          <cell r="C12188" t="str">
            <v>Visa US Client Care Transformation</v>
          </cell>
          <cell r="AK12188" t="str">
            <v>Henry Loosmore</v>
          </cell>
        </row>
        <row r="12189">
          <cell r="C12189" t="str">
            <v>DB-CB-IT- CB Tech Data Scientist/ Engineer Cary Support</v>
          </cell>
          <cell r="AK12189" t="str">
            <v>Poorna Bhimavarapu</v>
          </cell>
        </row>
        <row r="12190">
          <cell r="C12190" t="str">
            <v>Data Transformation Program Product Owner</v>
          </cell>
          <cell r="AK12190" t="str">
            <v>Chelsea Mattias</v>
          </cell>
        </row>
        <row r="12191">
          <cell r="C12191" t="str">
            <v>MS_IFM AIDT Assets and Revenue Data [Quick Bid]</v>
          </cell>
          <cell r="AK12191" t="str">
            <v>Dan Schutzman</v>
          </cell>
        </row>
        <row r="12192">
          <cell r="C12192" t="str">
            <v>MSWM_JiraGen Enhancement Support [Quick Bid]</v>
          </cell>
          <cell r="AK12192" t="str">
            <v>Dan Schutzman</v>
          </cell>
        </row>
        <row r="12193">
          <cell r="C12193" t="str">
            <v>Ford Motor - Bank Launch</v>
          </cell>
          <cell r="AK12193" t="str">
            <v>Samuel Awsumb</v>
          </cell>
        </row>
        <row r="12194">
          <cell r="C12194" t="str">
            <v>RBC US_Risk Transformation Support</v>
          </cell>
          <cell r="AK12194" t="str">
            <v>Brian Reed</v>
          </cell>
        </row>
        <row r="12195">
          <cell r="C12195" t="str">
            <v>FCB_Commercial Cards Reward/Rebates Strategy</v>
          </cell>
          <cell r="AK12195" t="str">
            <v>Seth Berman</v>
          </cell>
        </row>
        <row r="12196">
          <cell r="C12196" t="str">
            <v>BPPR Escrow Statement Testing</v>
          </cell>
          <cell r="AK12196" t="str">
            <v>Eugene Collett</v>
          </cell>
        </row>
        <row r="12197">
          <cell r="C12197" t="str">
            <v>DB-CB-AS-IT- CB Tech ITAO Opp FY2026</v>
          </cell>
          <cell r="AK12197" t="str">
            <v>Ruby Cherian</v>
          </cell>
        </row>
        <row r="12198">
          <cell r="C12198" t="str">
            <v>GRC Implementation and Support</v>
          </cell>
          <cell r="AK12198" t="str">
            <v>Gregg Henzel</v>
          </cell>
        </row>
        <row r="12199">
          <cell r="C12199" t="str">
            <v>Santander - Marketing Ops Change Management</v>
          </cell>
          <cell r="AK12199" t="str">
            <v>Dana Schwaeber</v>
          </cell>
        </row>
        <row r="12200">
          <cell r="C12200" t="str">
            <v>Nationwide  | Customer 360 Graph</v>
          </cell>
          <cell r="AK12200" t="str">
            <v>FK Funderburke</v>
          </cell>
        </row>
        <row r="12201">
          <cell r="C12201" t="str">
            <v>Ascot - GRC/Audit Tooling Support</v>
          </cell>
          <cell r="AK12201" t="str">
            <v>FK Funderburke</v>
          </cell>
        </row>
        <row r="12202">
          <cell r="C12202" t="str">
            <v>USB_000_Mkting AI Smart Suite 4</v>
          </cell>
          <cell r="AK12202" t="str">
            <v>Mark Mountan</v>
          </cell>
        </row>
        <row r="12203">
          <cell r="C12203" t="str">
            <v>GRC Implementation</v>
          </cell>
          <cell r="AK12203" t="str">
            <v>Gregg Henzel</v>
          </cell>
        </row>
        <row r="12204">
          <cell r="C12204" t="str">
            <v>GRC Implementation Consulting and Support Services - Broadway Bank</v>
          </cell>
          <cell r="AK12204" t="str">
            <v>Gregg Henzel</v>
          </cell>
        </row>
        <row r="12205">
          <cell r="C12205" t="str">
            <v>Apple-GRC Regulatory Change Management</v>
          </cell>
          <cell r="AK12205" t="str">
            <v>Gregg Henzel</v>
          </cell>
        </row>
        <row r="12206">
          <cell r="C12206" t="str">
            <v>Jefferies GETS, JDOE, PJ QA Engineer (FP)</v>
          </cell>
          <cell r="AK12206" t="str">
            <v>John McCaffrey</v>
          </cell>
        </row>
        <row r="12207">
          <cell r="C12207" t="str">
            <v>Securities Services - Process Engineering (Blake Browne)</v>
          </cell>
          <cell r="AK12207" t="str">
            <v>Jason Noran</v>
          </cell>
        </row>
        <row r="12208">
          <cell r="C12208" t="str">
            <v>Jefferies Python Server Side Developer</v>
          </cell>
          <cell r="AK12208" t="str">
            <v>John McCaffrey</v>
          </cell>
        </row>
        <row r="12209">
          <cell r="C12209" t="str">
            <v>OFS_Card Migration Readiness Support_Payer</v>
          </cell>
          <cell r="AK12209" t="str">
            <v>Samuel Awsumb</v>
          </cell>
        </row>
        <row r="12210">
          <cell r="C12210" t="str">
            <v>MS_DGO_PM</v>
          </cell>
          <cell r="AK12210" t="str">
            <v>Alice Maltby</v>
          </cell>
        </row>
        <row r="12211">
          <cell r="C12211" t="str">
            <v>MSWM Ops_Strategic Initiatives PM Support - SC</v>
          </cell>
          <cell r="AK12211" t="str">
            <v>Dan Schutzman</v>
          </cell>
        </row>
        <row r="12212">
          <cell r="C12212" t="str">
            <v>HNB_Cadence Bank Collections Platform Migration</v>
          </cell>
          <cell r="AK12212" t="str">
            <v>Spencer Feuer</v>
          </cell>
        </row>
        <row r="12213">
          <cell r="C12213" t="str">
            <v>Zions Bank</v>
          </cell>
          <cell r="AK12213" t="str">
            <v>Patrick Deckbar</v>
          </cell>
        </row>
        <row r="12214">
          <cell r="C12214" t="str">
            <v>Nationwide Potential BigID Opportunity</v>
          </cell>
          <cell r="AK12214" t="str">
            <v>FK Funderburke</v>
          </cell>
        </row>
        <row r="12215">
          <cell r="C12215" t="str">
            <v>Third Party Management Policy and Procedure Gap Assessment</v>
          </cell>
          <cell r="AK12215" t="str">
            <v>Steven D'Angelo</v>
          </cell>
        </row>
        <row r="12216">
          <cell r="C12216" t="str">
            <v>MSWM_Tax Ops_Carla Noriega Support [CO- Quick Bid]</v>
          </cell>
          <cell r="AK12216" t="str">
            <v>Dan Schutzman</v>
          </cell>
        </row>
        <row r="12217">
          <cell r="C12217" t="str">
            <v>Securities Services T+1 Implementation 2026 (US Only)</v>
          </cell>
          <cell r="AK12217" t="str">
            <v>Chris Johnston</v>
          </cell>
        </row>
        <row r="12218">
          <cell r="C12218" t="str">
            <v>US TD_Alteryx/BI Report Transformation/AI Consultant</v>
          </cell>
          <cell r="AK12218" t="str">
            <v>Michael Rappaport</v>
          </cell>
        </row>
        <row r="12219">
          <cell r="C12219" t="str">
            <v>Popular - Workflow Testing</v>
          </cell>
          <cell r="AK12219" t="str">
            <v>Eugene Collett</v>
          </cell>
        </row>
        <row r="12220">
          <cell r="C12220" t="str">
            <v>BMO - Gen AI AML Compliance.Outsource</v>
          </cell>
          <cell r="AK12220" t="str">
            <v>Abby Cohen</v>
          </cell>
        </row>
        <row r="12221">
          <cell r="C12221" t="str">
            <v>BNY Asset Servicing Summa Tech POC</v>
          </cell>
          <cell r="AK12221" t="str">
            <v>Stephen Budge</v>
          </cell>
        </row>
        <row r="12222">
          <cell r="C12222" t="str">
            <v>Santander - AML</v>
          </cell>
          <cell r="AK12222" t="str">
            <v>Daniel Outcalt</v>
          </cell>
        </row>
        <row r="12223">
          <cell r="C12223" t="str">
            <v>BNPP_Insider Threat</v>
          </cell>
          <cell r="AK12223" t="str">
            <v>Ridha Mesli</v>
          </cell>
        </row>
        <row r="12224">
          <cell r="C12224" t="str">
            <v>Ascot - Zero Trust Cyber Security Assessment</v>
          </cell>
          <cell r="AK12224" t="str">
            <v>Marcela Santamaria</v>
          </cell>
        </row>
        <row r="12225">
          <cell r="C12225" t="str">
            <v>New York Life -- Customer 360 Dashboard</v>
          </cell>
          <cell r="AK12225" t="str">
            <v>Paul Laurent</v>
          </cell>
        </row>
        <row r="12226">
          <cell r="C12226" t="str">
            <v>DB-CB-AS-IT- CB Data AI Support RFP - Cary</v>
          </cell>
          <cell r="AK12226" t="str">
            <v>Ruby Cherian</v>
          </cell>
        </row>
        <row r="12227">
          <cell r="C12227" t="str">
            <v>MS_ISG_Derivs Clearing Baltimore</v>
          </cell>
          <cell r="AK12227" t="str">
            <v>Csaba Biro</v>
          </cell>
        </row>
        <row r="12228">
          <cell r="C12228" t="str">
            <v>Broadway Bank - RAS</v>
          </cell>
          <cell r="AK12228" t="str">
            <v>Diane Banks</v>
          </cell>
        </row>
        <row r="12229">
          <cell r="C12229" t="str">
            <v>Think Bank - ERM and GRC Consulting</v>
          </cell>
          <cell r="AK12229" t="str">
            <v>Gregg Henzel</v>
          </cell>
        </row>
        <row r="12230">
          <cell r="C12230" t="str">
            <v>Ascot - Cyber Threat Landscape Assessment</v>
          </cell>
          <cell r="AK12230" t="str">
            <v>Marcela Santamaria</v>
          </cell>
        </row>
        <row r="12231">
          <cell r="C12231" t="str">
            <v>US Bank - Captiv Build Out</v>
          </cell>
          <cell r="AK12231" t="str">
            <v>Samuel Awsumb</v>
          </cell>
        </row>
        <row r="12232">
          <cell r="C12232" t="str">
            <v>Morgan Stanley - Offer Management Program [Martech]</v>
          </cell>
          <cell r="AK12232" t="str">
            <v>Dan Schutzman</v>
          </cell>
        </row>
        <row r="12233">
          <cell r="C12233" t="str">
            <v>AVAN_SAP S4/Hana Implementation PMO</v>
          </cell>
          <cell r="AK12233" t="str">
            <v>Sara Neustadt</v>
          </cell>
        </row>
        <row r="12234">
          <cell r="C12234" t="str">
            <v>OFS_Card Migration Readiness Support_Employer</v>
          </cell>
          <cell r="AK12234" t="str">
            <v>Samuel Awsumb</v>
          </cell>
        </row>
        <row r="12235">
          <cell r="C12235" t="str">
            <v>FNMA Architecture Support</v>
          </cell>
          <cell r="AK12235" t="str">
            <v>Arjun Nohria</v>
          </cell>
        </row>
        <row r="12236">
          <cell r="C12236" t="str">
            <v>MSWM_TDM MarTech Support PM [CO]</v>
          </cell>
          <cell r="AK12236" t="str">
            <v>Dan Schutzman</v>
          </cell>
        </row>
        <row r="12237">
          <cell r="C12237" t="str">
            <v>GESA GRC Implementation</v>
          </cell>
          <cell r="AK12237" t="str">
            <v>Gregg Henzel</v>
          </cell>
        </row>
        <row r="12238">
          <cell r="C12238" t="str">
            <v>Customers Bank VDD Recurring Auto Renew May</v>
          </cell>
          <cell r="H12238">
            <v>5052777</v>
          </cell>
          <cell r="AK12238" t="str">
            <v>Gregg Henzel</v>
          </cell>
        </row>
        <row r="12239">
          <cell r="C12239" t="str">
            <v>USB_000_Mkting Enterprise Marketing Personalization Strategy</v>
          </cell>
          <cell r="AK12239" t="str">
            <v>Mark Mountan</v>
          </cell>
        </row>
        <row r="12240">
          <cell r="C12240" t="str">
            <v>US Bank Broker Dealer Split exec</v>
          </cell>
          <cell r="AK12240" t="str">
            <v>Matthew Rodgers</v>
          </cell>
        </row>
        <row r="12241">
          <cell r="C12241" t="str">
            <v>MS_FDO_MS MAP [Quick Bid]</v>
          </cell>
          <cell r="AK12241" t="str">
            <v>Ramnish Gupta</v>
          </cell>
        </row>
        <row r="12242">
          <cell r="C12242" t="str">
            <v>USB_000_Brokerage Org Design Ph2</v>
          </cell>
          <cell r="AK12242" t="str">
            <v>Matthew Rodgers</v>
          </cell>
        </row>
        <row r="12243">
          <cell r="C12243" t="str">
            <v>USB_000_Stablecoin Support</v>
          </cell>
          <cell r="AK12243" t="str">
            <v>Samuel Awsumb</v>
          </cell>
        </row>
        <row r="12244">
          <cell r="C12244" t="str">
            <v>USB_000_Pay By Bank Support</v>
          </cell>
          <cell r="AK12244" t="str">
            <v>Samuel Awsumb</v>
          </cell>
        </row>
        <row r="12245">
          <cell r="C12245" t="str">
            <v>OFS_AI Value Engineering</v>
          </cell>
          <cell r="AK12245" t="str">
            <v>Samuel Awsumb</v>
          </cell>
        </row>
        <row r="12246">
          <cell r="C12246" t="str">
            <v>AVAN_BA Genie Deployment</v>
          </cell>
          <cell r="AK12246" t="str">
            <v>Cody Watson</v>
          </cell>
        </row>
        <row r="12247">
          <cell r="C12247" t="str">
            <v>AVAN_Digital PMO Support Services</v>
          </cell>
          <cell r="AK12247" t="str">
            <v>Sara Neustadt</v>
          </cell>
        </row>
        <row r="12248">
          <cell r="C12248" t="str">
            <v>Identity and Access Management Enhancements</v>
          </cell>
          <cell r="AK12248" t="str">
            <v>Boris Mallet</v>
          </cell>
        </row>
        <row r="12249">
          <cell r="C12249" t="str">
            <v>FNMA Digital Opportunity</v>
          </cell>
          <cell r="AK12249" t="str">
            <v>Arjun Nohria</v>
          </cell>
        </row>
        <row r="12250">
          <cell r="C12250" t="str">
            <v>FNMA Data Modernization</v>
          </cell>
          <cell r="AK12250" t="str">
            <v>Arjun Nohria</v>
          </cell>
        </row>
        <row r="12251">
          <cell r="C12251" t="str">
            <v>AMEX_MarTech Transformation</v>
          </cell>
          <cell r="AK12251" t="str">
            <v>Mark Mountan</v>
          </cell>
        </row>
        <row r="12252">
          <cell r="C12252" t="str">
            <v>Capital One Card Strategy</v>
          </cell>
          <cell r="AK12252" t="str">
            <v>Ann Culbertson</v>
          </cell>
        </row>
        <row r="12253">
          <cell r="C12253" t="str">
            <v>MiFID Reporting Analysis</v>
          </cell>
          <cell r="AK12253" t="str">
            <v>Matthew Rodgers</v>
          </cell>
        </row>
        <row r="12254">
          <cell r="C12254" t="str">
            <v>BSA AML Model Validation</v>
          </cell>
          <cell r="AK12254" t="str">
            <v>Gregg Henzel</v>
          </cell>
        </row>
        <row r="12255">
          <cell r="C12255" t="str">
            <v>FCB_Enterprise Data: Snowflake AI Strategy</v>
          </cell>
          <cell r="AK12255" t="str">
            <v>Ramnish Gupta</v>
          </cell>
        </row>
        <row r="12256">
          <cell r="C12256" t="str">
            <v>BMO Digital Assets POC</v>
          </cell>
          <cell r="AK12256" t="str">
            <v>Ervinas Janavicius</v>
          </cell>
        </row>
        <row r="12257">
          <cell r="C12257" t="str">
            <v>FCB_Consumer &amp; Small Business Digital Channels TSR - Tech Execution</v>
          </cell>
          <cell r="AK12257" t="str">
            <v>Kaylin Kugler</v>
          </cell>
        </row>
        <row r="12258">
          <cell r="C12258" t="str">
            <v>NFCU Servicing Implementation - Phase 5</v>
          </cell>
          <cell r="H12258">
            <v>5056033</v>
          </cell>
          <cell r="AK12258" t="str">
            <v>Thomas Scott</v>
          </cell>
        </row>
        <row r="12259">
          <cell r="C12259" t="str">
            <v>Arranged Financing</v>
          </cell>
          <cell r="AK12259" t="str">
            <v>Matthew Rodgers</v>
          </cell>
        </row>
        <row r="12260">
          <cell r="C12260" t="str">
            <v>MF - Reignite Team Ext (Under Spend)</v>
          </cell>
          <cell r="H12260">
            <v>5056376</v>
          </cell>
          <cell r="AK12260" t="str">
            <v>Raj Narayan</v>
          </cell>
        </row>
        <row r="12261">
          <cell r="C12261" t="str">
            <v>BOKF_Neg support</v>
          </cell>
          <cell r="H12261">
            <v>5056216</v>
          </cell>
          <cell r="AK12261" t="str">
            <v>Kevin Demeter</v>
          </cell>
        </row>
        <row r="12262">
          <cell r="C12262" t="str">
            <v>Truist_SOW#TBD_Cyber_AI</v>
          </cell>
          <cell r="AK12262" t="str">
            <v>Ridha Mesli</v>
          </cell>
        </row>
        <row r="12263">
          <cell r="C12263" t="str">
            <v>WSFS 2026 Reviews</v>
          </cell>
          <cell r="AK12263" t="str">
            <v>Jeanette Wampler</v>
          </cell>
        </row>
        <row r="12264">
          <cell r="C12264" t="str">
            <v>Recurring Arthur State Bank CMS</v>
          </cell>
          <cell r="H12264">
            <v>5052151</v>
          </cell>
          <cell r="AK12264" t="str">
            <v>Eugene Collett</v>
          </cell>
        </row>
        <row r="12265">
          <cell r="C12265" t="str">
            <v>FNMA Policy and Procedures AI solution</v>
          </cell>
          <cell r="AK12265" t="str">
            <v>Arjun Nohria</v>
          </cell>
        </row>
        <row r="12266">
          <cell r="C12266" t="str">
            <v>MS WM Alts KYC/Onboarding Transformation</v>
          </cell>
          <cell r="AK12266" t="str">
            <v>Gregory Feldman</v>
          </cell>
        </row>
        <row r="12267">
          <cell r="C12267" t="str">
            <v>FCB_ GB Operations Uplift Execution</v>
          </cell>
          <cell r="AK12267" t="str">
            <v>Kaylin Kugler</v>
          </cell>
        </row>
        <row r="12268">
          <cell r="C12268" t="str">
            <v>CNB - ISO 20022 Readiness - Execution</v>
          </cell>
          <cell r="AK12268" t="str">
            <v>Brian Reed</v>
          </cell>
        </row>
        <row r="12269">
          <cell r="C12269" t="str">
            <v>KeyBank Consumer Banking - Graph/GenAI  Solution</v>
          </cell>
          <cell r="AK12269" t="str">
            <v>Wadih Ojeil</v>
          </cell>
        </row>
        <row r="12270">
          <cell r="C12270" t="str">
            <v>Verafin Model Validation</v>
          </cell>
          <cell r="AK12270" t="str">
            <v>Gregg Henzel</v>
          </cell>
        </row>
        <row r="12271">
          <cell r="C12271" t="str">
            <v>FNMA Controls Testing</v>
          </cell>
          <cell r="AK12271" t="str">
            <v>Arjun Nohria</v>
          </cell>
        </row>
        <row r="12272">
          <cell r="C12272" t="str">
            <v>FNMA SAR Tool</v>
          </cell>
          <cell r="AK12272" t="str">
            <v>Arjun Nohria</v>
          </cell>
        </row>
        <row r="12273">
          <cell r="C12273" t="str">
            <v>First Carolina Bank - GRC</v>
          </cell>
          <cell r="AK12273" t="str">
            <v>Gregg Henzel</v>
          </cell>
        </row>
        <row r="12274">
          <cell r="C12274" t="str">
            <v>Truist NYDFS 2026 Extension</v>
          </cell>
          <cell r="H12274">
            <v>5053235</v>
          </cell>
          <cell r="AK12274" t="str">
            <v>Jori Heikkinen</v>
          </cell>
        </row>
        <row r="12275">
          <cell r="C12275" t="str">
            <v>S&amp;P_Cost Takeout Transformation</v>
          </cell>
          <cell r="AK12275" t="str">
            <v>John McHugh</v>
          </cell>
        </row>
        <row r="12276">
          <cell r="C12276" t="str">
            <v>Truist_Wholesale Technology - Solution Architect</v>
          </cell>
          <cell r="AK12276" t="str">
            <v>Jori Heikkinen</v>
          </cell>
        </row>
        <row r="12277">
          <cell r="C12277" t="str">
            <v>SF Credit Program Roles</v>
          </cell>
          <cell r="AK12277" t="str">
            <v>Noorul Akram</v>
          </cell>
        </row>
        <row r="12278">
          <cell r="C12278" t="str">
            <v>RCM Data Feed Customization</v>
          </cell>
          <cell r="AK12278" t="str">
            <v>Gregg Henzel</v>
          </cell>
        </row>
        <row r="12279">
          <cell r="C12279" t="str">
            <v>PF Controls Testing Genie POC</v>
          </cell>
          <cell r="AK12279" t="str">
            <v>Thuy Whitaker</v>
          </cell>
        </row>
        <row r="12280">
          <cell r="C12280" t="str">
            <v>Pru PRT Data Optimization Ext PI2</v>
          </cell>
          <cell r="H12280">
            <v>5056085</v>
          </cell>
          <cell r="AK12280" t="str">
            <v>Emily Clark</v>
          </cell>
        </row>
        <row r="12281">
          <cell r="C12281" t="str">
            <v>SHB BSA Assistance Independent Test</v>
          </cell>
          <cell r="AK12281" t="str">
            <v>William Sachs</v>
          </cell>
        </row>
        <row r="12282">
          <cell r="C12282" t="str">
            <v>Truist_Threat Exposure_Vulnerability and Patch Management</v>
          </cell>
          <cell r="AK12282" t="str">
            <v>Tyler Conover</v>
          </cell>
        </row>
        <row r="12283">
          <cell r="C12283" t="str">
            <v>RECURRING Empire State Bank CMS</v>
          </cell>
          <cell r="AK12283" t="str">
            <v>Mariana Dumanovsky</v>
          </cell>
        </row>
        <row r="12284">
          <cell r="C12284" t="str">
            <v>WF - DTCC Clearing/Settlement Changes</v>
          </cell>
          <cell r="AK12284" t="str">
            <v>Salim Modi</v>
          </cell>
        </row>
        <row r="12285">
          <cell r="C12285" t="str">
            <v>FCB_Data Quality w/ Agentic AI</v>
          </cell>
          <cell r="AK12285" t="str">
            <v>Ramnish Gupta</v>
          </cell>
        </row>
        <row r="12286">
          <cell r="C12286" t="str">
            <v>Pru PGIM Fabric Data Support Ext Caio</v>
          </cell>
          <cell r="AK12286" t="str">
            <v>Diego Sarai</v>
          </cell>
        </row>
        <row r="12287">
          <cell r="C12287" t="str">
            <v>Jefferies - Broadridge Application Resilience (PM on GPM Project)</v>
          </cell>
          <cell r="AK12287" t="str">
            <v>Michael Barry</v>
          </cell>
        </row>
        <row r="12288">
          <cell r="C12288" t="str">
            <v>Enterprise Transition PMO</v>
          </cell>
          <cell r="AK12288" t="str">
            <v>Noorul Akram</v>
          </cell>
        </row>
        <row r="12289">
          <cell r="C12289" t="str">
            <v>Truist_SOW#32_CO1_Merchant Engage Platform Build-Out</v>
          </cell>
          <cell r="H12289">
            <v>5056535</v>
          </cell>
          <cell r="AK12289" t="str">
            <v>Jori Heikkinen</v>
          </cell>
        </row>
        <row r="12290">
          <cell r="C12290" t="str">
            <v>Fidelity - Marketing - Data Assessment Review</v>
          </cell>
          <cell r="AK12290" t="str">
            <v>Eric Fairchild</v>
          </cell>
        </row>
        <row r="12291">
          <cell r="C12291" t="str">
            <v>HSBC-WSB-CMB - Commercial Card Global Platform Implementation Support</v>
          </cell>
          <cell r="AK12291" t="str">
            <v>Thomas Morandi</v>
          </cell>
        </row>
        <row r="12292">
          <cell r="C12292" t="str">
            <v>US Bank - Ops Transformation</v>
          </cell>
          <cell r="AK12292" t="str">
            <v>Samuel Awsumb</v>
          </cell>
        </row>
        <row r="12293">
          <cell r="C12293" t="str">
            <v>Bread AWS Migration p2</v>
          </cell>
          <cell r="AK12293" t="str">
            <v>Brian Reed</v>
          </cell>
        </row>
        <row r="12294">
          <cell r="C12294" t="str">
            <v>State Street_ Core</v>
          </cell>
          <cell r="AK12294" t="str">
            <v>Justin Hayden</v>
          </cell>
        </row>
        <row r="12295">
          <cell r="C12295" t="str">
            <v>MS_Integrated Firm – Platform Consolidation</v>
          </cell>
          <cell r="AK12295" t="str">
            <v>Dan Schutzman</v>
          </cell>
        </row>
        <row r="12296">
          <cell r="C12296" t="str">
            <v>Data Security Enhancements</v>
          </cell>
          <cell r="AK12296" t="str">
            <v>Boris Mallet</v>
          </cell>
        </row>
        <row r="12297">
          <cell r="C12297" t="str">
            <v>WF_stablecoin_distributed ledger</v>
          </cell>
          <cell r="AK12297" t="str">
            <v>Ervinas Janavicius</v>
          </cell>
        </row>
        <row r="12298">
          <cell r="C12298" t="str">
            <v>Ascot - Digital Twin for ISO 27001</v>
          </cell>
          <cell r="AK12298" t="str">
            <v>FK Funderburke</v>
          </cell>
        </row>
        <row r="12299">
          <cell r="C12299" t="str">
            <v>Nomura_MiFID 3</v>
          </cell>
          <cell r="AK12299" t="str">
            <v>Matthew Fischer</v>
          </cell>
        </row>
        <row r="12300">
          <cell r="C12300" t="str">
            <v>Cyber Resilience</v>
          </cell>
          <cell r="AK12300" t="str">
            <v>Michael Barry</v>
          </cell>
        </row>
        <row r="12301">
          <cell r="C12301" t="str">
            <v>Cyber Resilience</v>
          </cell>
          <cell r="AK12301" t="str">
            <v>Michael Barry</v>
          </cell>
        </row>
        <row r="12302">
          <cell r="C12302" t="str">
            <v>CRA Examination Prep &amp; Support</v>
          </cell>
          <cell r="AK12302" t="str">
            <v>Jack DeMarco</v>
          </cell>
        </row>
        <row r="12303">
          <cell r="C12303" t="str">
            <v>Mass Mutual PRT Data Ingestion Optimization</v>
          </cell>
          <cell r="AK12303" t="str">
            <v>Matthew Zidow</v>
          </cell>
        </row>
        <row r="12304">
          <cell r="C12304" t="str">
            <v>Mutual of Omaha Sales Agent Productivity</v>
          </cell>
          <cell r="AK12304" t="str">
            <v>Matthew Zidow</v>
          </cell>
        </row>
        <row r="12305">
          <cell r="C12305" t="str">
            <v>BOKF_IT Outsourcing Discovery</v>
          </cell>
          <cell r="AK12305" t="str">
            <v>Steven Siegismund</v>
          </cell>
        </row>
        <row r="12306">
          <cell r="C12306" t="str">
            <v>FINRA Enforcement process assessment</v>
          </cell>
          <cell r="AK12306" t="str">
            <v>Ruby Cherian</v>
          </cell>
        </row>
        <row r="12307">
          <cell r="C12307" t="str">
            <v>USB_000_Mkting Cmpg Ph2 Implem</v>
          </cell>
          <cell r="AK12307" t="str">
            <v>Mark Mountan</v>
          </cell>
        </row>
        <row r="12308">
          <cell r="C12308" t="str">
            <v>BOKF_Onboarding + Salesforce Help</v>
          </cell>
          <cell r="AK12308" t="str">
            <v>John McHugh</v>
          </cell>
        </row>
        <row r="12309">
          <cell r="C12309" t="str">
            <v>BOKF_BA Genie Testing</v>
          </cell>
          <cell r="AK12309" t="str">
            <v>Steven Siegismund</v>
          </cell>
        </row>
        <row r="12310">
          <cell r="C12310" t="str">
            <v>Onyx_Onboarding Appian Phase 4.3</v>
          </cell>
          <cell r="H12310">
            <v>5056415</v>
          </cell>
          <cell r="AK12310" t="str">
            <v>Bhavik Domadia</v>
          </cell>
        </row>
        <row r="12311">
          <cell r="C12311" t="str">
            <v>PureFacts SI</v>
          </cell>
          <cell r="AK12311" t="str">
            <v>Matt Markham</v>
          </cell>
        </row>
        <row r="12312">
          <cell r="C12312" t="str">
            <v>Optum Health_AI Advisory Ph1</v>
          </cell>
          <cell r="AK12312" t="str">
            <v>Samuel Awsumb</v>
          </cell>
        </row>
        <row r="12313">
          <cell r="C12313" t="str">
            <v>UBS Clients &amp; Field Experience</v>
          </cell>
          <cell r="AK12313" t="str">
            <v>Matthew Berkowitz</v>
          </cell>
        </row>
        <row r="12314">
          <cell r="C12314" t="str">
            <v>MSIM_Horizon COO Support</v>
          </cell>
          <cell r="AK12314" t="str">
            <v>Dan Schutzman</v>
          </cell>
        </row>
        <row r="12315">
          <cell r="C12315" t="str">
            <v>BOKF_Deposit Growth Support</v>
          </cell>
          <cell r="AK12315" t="str">
            <v>Steven Siegismund</v>
          </cell>
        </row>
        <row r="12316">
          <cell r="C12316" t="str">
            <v>MSWM_AI Enablement PO &amp; Trainer</v>
          </cell>
          <cell r="AK12316" t="str">
            <v>Dan Schutzman</v>
          </cell>
        </row>
        <row r="12317">
          <cell r="C12317" t="str">
            <v>MS_Cyber_AI Security Operations Threat Hunting</v>
          </cell>
          <cell r="AK12317" t="str">
            <v>Boris Mallet</v>
          </cell>
        </row>
        <row r="12318">
          <cell r="C12318" t="str">
            <v>DB-GSA-BC-TM Analytics support</v>
          </cell>
          <cell r="AK12318" t="str">
            <v>Ruby Cherian</v>
          </cell>
        </row>
        <row r="12319">
          <cell r="C12319" t="str">
            <v>FCB_Proprietary Fund Manufacturing</v>
          </cell>
          <cell r="AK12319" t="str">
            <v>Matthew Berkowitz</v>
          </cell>
        </row>
        <row r="12320">
          <cell r="C12320" t="str">
            <v>CB Ops Transformation - Client Onboarding</v>
          </cell>
          <cell r="AK12320" t="str">
            <v>Rob Hamlin</v>
          </cell>
        </row>
        <row r="12321">
          <cell r="C12321" t="str">
            <v>MMC GRAPH POC(s)</v>
          </cell>
          <cell r="AK12321" t="str">
            <v>Lucy Geringer</v>
          </cell>
        </row>
        <row r="12322">
          <cell r="C12322" t="str">
            <v>Huntington Digital Assets Program</v>
          </cell>
          <cell r="AK12322" t="str">
            <v>Ervinas Janavicius</v>
          </cell>
        </row>
        <row r="12323">
          <cell r="C12323" t="str">
            <v>MetLife PRT Data Ingestion Optimization</v>
          </cell>
          <cell r="AK12323" t="str">
            <v>Emily Clark</v>
          </cell>
        </row>
        <row r="12324">
          <cell r="C12324" t="str">
            <v>Enterprise Technology Modernization</v>
          </cell>
          <cell r="AK12324" t="str">
            <v>Jack DeMarco</v>
          </cell>
        </row>
        <row r="12325">
          <cell r="C12325" t="str">
            <v>MSWM_Digital Asset Implementation [Multiple Pursuits]</v>
          </cell>
          <cell r="AK12325" t="str">
            <v>Dan Schutzman</v>
          </cell>
        </row>
        <row r="12326">
          <cell r="C12326" t="str">
            <v>NormanMaxx - Digital &amp; GTM Strategy</v>
          </cell>
          <cell r="AK12326" t="str">
            <v>FK Funderburke</v>
          </cell>
        </row>
        <row r="12327">
          <cell r="C12327" t="str">
            <v>MSWM_Crypto Tower A PM Support</v>
          </cell>
          <cell r="AK12327" t="str">
            <v>Dan Schutzman</v>
          </cell>
        </row>
        <row r="12328">
          <cell r="C12328" t="str">
            <v>Murex Pre-Implementation Analysis</v>
          </cell>
          <cell r="AK12328" t="str">
            <v>Nathalia Sousa</v>
          </cell>
        </row>
        <row r="12329">
          <cell r="C12329" t="str">
            <v>Battle Bank Portfolio Acquisition Conversion</v>
          </cell>
          <cell r="AK12329" t="str">
            <v>James Kane</v>
          </cell>
        </row>
        <row r="12330">
          <cell r="C12330" t="str">
            <v>S&amp;P_Reg reporting implementation support_2026</v>
          </cell>
          <cell r="AK12330" t="str">
            <v>Matthew Rodgers</v>
          </cell>
        </row>
        <row r="12331">
          <cell r="C12331" t="str">
            <v>Optum Health_Ops MS Support</v>
          </cell>
          <cell r="AK12331" t="str">
            <v>Samuel Awsumb</v>
          </cell>
        </row>
        <row r="12332">
          <cell r="C12332" t="str">
            <v>BOKF_Credit Administration</v>
          </cell>
          <cell r="AK12332" t="str">
            <v>Steven Siegismund</v>
          </cell>
        </row>
        <row r="12333">
          <cell r="C12333" t="str">
            <v>Cybersecurity Strategy</v>
          </cell>
          <cell r="AK12333" t="str">
            <v>Jack DeMarco</v>
          </cell>
        </row>
        <row r="12334">
          <cell r="C12334" t="str">
            <v>UBS - Client Onboarding / PKR</v>
          </cell>
          <cell r="AK12334" t="str">
            <v>Conor Dowling</v>
          </cell>
        </row>
        <row r="12335">
          <cell r="C12335" t="str">
            <v>US Bank PCS IMD Testing, Configuration &amp; Development Offshoring (Card RPS IMD)</v>
          </cell>
          <cell r="AK12335" t="str">
            <v>Ervinas Janavicius</v>
          </cell>
        </row>
        <row r="12336">
          <cell r="C12336" t="str">
            <v>Vulnerability Management Enhancements</v>
          </cell>
          <cell r="AK12336" t="str">
            <v>Boris Mallet</v>
          </cell>
        </row>
        <row r="12337">
          <cell r="C12337" t="str">
            <v>Reg. Data Feed</v>
          </cell>
          <cell r="AK12337" t="str">
            <v>Leah Robinson</v>
          </cell>
        </row>
        <row r="12338">
          <cell r="C12338" t="str">
            <v>53 FRM strategy 2025</v>
          </cell>
          <cell r="AK12338" t="str">
            <v>Matthew Rodgers</v>
          </cell>
        </row>
        <row r="12339">
          <cell r="C12339" t="str">
            <v>Nationwide PRT Data Optimization</v>
          </cell>
          <cell r="AK12339" t="str">
            <v>Emily Clark</v>
          </cell>
        </row>
        <row r="12340">
          <cell r="C12340" t="str">
            <v>AVAN_EAM Support</v>
          </cell>
          <cell r="AK12340" t="str">
            <v>Sara Neustadt</v>
          </cell>
        </row>
        <row r="12341">
          <cell r="C12341" t="str">
            <v>PGIM AEM New Developer Roles</v>
          </cell>
          <cell r="AK12341" t="str">
            <v>Diego Sarai</v>
          </cell>
        </row>
        <row r="12342">
          <cell r="C12342" t="str">
            <v>Pacific Life Data &amp; Graph</v>
          </cell>
          <cell r="AK12342" t="str">
            <v>FK Funderburke</v>
          </cell>
        </row>
        <row r="12343">
          <cell r="C12343" t="str">
            <v>FNB PA_ Core</v>
          </cell>
          <cell r="AK12343" t="str">
            <v>James Kane</v>
          </cell>
        </row>
        <row r="12344">
          <cell r="C12344" t="str">
            <v>MSWM_AI Enablement AO Training Pod</v>
          </cell>
          <cell r="AK12344" t="str">
            <v>Dan Schutzman</v>
          </cell>
        </row>
        <row r="12345">
          <cell r="C12345" t="str">
            <v>Jeff_T+1 Tech Impact Assessment - Phase 2</v>
          </cell>
          <cell r="H12345">
            <v>5057599</v>
          </cell>
          <cell r="AK12345" t="str">
            <v>Conor Dowling</v>
          </cell>
        </row>
        <row r="12346">
          <cell r="C12346" t="str">
            <v>US Bank GenAI Sars</v>
          </cell>
          <cell r="AK12346" t="str">
            <v>Daniel Outcalt</v>
          </cell>
        </row>
        <row r="12347">
          <cell r="C12347" t="str">
            <v>Corebridge Financial</v>
          </cell>
          <cell r="AK12347" t="str">
            <v>FK Funderburke</v>
          </cell>
        </row>
        <row r="12348">
          <cell r="C12348" t="str">
            <v>BNPL - Jiffity Program Support</v>
          </cell>
          <cell r="AK12348" t="str">
            <v>Spencer Feuer</v>
          </cell>
        </row>
        <row r="12349">
          <cell r="C12349" t="str">
            <v>Pacific Premier - Compliance Content and Implementation</v>
          </cell>
          <cell r="AK12349" t="str">
            <v>Gregg Henzel</v>
          </cell>
        </row>
        <row r="12350">
          <cell r="C12350" t="str">
            <v>Pru Additional Graph/Neptune Use Cases</v>
          </cell>
          <cell r="AK12350" t="str">
            <v>Emily Clark</v>
          </cell>
        </row>
        <row r="12351">
          <cell r="C12351" t="str">
            <v>Schwab_Core Banking Implementation</v>
          </cell>
          <cell r="AK12351" t="str">
            <v>Kevin Miologos</v>
          </cell>
        </row>
        <row r="12352">
          <cell r="C12352" t="str">
            <v>FCB OCM Assessment</v>
          </cell>
          <cell r="AK12352" t="str">
            <v>Lee Leonard</v>
          </cell>
        </row>
        <row r="12353">
          <cell r="C12353" t="str">
            <v>DB-CAO-AFC-BC-AFC Data Support 2026</v>
          </cell>
          <cell r="AK12353" t="str">
            <v>Ruby Cherian</v>
          </cell>
        </row>
        <row r="12354">
          <cell r="C12354" t="str">
            <v>Hanover - Product Synergy Strategic Assessment</v>
          </cell>
          <cell r="AK12354" t="str">
            <v>FK Funderburke</v>
          </cell>
        </row>
        <row r="12355">
          <cell r="C12355" t="str">
            <v>RSLI - Integration Implementation Phase 1</v>
          </cell>
          <cell r="H12355">
            <v>5056516</v>
          </cell>
          <cell r="AK12355" t="str">
            <v>Nikolas Lozada</v>
          </cell>
        </row>
        <row r="12356">
          <cell r="C12356" t="str">
            <v>FCB_Cyber Remediation</v>
          </cell>
          <cell r="AK12356" t="str">
            <v>Ridha Mesli</v>
          </cell>
        </row>
        <row r="12357">
          <cell r="C12357" t="str">
            <v>MSWM_Path to Advice PM Support [Quick Bid]</v>
          </cell>
          <cell r="AK12357" t="str">
            <v>Dan Schutzman</v>
          </cell>
        </row>
        <row r="12358">
          <cell r="C12358" t="str">
            <v>MSWM_TDM PO BA Support [EY Backfill/CO- Quick Bid]</v>
          </cell>
          <cell r="AK12358" t="str">
            <v>Dan Schutzman</v>
          </cell>
        </row>
        <row r="12359">
          <cell r="C12359" t="str">
            <v>New York Life - Data Discovery</v>
          </cell>
          <cell r="AK12359" t="str">
            <v>Matthew Zidow</v>
          </cell>
        </row>
        <row r="12360">
          <cell r="C12360" t="str">
            <v>FCB_Acquisition Support_Phase 1</v>
          </cell>
          <cell r="AK12360" t="str">
            <v>Bo McCarty</v>
          </cell>
        </row>
        <row r="12361">
          <cell r="C12361" t="str">
            <v>MS Investment Banking Division (IBD) [E. McCourt]</v>
          </cell>
          <cell r="AK12361" t="str">
            <v>Mitali Drews</v>
          </cell>
        </row>
        <row r="12362">
          <cell r="C12362" t="str">
            <v>MSIM_Parametric 3-Year RTB Support_US Portion [Quick Bid]</v>
          </cell>
          <cell r="AK12362" t="str">
            <v>Dan Schutzman</v>
          </cell>
        </row>
        <row r="12363">
          <cell r="C12363" t="str">
            <v>AI Enablement - Copilot</v>
          </cell>
          <cell r="AK12363" t="str">
            <v>Lauren Somma</v>
          </cell>
        </row>
        <row r="12364">
          <cell r="C12364" t="str">
            <v>Finxact/ South State Bank Side Car Platform Analysis</v>
          </cell>
          <cell r="AK12364" t="str">
            <v>James Kane</v>
          </cell>
        </row>
        <row r="12365">
          <cell r="C12365" t="str">
            <v>Seacoast GRC Implementation and Support</v>
          </cell>
          <cell r="AK12365" t="str">
            <v>Gregg Henzel</v>
          </cell>
        </row>
        <row r="12366">
          <cell r="C12366" t="str">
            <v>FCB_ GB Growth Strategy &amp; Readiness</v>
          </cell>
          <cell r="AK12366" t="str">
            <v>Kaylin Kugler</v>
          </cell>
        </row>
        <row r="12367">
          <cell r="C12367" t="str">
            <v>GLIC IM Marketing RFP Support - Extension</v>
          </cell>
          <cell r="H12367">
            <v>5056248</v>
          </cell>
          <cell r="AK12367" t="str">
            <v>Michelle Rosen</v>
          </cell>
        </row>
        <row r="12368">
          <cell r="C12368" t="str">
            <v>HNB Digital Storefront "Next Most Likely" Engine Overhaul</v>
          </cell>
          <cell r="AK12368" t="str">
            <v>Danielle Theroux</v>
          </cell>
        </row>
        <row r="12369">
          <cell r="C12369" t="str">
            <v>Capital One Onboarding Assesment</v>
          </cell>
          <cell r="AK12369" t="str">
            <v>Ruben Sooriya</v>
          </cell>
        </row>
        <row r="12370">
          <cell r="C12370" t="str">
            <v>Customers Bank VDD Recurring Auto Renew Jun</v>
          </cell>
          <cell r="H12370">
            <v>5052777</v>
          </cell>
          <cell r="AK12370" t="str">
            <v>Gregg Henzel</v>
          </cell>
        </row>
        <row r="12371">
          <cell r="C12371" t="str">
            <v>GRC Advisory and Content</v>
          </cell>
          <cell r="AK12371" t="str">
            <v>Gregg Henzel</v>
          </cell>
        </row>
        <row r="12372">
          <cell r="C12372" t="str">
            <v>Chubb - AI Platform Engineering</v>
          </cell>
          <cell r="AK12372" t="str">
            <v>Varun Putchala</v>
          </cell>
        </row>
        <row r="12373">
          <cell r="C12373" t="str">
            <v>Nationwide - Data Migration Options for Annuities (Jim Cameron)</v>
          </cell>
          <cell r="AK12373" t="str">
            <v>FK Funderburke</v>
          </cell>
        </row>
        <row r="12374">
          <cell r="C12374" t="str">
            <v>GRC - TPRM Application Implementation and Support</v>
          </cell>
          <cell r="AK12374" t="str">
            <v>Gregg Henzel</v>
          </cell>
        </row>
        <row r="12375">
          <cell r="C12375" t="str">
            <v>Natixis_Cyber Phase 2 (SDLC, Shadow IT, Arch Management &amp; Phy Sec Environ Controls)</v>
          </cell>
          <cell r="AK12375" t="str">
            <v>Boris Mallet</v>
          </cell>
        </row>
        <row r="12376">
          <cell r="C12376" t="str">
            <v>Truist_Cloud Security_Cloud Tool Rationalization</v>
          </cell>
          <cell r="AK12376" t="str">
            <v>Eric Johnson</v>
          </cell>
        </row>
        <row r="12377">
          <cell r="C12377" t="str">
            <v>Truist_SOW#_Data Protection</v>
          </cell>
          <cell r="AK12377" t="str">
            <v>Tyler Conover</v>
          </cell>
        </row>
        <row r="12378">
          <cell r="C12378" t="str">
            <v>Truist_Security Governance_TPSRR – 3rd Party Program</v>
          </cell>
          <cell r="AK12378" t="str">
            <v>Alexander Amaya</v>
          </cell>
        </row>
        <row r="12379">
          <cell r="C12379" t="str">
            <v>BMO CDB Naehas Pricing Offer Management</v>
          </cell>
          <cell r="AK12379" t="str">
            <v>Mark Mountan</v>
          </cell>
        </row>
        <row r="12380">
          <cell r="C12380" t="str">
            <v>USB_Microsoft Dynamics Ph1</v>
          </cell>
          <cell r="AK12380" t="str">
            <v>Samuel Awsumb</v>
          </cell>
        </row>
        <row r="12381">
          <cell r="C12381" t="str">
            <v>Schwab Bank SBL Assistance</v>
          </cell>
          <cell r="AK12381" t="str">
            <v>Ervinas Janavicius</v>
          </cell>
        </row>
        <row r="12382">
          <cell r="C12382" t="str">
            <v>WF_Mortgage LOS</v>
          </cell>
          <cell r="AK12382" t="str">
            <v>John Geertsema</v>
          </cell>
        </row>
        <row r="12383">
          <cell r="C12383" t="str">
            <v>TD Data Engagement - Product Manager - Risk &amp; Compliance - EXT</v>
          </cell>
          <cell r="H12383">
            <v>5057558</v>
          </cell>
          <cell r="AK12383" t="str">
            <v>Michael Rappaport</v>
          </cell>
        </row>
        <row r="12384">
          <cell r="C12384" t="str">
            <v>TD KYC and Customer Onboarding Support</v>
          </cell>
          <cell r="AK12384" t="str">
            <v>Ruby Cherian</v>
          </cell>
        </row>
        <row r="12385">
          <cell r="C12385" t="str">
            <v>USAA Purchase Agreement Review 2026</v>
          </cell>
          <cell r="AK12385" t="str">
            <v>Michael Austin</v>
          </cell>
        </row>
        <row r="12386">
          <cell r="C12386" t="str">
            <v>BMO - Universal Consent &amp; Preference Management (OneTrust)</v>
          </cell>
          <cell r="AK12386" t="str">
            <v>Paul Laurent</v>
          </cell>
        </row>
        <row r="12387">
          <cell r="C12387" t="str">
            <v>Securities Service - Major Client Onboarding (US Only)</v>
          </cell>
          <cell r="AK12387" t="str">
            <v>Chris Johnston</v>
          </cell>
        </row>
        <row r="12388">
          <cell r="C12388" t="str">
            <v>EXELON-Digital Experience</v>
          </cell>
          <cell r="AK12388" t="str">
            <v>Sara Neustadt</v>
          </cell>
        </row>
        <row r="12389">
          <cell r="C12389" t="str">
            <v>FCB_Commercial Digital Channels TSR FY26</v>
          </cell>
          <cell r="AK12389" t="str">
            <v>Kaylin Kugler</v>
          </cell>
        </row>
        <row r="12390">
          <cell r="C12390" t="str">
            <v>MSWM Platforms Portfolio TOM Implementation</v>
          </cell>
          <cell r="AK12390" t="str">
            <v>Michael Rappaport</v>
          </cell>
        </row>
        <row r="12391">
          <cell r="C12391" t="str">
            <v>AVAN_TPRM Implementation</v>
          </cell>
          <cell r="AK12391" t="str">
            <v>Ambika Kutty</v>
          </cell>
        </row>
        <row r="12392">
          <cell r="C12392" t="str">
            <v>American National - PRT Graph</v>
          </cell>
          <cell r="AK12392" t="str">
            <v>Matthew Zidow</v>
          </cell>
        </row>
        <row r="12393">
          <cell r="C12393" t="str">
            <v>FINRA Exams Tech advisory &amp; Support H22025</v>
          </cell>
          <cell r="AK12393" t="str">
            <v>Ruby Cherian</v>
          </cell>
        </row>
        <row r="12394">
          <cell r="C12394" t="str">
            <v>BOKF_DataVisor Implementation</v>
          </cell>
          <cell r="AK12394" t="str">
            <v>Gregg Henzel</v>
          </cell>
        </row>
        <row r="12395">
          <cell r="C12395" t="str">
            <v>FCB_Workforce Transformation</v>
          </cell>
          <cell r="AK12395" t="str">
            <v>Karl Augenstein</v>
          </cell>
        </row>
        <row r="12396">
          <cell r="C12396" t="str">
            <v>FINRA Gen AI Support H2 2024</v>
          </cell>
          <cell r="AK12396" t="str">
            <v>Ruby Cherian</v>
          </cell>
        </row>
        <row r="12397">
          <cell r="C12397" t="str">
            <v>DB-CB-AS-IT- CB Tech Sec Lending Opp_L3 Support</v>
          </cell>
          <cell r="AK12397" t="str">
            <v>Ruby Cherian</v>
          </cell>
        </row>
        <row r="12398">
          <cell r="C12398" t="str">
            <v>Carlyle Salesforce Developer</v>
          </cell>
          <cell r="H12398">
            <v>5055843</v>
          </cell>
          <cell r="AK12398" t="str">
            <v>Keshav Khanna</v>
          </cell>
        </row>
        <row r="12399">
          <cell r="C12399" t="str">
            <v>Consent &amp; Preferences Requirements Engineering</v>
          </cell>
          <cell r="AK12399" t="str">
            <v>James Fischer</v>
          </cell>
        </row>
        <row r="12400">
          <cell r="C12400" t="str">
            <v>Santander_Webster Bank Integration</v>
          </cell>
          <cell r="AK12400" t="str">
            <v>Dana Schwaeber</v>
          </cell>
        </row>
        <row r="12401">
          <cell r="C12401" t="str">
            <v>DB-CAO-INV-BS-FCO BTL Testing</v>
          </cell>
          <cell r="AK12401" t="str">
            <v>Ruby Cherian</v>
          </cell>
        </row>
        <row r="12402">
          <cell r="C12402" t="str">
            <v>DB-DWS-DCO-Transformation Support</v>
          </cell>
          <cell r="AK12402" t="str">
            <v>Ruby Cherian</v>
          </cell>
        </row>
        <row r="12403">
          <cell r="C12403" t="str">
            <v>PLUG_Hydrogen Monetization</v>
          </cell>
          <cell r="AK12403" t="str">
            <v>Daisy Pradhan</v>
          </cell>
        </row>
        <row r="12404">
          <cell r="C12404" t="str">
            <v>Securian PRT Data Ingestion Optimization</v>
          </cell>
          <cell r="AK12404" t="str">
            <v>Matthew Zidow</v>
          </cell>
        </row>
        <row r="12405">
          <cell r="C12405" t="str">
            <v>Truist_SOW#_Identity and Access Management</v>
          </cell>
          <cell r="AK12405" t="str">
            <v>Tyler Conover</v>
          </cell>
        </row>
        <row r="12406">
          <cell r="C12406" t="str">
            <v>Truist_SOW#_Security Governance_Cyber Risk Board Management Oversight</v>
          </cell>
          <cell r="AK12406" t="str">
            <v>Tyler Conover</v>
          </cell>
        </row>
        <row r="12407">
          <cell r="C12407" t="str">
            <v>Cathay Bank</v>
          </cell>
          <cell r="AK12407" t="str">
            <v>Leigh Tribou</v>
          </cell>
        </row>
        <row r="12408">
          <cell r="C12408" t="str">
            <v>TD Securities_US Strategy</v>
          </cell>
          <cell r="AK12408" t="str">
            <v>Michael Rappaport</v>
          </cell>
        </row>
        <row r="12409">
          <cell r="C12409" t="str">
            <v>SF - RFP DCT Program for Tech &amp; OPS</v>
          </cell>
          <cell r="AK12409" t="str">
            <v>Ameya Deolalkar</v>
          </cell>
        </row>
        <row r="12410">
          <cell r="C12410" t="str">
            <v>AVAN_GIS Upgrade</v>
          </cell>
          <cell r="AK12410" t="str">
            <v>Kerry Brown</v>
          </cell>
        </row>
        <row r="12411">
          <cell r="C12411" t="str">
            <v>USAA Redisclosure Desk 2026</v>
          </cell>
          <cell r="AK12411" t="str">
            <v>Michael Austin</v>
          </cell>
        </row>
        <row r="12412">
          <cell r="C12412" t="str">
            <v>USAA_TILA Good Faith Review 2026</v>
          </cell>
          <cell r="AK12412" t="str">
            <v>Michael Austin</v>
          </cell>
        </row>
        <row r="12413">
          <cell r="C12413" t="str">
            <v>CapcoSales USAA_CDQA 2026</v>
          </cell>
          <cell r="AK12413" t="str">
            <v>Michael Austin</v>
          </cell>
        </row>
        <row r="12414">
          <cell r="C12414" t="str">
            <v>EO&amp;T - Automated Dashboard</v>
          </cell>
          <cell r="H12414">
            <v>5052346</v>
          </cell>
          <cell r="AK12414" t="str">
            <v>Kalkidan Tedla</v>
          </cell>
        </row>
        <row r="12415">
          <cell r="C12415" t="str">
            <v>BNPP C&amp;S AI Workforce Enablement</v>
          </cell>
          <cell r="AK12415" t="str">
            <v>Christine Garrard</v>
          </cell>
        </row>
        <row r="12416">
          <cell r="C12416" t="str">
            <v>HNB_Mobile Channel Modernization and Reengineering</v>
          </cell>
          <cell r="AK12416" t="str">
            <v>Danielle Theroux</v>
          </cell>
        </row>
        <row r="12417">
          <cell r="C12417" t="str">
            <v>Jefferies CIO AI Corporate Technology Roadmap</v>
          </cell>
          <cell r="AK12417" t="str">
            <v>Ervinas Janavicius</v>
          </cell>
        </row>
        <row r="12418">
          <cell r="C12418" t="str">
            <v>City Bank (TX)_RAS</v>
          </cell>
          <cell r="AK12418" t="str">
            <v>Diane Banks</v>
          </cell>
        </row>
        <row r="12419">
          <cell r="C12419" t="str">
            <v>Lennar Mortgage BSA Indep. Test</v>
          </cell>
          <cell r="AK12419" t="str">
            <v>Eric Van Epps</v>
          </cell>
        </row>
        <row r="12420">
          <cell r="C12420" t="str">
            <v>Truist_Wholesale Technology - Front End Development Support</v>
          </cell>
          <cell r="AK12420" t="str">
            <v>Jori Heikkinen</v>
          </cell>
        </row>
        <row r="12421">
          <cell r="C12421" t="str">
            <v>Product Development</v>
          </cell>
          <cell r="AK12421" t="str">
            <v>Justin Hayden</v>
          </cell>
        </row>
        <row r="12422">
          <cell r="C12422" t="str">
            <v>Support during Exam</v>
          </cell>
          <cell r="AK12422" t="str">
            <v>Boris Mallet</v>
          </cell>
        </row>
        <row r="12423">
          <cell r="C12423" t="str">
            <v>Popular / BPPR UDAAP Sales Practices Review</v>
          </cell>
          <cell r="AK12423" t="str">
            <v>Eugene Collett</v>
          </cell>
        </row>
        <row r="12424">
          <cell r="C12424" t="str">
            <v>FCB_Commercial Lending TSR</v>
          </cell>
          <cell r="AK12424" t="str">
            <v>Karl Augenstein</v>
          </cell>
        </row>
        <row r="12425">
          <cell r="C12425" t="str">
            <v>CACIB Cybersecurity Program</v>
          </cell>
          <cell r="AK12425" t="str">
            <v>Anika Yan</v>
          </cell>
        </row>
        <row r="12426">
          <cell r="C12426" t="str">
            <v>USB Treasury Clearing</v>
          </cell>
          <cell r="AK12426" t="str">
            <v>Matthew Rodgers</v>
          </cell>
        </row>
        <row r="12427">
          <cell r="C12427" t="str">
            <v>GRC Content</v>
          </cell>
          <cell r="AK12427" t="str">
            <v>Gregg Henzel</v>
          </cell>
        </row>
        <row r="12428">
          <cell r="C12428" t="str">
            <v>USB_Repo Netting Ph2</v>
          </cell>
          <cell r="AK12428" t="str">
            <v>Samuel Awsumb</v>
          </cell>
        </row>
        <row r="12429">
          <cell r="C12429" t="str">
            <v>ICBA GSP Model Execution</v>
          </cell>
          <cell r="AK12429" t="str">
            <v>James Kane</v>
          </cell>
        </row>
        <row r="12430">
          <cell r="C12430" t="str">
            <v>MS_Cyber_Technology Risk Governance</v>
          </cell>
          <cell r="AK12430" t="str">
            <v>Boris Mallet</v>
          </cell>
        </row>
        <row r="12431">
          <cell r="C12431" t="str">
            <v>Truist_Enterprise Wholesale - CIAM Migration</v>
          </cell>
          <cell r="AK12431" t="str">
            <v>Brian Reed</v>
          </cell>
        </row>
        <row r="12432">
          <cell r="C12432" t="str">
            <v>U.S. Wealth AI STAAT (Smart Technologies and Advanced Analytics Team)</v>
          </cell>
          <cell r="AK12432" t="str">
            <v>Gregory Feldman</v>
          </cell>
        </row>
        <row r="12433">
          <cell r="C12433" t="str">
            <v>MS_Cyber_Post Quantum Cryptography</v>
          </cell>
          <cell r="AK12433" t="str">
            <v>Boris Mallet</v>
          </cell>
        </row>
        <row r="12434">
          <cell r="C12434" t="str">
            <v>FCB Digital Assets POC</v>
          </cell>
          <cell r="AK12434" t="str">
            <v>Ervinas Janavicius</v>
          </cell>
        </row>
        <row r="12435">
          <cell r="C12435" t="str">
            <v>FAST Staff Augmentation Work Pod 1 Extension</v>
          </cell>
          <cell r="H12435">
            <v>5056910</v>
          </cell>
          <cell r="AK12435" t="str">
            <v>Nikolas Lozada</v>
          </cell>
        </row>
        <row r="12436">
          <cell r="C12436" t="str">
            <v>EMC/Avocet Partners- PMI Implementation/Org Model</v>
          </cell>
          <cell r="AK12436" t="str">
            <v>Michelle Rosen</v>
          </cell>
        </row>
        <row r="12437">
          <cell r="C12437" t="str">
            <v>MS_Cyber_Data Protection</v>
          </cell>
          <cell r="AK12437" t="str">
            <v>Boris Mallet</v>
          </cell>
        </row>
        <row r="12438">
          <cell r="C12438" t="str">
            <v>Resolution Life - PRT</v>
          </cell>
          <cell r="AK12438" t="str">
            <v>Caleb Severn</v>
          </cell>
        </row>
        <row r="12439">
          <cell r="C12439" t="str">
            <v>Graph KB Actuarial CoE Expansion</v>
          </cell>
          <cell r="AK12439" t="str">
            <v>Emily Clark</v>
          </cell>
        </row>
        <row r="12440">
          <cell r="C12440" t="str">
            <v>AVAN_Cybersecurity Resilience Project</v>
          </cell>
          <cell r="AK12440" t="str">
            <v>Alexander Amaya</v>
          </cell>
        </row>
        <row r="12441">
          <cell r="C12441" t="str">
            <v>FCB_ISO20022 Ext.</v>
          </cell>
          <cell r="H12441">
            <v>5055524</v>
          </cell>
          <cell r="AK12441" t="str">
            <v>Samuel Awsumb</v>
          </cell>
        </row>
        <row r="12442">
          <cell r="C12442" t="str">
            <v>MainStreet Bank - VA - FL Services</v>
          </cell>
          <cell r="AK12442" t="str">
            <v>Leigh Tribou</v>
          </cell>
        </row>
        <row r="12443">
          <cell r="C12443" t="str">
            <v>Santander - KYC Refresh_July to Dec_2026</v>
          </cell>
          <cell r="H12443">
            <v>5057097</v>
          </cell>
          <cell r="AK12443" t="str">
            <v>Dana Schwaeber</v>
          </cell>
        </row>
        <row r="12444">
          <cell r="C12444" t="str">
            <v>Santander - Testing July_Dec_2026</v>
          </cell>
          <cell r="H12444">
            <v>5055377</v>
          </cell>
          <cell r="AK12444" t="str">
            <v>Dana Schwaeber</v>
          </cell>
        </row>
        <row r="12445">
          <cell r="C12445" t="str">
            <v>EO&amp;T - EDO 2026  Placeholder</v>
          </cell>
          <cell r="H12445">
            <v>5055413</v>
          </cell>
          <cell r="AK12445" t="str">
            <v>Kalkidan Tedla</v>
          </cell>
        </row>
        <row r="12446">
          <cell r="C12446" t="str">
            <v>MS_MSIM Project Horizon TM FY27 Q2-Q4</v>
          </cell>
          <cell r="H12446">
            <v>5055572</v>
          </cell>
          <cell r="AK12446" t="str">
            <v>Dan Schutzman</v>
          </cell>
        </row>
        <row r="12447">
          <cell r="C12447" t="str">
            <v>MS_ISG Bangalore FY27 Q2-Q4</v>
          </cell>
          <cell r="H12447">
            <v>5054681</v>
          </cell>
          <cell r="AK12447" t="str">
            <v>Csaba Biro</v>
          </cell>
        </row>
        <row r="12448">
          <cell r="C12448" t="str">
            <v>Recurring FAB_BSA Independent Testing</v>
          </cell>
          <cell r="H12448">
            <v>5057211</v>
          </cell>
          <cell r="AK12448" t="str">
            <v>William Sachs</v>
          </cell>
        </row>
        <row r="12449">
          <cell r="C12449" t="str">
            <v>Pru - ILI - 25 x 4 Project Manager</v>
          </cell>
          <cell r="H12449">
            <v>5056521</v>
          </cell>
          <cell r="AK12449" t="str">
            <v>Emily Grochowski</v>
          </cell>
        </row>
        <row r="12450">
          <cell r="C12450" t="str">
            <v>MS_Data FY27 Q2-Q4</v>
          </cell>
          <cell r="H12450">
            <v>5054704</v>
          </cell>
          <cell r="AK12450" t="str">
            <v>Dan Schutzman</v>
          </cell>
        </row>
        <row r="12451">
          <cell r="C12451" t="str">
            <v>USF FCU Fair Lending Analysis</v>
          </cell>
          <cell r="AK12451" t="str">
            <v>Leigh Tribou</v>
          </cell>
        </row>
        <row r="12452">
          <cell r="C12452" t="str">
            <v>Popular _ MiBanco Q2 Ext</v>
          </cell>
          <cell r="AK12452" t="str">
            <v>Eugene Collett</v>
          </cell>
        </row>
        <row r="12453">
          <cell r="C12453" t="str">
            <v>MS_ISG Legacy Mod Operations FY27 Q2-Q4</v>
          </cell>
          <cell r="H12453">
            <v>5055981</v>
          </cell>
          <cell r="AK12453" t="str">
            <v>Csaba Biro</v>
          </cell>
        </row>
        <row r="12454">
          <cell r="C12454" t="str">
            <v>Pru - RS - OneInc Integration - Discovery Requirements Gathering</v>
          </cell>
          <cell r="AK12454" t="str">
            <v>Seth Berman</v>
          </cell>
        </row>
        <row r="12455">
          <cell r="C12455" t="str">
            <v>Wells Fargo - ChangeSourcing Dot Ai - Replicate MS Structure in IB Ops</v>
          </cell>
          <cell r="AK12455" t="str">
            <v>Bryce Schamay</v>
          </cell>
        </row>
        <row r="12456">
          <cell r="C12456" t="str">
            <v>Santander - Channel Transformation July-Dec_ 2026</v>
          </cell>
          <cell r="H12456">
            <v>5057095</v>
          </cell>
          <cell r="AK12456" t="str">
            <v>Dana Schwaeber</v>
          </cell>
        </row>
        <row r="12457">
          <cell r="C12457" t="str">
            <v>FCB Enterprise Architecture Environments Strategy</v>
          </cell>
          <cell r="AK12457" t="str">
            <v>Lewis Levenberg</v>
          </cell>
        </row>
        <row r="12458">
          <cell r="C12458" t="str">
            <v>HSBC-GFP-DAT-ILM-INFOMAC to DLAS Transition</v>
          </cell>
          <cell r="AK12458" t="str">
            <v>Parul Chowdhry</v>
          </cell>
        </row>
        <row r="12459">
          <cell r="C12459" t="str">
            <v>DB-CB-AS-IT-Corporate Banking Technology Dev BA roles</v>
          </cell>
          <cell r="AK12459" t="str">
            <v>Ruby Cherian</v>
          </cell>
        </row>
        <row r="12460">
          <cell r="C12460" t="str">
            <v>FCB_Zelle Strategy</v>
          </cell>
          <cell r="AK12460" t="str">
            <v>Thomas Wilson</v>
          </cell>
        </row>
        <row r="12461">
          <cell r="C12461" t="str">
            <v>MS_MSIM FY27 Q2-Q4</v>
          </cell>
          <cell r="H12461">
            <v>5054706</v>
          </cell>
          <cell r="AK12461" t="str">
            <v>Dan Schutzman</v>
          </cell>
        </row>
        <row r="12462">
          <cell r="C12462" t="str">
            <v>SEIU1199 Training System - Portal &amp; Arch Ph 2</v>
          </cell>
          <cell r="H12462">
            <v>5056956</v>
          </cell>
          <cell r="AK12462" t="str">
            <v>Arjun Nohria</v>
          </cell>
        </row>
        <row r="12463">
          <cell r="C12463" t="str">
            <v>NFCU - TRID Post-Closing Review</v>
          </cell>
          <cell r="AK12463" t="str">
            <v>Thuy Whitaker</v>
          </cell>
        </row>
        <row r="12464">
          <cell r="C12464" t="str">
            <v>Financial Data Transformation</v>
          </cell>
          <cell r="AK12464" t="str">
            <v>Lauren Somma</v>
          </cell>
        </row>
        <row r="12465">
          <cell r="C12465" t="str">
            <v>Exam Modernization Program FY27</v>
          </cell>
          <cell r="H12465">
            <v>5050888</v>
          </cell>
          <cell r="AK12465" t="str">
            <v>Danny Li</v>
          </cell>
        </row>
        <row r="12466">
          <cell r="C12466" t="str">
            <v>MS_WM Business FY27 Q2-Q4</v>
          </cell>
          <cell r="H12466">
            <v>5054733</v>
          </cell>
          <cell r="AK12466" t="str">
            <v>Dan Schutzman</v>
          </cell>
        </row>
        <row r="12467">
          <cell r="C12467" t="str">
            <v>Member Call Quality</v>
          </cell>
          <cell r="AK12467" t="str">
            <v>Thuy Whitaker</v>
          </cell>
        </row>
        <row r="12468">
          <cell r="C12468" t="str">
            <v>FINRA CRED Process Mapping Opp FY26</v>
          </cell>
          <cell r="AK12468" t="str">
            <v>Ruby Cherian</v>
          </cell>
        </row>
        <row r="12469">
          <cell r="C12469" t="str">
            <v>DB-CB-AS-IT- CB Tech Sec Lending Opp_Engg Support</v>
          </cell>
          <cell r="AK12469" t="str">
            <v>Ruby Cherian</v>
          </cell>
        </row>
        <row r="12470">
          <cell r="C12470" t="str">
            <v>GRC - Internal Audit Management Implementation and Support</v>
          </cell>
          <cell r="AK12470" t="str">
            <v>Gregg Henzel</v>
          </cell>
        </row>
        <row r="12471">
          <cell r="C12471" t="str">
            <v>MS_WM Operations FY27 Q2-Q4</v>
          </cell>
          <cell r="H12471">
            <v>5054738</v>
          </cell>
          <cell r="AK12471" t="str">
            <v>Dan Schutzman</v>
          </cell>
        </row>
        <row r="12472">
          <cell r="C12472" t="str">
            <v>Preferred Bank - BSA audit 2026</v>
          </cell>
          <cell r="AK12472" t="str">
            <v>Mary Louise Radley</v>
          </cell>
        </row>
        <row r="12473">
          <cell r="C12473" t="str">
            <v>Preferred Bank - Regulatory Compliance Audit</v>
          </cell>
          <cell r="AK12473" t="str">
            <v>Mary Louise Radley</v>
          </cell>
        </row>
        <row r="12474">
          <cell r="C12474" t="str">
            <v>Preferred Bank Mortgage Ops &amp; Compliance audit 2026</v>
          </cell>
          <cell r="AK12474" t="str">
            <v>Mary Louise Radley</v>
          </cell>
        </row>
        <row r="12475">
          <cell r="C12475" t="str">
            <v>CIBC US SBL Assessment</v>
          </cell>
          <cell r="AK12475" t="str">
            <v>Emily Glaessner</v>
          </cell>
        </row>
        <row r="12476">
          <cell r="C12476" t="str">
            <v>Citi Wealth Transformation July to Dec 2026</v>
          </cell>
          <cell r="H12476">
            <v>5052909</v>
          </cell>
          <cell r="AK12476" t="str">
            <v>Raymond Ortiz II</v>
          </cell>
        </row>
        <row r="12477">
          <cell r="C12477" t="str">
            <v>FCB_Card Customization Strategy</v>
          </cell>
          <cell r="AK12477" t="str">
            <v>John McHugh</v>
          </cell>
        </row>
        <row r="12478">
          <cell r="C12478" t="str">
            <v>MS_HR Data BA Fy27 Q2-Q4</v>
          </cell>
          <cell r="H12478">
            <v>5054735</v>
          </cell>
          <cell r="AK12478" t="str">
            <v>Kshitij Zaveri</v>
          </cell>
        </row>
        <row r="12479">
          <cell r="C12479" t="str">
            <v>Pru PGIM AEM Developer Extensions</v>
          </cell>
          <cell r="H12479">
            <v>5057373</v>
          </cell>
          <cell r="AK12479" t="str">
            <v>Diego Sarai</v>
          </cell>
        </row>
        <row r="12480">
          <cell r="C12480" t="str">
            <v>MS_WM Technology FY27 Q2-Q4</v>
          </cell>
          <cell r="H12480">
            <v>5054717</v>
          </cell>
          <cell r="AK12480" t="str">
            <v>Dan Schutzman</v>
          </cell>
        </row>
        <row r="12481">
          <cell r="C12481" t="str">
            <v>PenFed | Fair Lending Data Collection and Reporting</v>
          </cell>
          <cell r="AK12481" t="str">
            <v>Thuy Whitaker</v>
          </cell>
        </row>
        <row r="12482">
          <cell r="C12482" t="str">
            <v>MS_US ISG Ops Mumbai FY27 Q2-Q4</v>
          </cell>
          <cell r="H12482">
            <v>5054682</v>
          </cell>
          <cell r="AK12482" t="str">
            <v>Csaba Biro</v>
          </cell>
        </row>
        <row r="12483">
          <cell r="C12483" t="str">
            <v>MS_TPPM Business FY27 Q2-Q4</v>
          </cell>
          <cell r="H12483">
            <v>5054716</v>
          </cell>
          <cell r="AK12483" t="str">
            <v>Dan Schutzman</v>
          </cell>
        </row>
        <row r="12484">
          <cell r="C12484" t="str">
            <v>MS_ISG Operations FY27 Q2-Q4</v>
          </cell>
          <cell r="H12484">
            <v>5054762</v>
          </cell>
          <cell r="AK12484" t="str">
            <v>Csaba Biro</v>
          </cell>
        </row>
        <row r="12485">
          <cell r="C12485" t="str">
            <v>MS_ISG ETH FY27 Q2-Q4</v>
          </cell>
          <cell r="H12485">
            <v>5056057</v>
          </cell>
          <cell r="AK12485" t="str">
            <v>Csaba Biro</v>
          </cell>
        </row>
        <row r="12486">
          <cell r="C12486" t="str">
            <v>KYC FY '27 Extension 1</v>
          </cell>
          <cell r="H12486">
            <v>5054884</v>
          </cell>
          <cell r="AK12486" t="str">
            <v>Daniel Outcalt</v>
          </cell>
        </row>
        <row r="12487">
          <cell r="C12487" t="str">
            <v>SEIU775_CLC EA Project Support Ph21</v>
          </cell>
          <cell r="H12487">
            <v>5041705</v>
          </cell>
          <cell r="AK12487" t="str">
            <v>Eric Fairchild</v>
          </cell>
        </row>
        <row r="12488">
          <cell r="C12488" t="str">
            <v>SEIU1199 Training System Prod Supt Ph 1</v>
          </cell>
          <cell r="H12488">
            <v>5056956</v>
          </cell>
          <cell r="AK12488" t="str">
            <v>Arjun Nohria</v>
          </cell>
        </row>
        <row r="12489">
          <cell r="C12489" t="str">
            <v>Jeff_Jupiter/MDM-JDS Phase 1</v>
          </cell>
          <cell r="AK12489" t="str">
            <v>Neha Patel</v>
          </cell>
        </row>
        <row r="12490">
          <cell r="C12490" t="str">
            <v>Truist_SOW#32_CO2_Merchant Engage Platform Build-Out</v>
          </cell>
          <cell r="H12490">
            <v>5056535</v>
          </cell>
          <cell r="AK12490" t="str">
            <v>Jori Heikkinen</v>
          </cell>
        </row>
        <row r="12491">
          <cell r="C12491" t="str">
            <v>HSBC-WSB-GPS - Commercial Card Portfolio 2026 Strategic Initiatives CO#2</v>
          </cell>
          <cell r="H12491">
            <v>5057076</v>
          </cell>
          <cell r="AK12491" t="str">
            <v>James Kane</v>
          </cell>
        </row>
        <row r="12492">
          <cell r="C12492" t="str">
            <v>Pru - ILI - OneInc Integration Discovery &amp; Requirements</v>
          </cell>
          <cell r="AK12492" t="str">
            <v>Seth Berman</v>
          </cell>
        </row>
        <row r="12493">
          <cell r="C12493" t="str">
            <v>Marsh Right Shore- July through Dec 2026 Extension</v>
          </cell>
          <cell r="H12493">
            <v>5053515</v>
          </cell>
          <cell r="AK12493" t="str">
            <v>Lucy Geringer</v>
          </cell>
        </row>
        <row r="12494">
          <cell r="C12494" t="str">
            <v>Truist_Marketing Phase 1 - Process Transformation</v>
          </cell>
          <cell r="AK12494" t="str">
            <v>Mark Mountan</v>
          </cell>
        </row>
        <row r="12495">
          <cell r="C12495" t="str">
            <v>Pru PRT FAST PMO Ext FY27 Q2 Q3</v>
          </cell>
          <cell r="H12495">
            <v>5057454</v>
          </cell>
          <cell r="AK12495" t="str">
            <v>Emily Clark</v>
          </cell>
        </row>
        <row r="12496">
          <cell r="C12496" t="str">
            <v>Nomura PMI Support</v>
          </cell>
          <cell r="AK12496" t="str">
            <v>Matthew Fischer</v>
          </cell>
        </row>
        <row r="12497">
          <cell r="C12497" t="str">
            <v>Nomura AI POC</v>
          </cell>
          <cell r="AK12497" t="str">
            <v>Amrit Rai</v>
          </cell>
        </row>
        <row r="12498">
          <cell r="C12498" t="str">
            <v>NFCU Payments Pursuits</v>
          </cell>
          <cell r="AK12498" t="str">
            <v>Spencer Feuer</v>
          </cell>
        </row>
        <row r="12499">
          <cell r="C12499" t="str">
            <v>Santander - GOO - Mexico Business Digital Transformation</v>
          </cell>
          <cell r="AK12499" t="str">
            <v>Irene Symeonidou</v>
          </cell>
        </row>
        <row r="12500">
          <cell r="C12500" t="str">
            <v>New York Life Data Optimization</v>
          </cell>
          <cell r="AK12500" t="str">
            <v>FK Funderburke</v>
          </cell>
        </row>
        <row r="12501">
          <cell r="C12501" t="str">
            <v>NFCU Digital Channel Tech Support</v>
          </cell>
          <cell r="AK12501" t="str">
            <v>Thomas Scott</v>
          </cell>
        </row>
        <row r="12502">
          <cell r="C12502" t="str">
            <v>Nomuraa DTCC  Clearing/Settlements Chnage</v>
          </cell>
          <cell r="AK12502" t="str">
            <v>Salim Modi</v>
          </cell>
        </row>
        <row r="12503">
          <cell r="C12503" t="str">
            <v>MS_NFR FDO Reg Exam Action Plan Remedation</v>
          </cell>
          <cell r="AK12503" t="str">
            <v>Alice Maltby</v>
          </cell>
        </row>
        <row r="12504">
          <cell r="C12504" t="str">
            <v>SEIU775 Cust Exp Vision</v>
          </cell>
          <cell r="AK12504" t="str">
            <v>Eric Fairchild</v>
          </cell>
        </row>
        <row r="12505">
          <cell r="C12505" t="str">
            <v>DB-CAO-AFC-US Managed Srvcs FCO Surge Support 2026</v>
          </cell>
          <cell r="AK12505" t="str">
            <v>Ruby Cherian</v>
          </cell>
        </row>
        <row r="12506">
          <cell r="C12506" t="str">
            <v>Gallagher_LatAm pods support</v>
          </cell>
          <cell r="AK12506" t="str">
            <v>Nick Hufford</v>
          </cell>
        </row>
        <row r="12507">
          <cell r="C12507" t="str">
            <v>BMO US Correspondent Banking FY27</v>
          </cell>
          <cell r="AK12507" t="str">
            <v>Shane Omidi</v>
          </cell>
        </row>
        <row r="12508">
          <cell r="C12508" t="str">
            <v>Truist_Enterprise Wholesale - Digital Onboarding Re-Engineering</v>
          </cell>
          <cell r="AK12508" t="str">
            <v>Brian Reed</v>
          </cell>
        </row>
        <row r="12509">
          <cell r="C12509" t="str">
            <v>GRC Implementation</v>
          </cell>
          <cell r="AK12509" t="str">
            <v>Gregg Henzel</v>
          </cell>
        </row>
        <row r="12510">
          <cell r="C12510" t="str">
            <v>NFCU Talent &amp; Change Management Strategy</v>
          </cell>
          <cell r="AK12510" t="str">
            <v>Thomas Scott</v>
          </cell>
        </row>
        <row r="12511">
          <cell r="C12511" t="str">
            <v>FIS UBIX Derivatives Clearing Upgrade</v>
          </cell>
          <cell r="AK12511" t="str">
            <v>Thanh Le Xuan</v>
          </cell>
        </row>
        <row r="12512">
          <cell r="C12512" t="str">
            <v>Allianz RFI- Data Modernization Architecture/ Implementation &amp; Scaling partner</v>
          </cell>
          <cell r="AK12512" t="str">
            <v>Danielle Lutkus</v>
          </cell>
        </row>
        <row r="12513">
          <cell r="C12513" t="str">
            <v>PacLife PRT Data Ingestion Optimization Phase 3</v>
          </cell>
          <cell r="H12513">
            <v>5057606</v>
          </cell>
          <cell r="AK12513" t="str">
            <v>Matthew Zidow</v>
          </cell>
        </row>
        <row r="12514">
          <cell r="C12514" t="str">
            <v>Wealth Compliance Support</v>
          </cell>
          <cell r="AK12514" t="str">
            <v>Steven D'Angelo</v>
          </cell>
        </row>
        <row r="12515">
          <cell r="C12515" t="str">
            <v>SEIU775 2026 Health Vendor Selection Pt 2</v>
          </cell>
          <cell r="AK12515" t="str">
            <v>Eric Fairchild</v>
          </cell>
        </row>
        <row r="12516">
          <cell r="C12516" t="str">
            <v>FCB Solution Architecture</v>
          </cell>
          <cell r="AK12516" t="str">
            <v>Matt Markham</v>
          </cell>
        </row>
        <row r="12517">
          <cell r="C12517" t="str">
            <v>FCB Buy vs Build Solution Architecture</v>
          </cell>
          <cell r="AK12517" t="str">
            <v>Matt Markham</v>
          </cell>
        </row>
        <row r="12518">
          <cell r="C12518" t="str">
            <v>WF Small Bus Banking Dev Support</v>
          </cell>
          <cell r="AK12518" t="str">
            <v>Luke Penca</v>
          </cell>
        </row>
        <row r="12519">
          <cell r="C12519" t="str">
            <v>FAST Training Tranche #3</v>
          </cell>
          <cell r="H12519">
            <v>5056910</v>
          </cell>
          <cell r="AK12519" t="str">
            <v>Nikolas Lozada</v>
          </cell>
        </row>
        <row r="12520">
          <cell r="C12520" t="str">
            <v>FCB_Mortgage End to End Transformation Phase 1&amp;2</v>
          </cell>
          <cell r="AK12520" t="str">
            <v>Bo McCarty</v>
          </cell>
        </row>
        <row r="12521">
          <cell r="C12521" t="str">
            <v>FCB ED Application Development</v>
          </cell>
          <cell r="AK12521" t="str">
            <v>Matt Markham</v>
          </cell>
        </row>
        <row r="12522">
          <cell r="C12522" t="str">
            <v>FCSB-Reg.-Advisory-Svcs.</v>
          </cell>
          <cell r="AK12522" t="str">
            <v>Diane Banks</v>
          </cell>
        </row>
        <row r="12523">
          <cell r="C12523" t="str">
            <v>USB_000_Cap Mkt Regulatory Mgmt</v>
          </cell>
          <cell r="AK12523" t="str">
            <v>Matthew Rodgers</v>
          </cell>
        </row>
        <row r="12524">
          <cell r="C12524" t="str">
            <v>Abu Dhabi Bank BD Buildout Phase 1</v>
          </cell>
          <cell r="AK12524" t="str">
            <v>Matthew Rodgers</v>
          </cell>
        </row>
        <row r="12525">
          <cell r="C12525" t="str">
            <v>TruStage - Privacy Automation Tooling Advisory/Requirements Engineering</v>
          </cell>
          <cell r="AK12525" t="str">
            <v>James Fischer</v>
          </cell>
        </row>
        <row r="12526">
          <cell r="C12526" t="str">
            <v>TruStage Engineering Future State</v>
          </cell>
          <cell r="AK12526" t="str">
            <v>Paul Laurent</v>
          </cell>
        </row>
        <row r="12527">
          <cell r="C12527" t="str">
            <v>Jefferies New Business Support</v>
          </cell>
          <cell r="H12527">
            <v>5045935</v>
          </cell>
          <cell r="AK12527" t="str">
            <v>Julia Simmons</v>
          </cell>
        </row>
        <row r="12528">
          <cell r="C12528" t="str">
            <v>HNB_Salesforce and Mulesoft Midnights Support Extension</v>
          </cell>
          <cell r="H12528">
            <v>5056627</v>
          </cell>
          <cell r="AK12528" t="str">
            <v>Luke Penca</v>
          </cell>
        </row>
        <row r="12529">
          <cell r="C12529" t="str">
            <v>Reg Change</v>
          </cell>
          <cell r="AK12529" t="str">
            <v>Matthew Rodgers</v>
          </cell>
        </row>
        <row r="12530">
          <cell r="C12530" t="str">
            <v>Consumer/Bus Banking Support  - Jay Parsons</v>
          </cell>
          <cell r="AK12530" t="str">
            <v>Christopher Capotosto</v>
          </cell>
        </row>
        <row r="12531">
          <cell r="C12531" t="str">
            <v>Primary Bank Compliance Monitoring</v>
          </cell>
          <cell r="AK12531" t="str">
            <v>Eugene Collett</v>
          </cell>
        </row>
        <row r="12532">
          <cell r="C12532" t="str">
            <v>Product Support - Financial Planning - Sunsy Hong</v>
          </cell>
          <cell r="AK12532" t="str">
            <v>Nikhil Sharma</v>
          </cell>
        </row>
        <row r="12533">
          <cell r="C12533" t="str">
            <v>ICM - Staff Aug Role Needs</v>
          </cell>
          <cell r="AK12533" t="str">
            <v>Kalkidan Tedla</v>
          </cell>
        </row>
        <row r="12534">
          <cell r="C12534" t="str">
            <v>First National Bank in Sioux Falls - 2025 ABA RCC Lead</v>
          </cell>
          <cell r="H12534">
            <v>5057263</v>
          </cell>
          <cell r="AK12534" t="str">
            <v>Elanna Kooistra</v>
          </cell>
        </row>
        <row r="12535">
          <cell r="C12535" t="str">
            <v>Structured Products - Analyst Support</v>
          </cell>
          <cell r="AK12535" t="str">
            <v>Steven D'Angelo</v>
          </cell>
        </row>
        <row r="12536">
          <cell r="C12536" t="str">
            <v>HNB Mortgage LOS De-Conversion</v>
          </cell>
          <cell r="AK12536" t="str">
            <v>John Geertsema</v>
          </cell>
        </row>
        <row r="12537">
          <cell r="C12537" t="str">
            <v>UBS - Workplace Wealth (Phase 1)</v>
          </cell>
          <cell r="AK12537" t="str">
            <v>Stephane Ritz</v>
          </cell>
        </row>
        <row r="12538">
          <cell r="C12538" t="str">
            <v>PureFacts One Version Migration Efforts</v>
          </cell>
          <cell r="AK12538" t="str">
            <v>Carl Repoli</v>
          </cell>
        </row>
        <row r="12539">
          <cell r="C12539" t="str">
            <v>Next Allianz Conversion</v>
          </cell>
          <cell r="AK12539" t="str">
            <v>Danielle Lutkus</v>
          </cell>
        </row>
        <row r="12540">
          <cell r="C12540" t="str">
            <v>Nationwide - BigID AI Governance Tooling Support</v>
          </cell>
          <cell r="AK12540" t="str">
            <v>Andy Soodek</v>
          </cell>
        </row>
        <row r="12541">
          <cell r="C12541" t="str">
            <v>TruStage - TPRM Tooling Uplift</v>
          </cell>
          <cell r="AK12541" t="str">
            <v>Vanessa Movasseghi</v>
          </cell>
        </row>
        <row r="12542">
          <cell r="C12542" t="str">
            <v>TruStage - AI Governance Requirements &amp; Tooling</v>
          </cell>
          <cell r="AK12542" t="str">
            <v>Andy Soodek</v>
          </cell>
        </row>
        <row r="12543">
          <cell r="C12543" t="str">
            <v>First Horizon- Consumer Banking Operations Optimization</v>
          </cell>
          <cell r="AK12543" t="str">
            <v>Kevin Miologos</v>
          </cell>
        </row>
        <row r="12544">
          <cell r="C12544" t="str">
            <v>USB_Gov Data Seg Support</v>
          </cell>
          <cell r="AK12544" t="str">
            <v>Samuel Awsumb</v>
          </cell>
        </row>
        <row r="12545">
          <cell r="C12545" t="str">
            <v>FAST Staff Augmentation Pod 2 Extension Work</v>
          </cell>
          <cell r="H12545">
            <v>5056910</v>
          </cell>
          <cell r="AK12545" t="str">
            <v>Nikolas Lozada</v>
          </cell>
        </row>
        <row r="12546">
          <cell r="C12546" t="str">
            <v>FCB Positive Pay Evaluation</v>
          </cell>
          <cell r="AK12546" t="str">
            <v>Bo McCarty</v>
          </cell>
        </row>
        <row r="12547">
          <cell r="C12547" t="str">
            <v>Citizens Bank &amp; Trust BSA Audit 2026</v>
          </cell>
          <cell r="H12547">
            <v>5057237</v>
          </cell>
          <cell r="AK12547" t="str">
            <v>Mary Louise Radley</v>
          </cell>
        </row>
        <row r="12548">
          <cell r="C12548" t="str">
            <v>Truist_Marketing Phase 2 - Tech Assessment</v>
          </cell>
          <cell r="AK12548" t="str">
            <v>Eric Johnson</v>
          </cell>
        </row>
        <row r="12549">
          <cell r="C12549" t="str">
            <v>Wintrust Data Feed and SmartSuite Support</v>
          </cell>
          <cell r="H12549">
            <v>5054534</v>
          </cell>
          <cell r="AK12549" t="str">
            <v>Gregg Henzel</v>
          </cell>
        </row>
        <row r="12550">
          <cell r="C12550" t="str">
            <v>Truist_SOW#25_CO3_CIB Regulatory Reporting - Phase 2+</v>
          </cell>
          <cell r="H12550">
            <v>5053607</v>
          </cell>
          <cell r="AK12550" t="str">
            <v>Jori Heikkinen</v>
          </cell>
        </row>
        <row r="12551">
          <cell r="C12551" t="str">
            <v>HNB_CSC Transformation and AI Infusion_Program Execution</v>
          </cell>
          <cell r="AK12551" t="str">
            <v>Mayank Pandey</v>
          </cell>
        </row>
        <row r="12552">
          <cell r="C12552" t="str">
            <v>Truist_Wholesale Onboarding &amp; Servicing - Phase 1 Scope Future State &amp; Roadmap</v>
          </cell>
          <cell r="AK12552" t="str">
            <v>Kaitlin Cohen</v>
          </cell>
        </row>
        <row r="12553">
          <cell r="C12553" t="str">
            <v>Clear Fork Bank, NA_RAS</v>
          </cell>
          <cell r="AK12553" t="str">
            <v>Diane Banks</v>
          </cell>
        </row>
        <row r="12554">
          <cell r="C12554" t="str">
            <v>Securian Group Data Ingestion Optimization</v>
          </cell>
          <cell r="AK12554" t="str">
            <v>Matthew Zidow</v>
          </cell>
        </row>
        <row r="12555">
          <cell r="C12555" t="str">
            <v>New York Life Group Data Ingestion Optimization</v>
          </cell>
          <cell r="AK12555" t="str">
            <v>Matthew Zidow</v>
          </cell>
        </row>
        <row r="12556">
          <cell r="C12556" t="str">
            <v>Prudential Group Data Ingestion Optimization</v>
          </cell>
          <cell r="AK12556" t="str">
            <v>Matthew Zidow</v>
          </cell>
        </row>
        <row r="12557">
          <cell r="C12557" t="str">
            <v>Guardian Group Data Ingestion Optimization</v>
          </cell>
          <cell r="AK12557" t="str">
            <v>Matthew Zidow</v>
          </cell>
        </row>
        <row r="12558">
          <cell r="C12558" t="str">
            <v>MetLife Group Data Ingestion Optimization</v>
          </cell>
          <cell r="AK12558" t="str">
            <v>Matthew Zidow</v>
          </cell>
        </row>
        <row r="12559">
          <cell r="C12559" t="str">
            <v>First Horizon- Payments Hub Strategy</v>
          </cell>
          <cell r="AK12559" t="str">
            <v>James Kane</v>
          </cell>
        </row>
        <row r="12560">
          <cell r="C12560" t="str">
            <v>Mutual of Omaha</v>
          </cell>
          <cell r="AK12560" t="str">
            <v>Matthew Zidow</v>
          </cell>
        </row>
        <row r="12561">
          <cell r="C12561" t="str">
            <v>HNB_Salesforce Support Conversion to MAX+</v>
          </cell>
          <cell r="AK12561" t="str">
            <v>Samir Narale</v>
          </cell>
        </row>
        <row r="12562">
          <cell r="C12562" t="str">
            <v>Phase 1 OT Security Enablement - Southern Company</v>
          </cell>
          <cell r="AK12562" t="str">
            <v>Alexander Amaya</v>
          </cell>
        </row>
        <row r="12563">
          <cell r="C12563" t="str">
            <v>CACIB US CRI Assessment</v>
          </cell>
          <cell r="AK12563" t="str">
            <v>Anika Yan</v>
          </cell>
        </row>
        <row r="12564">
          <cell r="C12564" t="str">
            <v>RECURRING-Blue Foundry FLSA</v>
          </cell>
          <cell r="H12564">
            <v>5037449</v>
          </cell>
          <cell r="AK12564" t="str">
            <v>Paula Witt</v>
          </cell>
        </row>
        <row r="12565">
          <cell r="C12565" t="str">
            <v>Prudential PRT Extensions FY27 Q3 Q4</v>
          </cell>
          <cell r="AK12565" t="str">
            <v>Emily Clark</v>
          </cell>
        </row>
        <row r="12566">
          <cell r="C12566" t="str">
            <v>UBS - Banking Testing Support</v>
          </cell>
          <cell r="AK12566" t="str">
            <v>Stephane Ritz</v>
          </cell>
        </row>
        <row r="12567">
          <cell r="C12567" t="str">
            <v>MS_Commodities Renovation</v>
          </cell>
          <cell r="AK12567" t="str">
            <v>Michael Margent</v>
          </cell>
        </row>
        <row r="12568">
          <cell r="C12568" t="str">
            <v>Wintrust Resolver to SmartSuite Integration</v>
          </cell>
          <cell r="AK12568" t="str">
            <v>Gregg Henzel</v>
          </cell>
        </row>
        <row r="12569">
          <cell r="C12569" t="str">
            <v>HNB_Auto Finance Product Strategy and Operating Model Modernization</v>
          </cell>
          <cell r="AK12569" t="str">
            <v>James Kane</v>
          </cell>
        </row>
        <row r="12570">
          <cell r="C12570" t="str">
            <v>FCB_Payments Transformation_Wires Execution 2</v>
          </cell>
          <cell r="AK12570" t="str">
            <v>Ann Culbertson</v>
          </cell>
        </row>
        <row r="12571">
          <cell r="C12571" t="str">
            <v>SVB_Card Conversion-Integration</v>
          </cell>
          <cell r="AK12571" t="str">
            <v>Seth Berman</v>
          </cell>
        </row>
        <row r="12572">
          <cell r="C12572" t="str">
            <v>Popular _ MiBanco Q3 Ext</v>
          </cell>
          <cell r="AK12572" t="str">
            <v>Eugene Collett</v>
          </cell>
        </row>
        <row r="12573">
          <cell r="C12573" t="str">
            <v>FCB_Card Migration Planning</v>
          </cell>
          <cell r="AK12573" t="str">
            <v>Seth Berman</v>
          </cell>
        </row>
        <row r="12574">
          <cell r="C12574" t="str">
            <v>AAPS 2.0</v>
          </cell>
          <cell r="AK12574" t="str">
            <v>Lauren Somma</v>
          </cell>
        </row>
        <row r="12575">
          <cell r="C12575" t="str">
            <v>KYC FY '27 Extension 2</v>
          </cell>
          <cell r="H12575">
            <v>5054884</v>
          </cell>
          <cell r="AK12575" t="str">
            <v>Daniel Outcalt</v>
          </cell>
        </row>
        <row r="12576">
          <cell r="C12576" t="str">
            <v>SEIU775 TP Future State Portal Ph1</v>
          </cell>
          <cell r="AK12576" t="str">
            <v>Eric Fairchild</v>
          </cell>
        </row>
        <row r="12577">
          <cell r="C12577" t="str">
            <v>EO&amp;T - Zero Trust Implementation</v>
          </cell>
          <cell r="AK12577" t="str">
            <v>Tyler Conover</v>
          </cell>
        </row>
        <row r="12578">
          <cell r="C12578" t="str">
            <v>GESA GRC Support</v>
          </cell>
          <cell r="AK12578" t="str">
            <v>Gregg Henzel</v>
          </cell>
        </row>
        <row r="12579">
          <cell r="C12579" t="str">
            <v>FIN - GenAI Gov &amp; Finance Data Team</v>
          </cell>
          <cell r="AK12579" t="str">
            <v>Rishi Sanghavi</v>
          </cell>
        </row>
        <row r="12580">
          <cell r="C12580" t="str">
            <v>BOKF_ICS Solution Implementation Execution</v>
          </cell>
          <cell r="AK12580" t="str">
            <v>John McHugh</v>
          </cell>
        </row>
        <row r="12581">
          <cell r="C12581" t="str">
            <v>Fedline and CHIPS Assessment</v>
          </cell>
          <cell r="AK12581" t="str">
            <v>Shane Molinari</v>
          </cell>
        </row>
        <row r="12582">
          <cell r="C12582" t="str">
            <v>FCB_ Acquisition Support_Phase 2</v>
          </cell>
          <cell r="AK12582" t="str">
            <v>Bo McCarty</v>
          </cell>
        </row>
        <row r="12583">
          <cell r="C12583" t="str">
            <v>International Finance Bank_RAS</v>
          </cell>
          <cell r="H12583">
            <v>5053382</v>
          </cell>
          <cell r="AK12583" t="str">
            <v>Diane Banks</v>
          </cell>
        </row>
        <row r="12584">
          <cell r="C12584" t="str">
            <v>Lazard - 2026 Tabletop Exercises</v>
          </cell>
          <cell r="AK12584" t="str">
            <v>Tim Sutton</v>
          </cell>
        </row>
        <row r="12585">
          <cell r="C12585" t="str">
            <v>SEIU775 2026 Health Vendor Implementation</v>
          </cell>
          <cell r="AK12585" t="str">
            <v>Eric Fairchild</v>
          </cell>
        </row>
        <row r="12586">
          <cell r="C12586" t="str">
            <v>USB_000_Mkting Offer Mgmt Strat</v>
          </cell>
          <cell r="AK12586" t="str">
            <v>Mark Mountan</v>
          </cell>
        </row>
        <row r="12587">
          <cell r="C12587" t="str">
            <v>International Finance Bank - RAS</v>
          </cell>
          <cell r="H12587">
            <v>5053382</v>
          </cell>
          <cell r="AK12587" t="str">
            <v>Diane Banks</v>
          </cell>
        </row>
        <row r="12588">
          <cell r="C12588" t="str">
            <v>Truist_Wholesale Onboarding &amp; Servicing - Phase 2 Scope Future State &amp; Roadmap</v>
          </cell>
          <cell r="AK12588" t="str">
            <v>Kaitlin Cohen</v>
          </cell>
        </row>
        <row r="12589">
          <cell r="C12589" t="str">
            <v>Harbor Bank of Maryland</v>
          </cell>
          <cell r="AK12589" t="str">
            <v>W. Annette Dredden</v>
          </cell>
        </row>
        <row r="12590">
          <cell r="C12590" t="str">
            <v>53 FRM implementation p1</v>
          </cell>
          <cell r="AK12590" t="str">
            <v>Matthew Rodgers</v>
          </cell>
        </row>
        <row r="12591">
          <cell r="C12591" t="str">
            <v>FNBOE Audit Support 2027</v>
          </cell>
          <cell r="AK12591" t="str">
            <v>Mary Louise Radley</v>
          </cell>
        </row>
        <row r="12592">
          <cell r="C12592" t="str">
            <v>PS Bank_CMS</v>
          </cell>
          <cell r="AK12592" t="str">
            <v>Elizabeth Rozsa</v>
          </cell>
        </row>
        <row r="12593">
          <cell r="C12593" t="str">
            <v>WF_Cognitive Brain 2027</v>
          </cell>
          <cell r="AK12593" t="str">
            <v>Ameya Deolalkar</v>
          </cell>
        </row>
        <row r="12594">
          <cell r="C12594" t="str">
            <v>Country Bank Compliance Audits 2027</v>
          </cell>
          <cell r="AK12594" t="str">
            <v>Mary Louise Radley</v>
          </cell>
        </row>
        <row r="12595">
          <cell r="C12595" t="str">
            <v>MS_TPPM iShield Extension Q4 FY27</v>
          </cell>
          <cell r="H12595">
            <v>5057015</v>
          </cell>
          <cell r="AK12595" t="str">
            <v>Prateek Duhan</v>
          </cell>
        </row>
        <row r="12596">
          <cell r="C12596" t="str">
            <v>MS_MSIM Project Horizon FF FY27 Q4</v>
          </cell>
          <cell r="H12596">
            <v>5055570</v>
          </cell>
          <cell r="AK12596" t="str">
            <v>Dan Schutzman</v>
          </cell>
        </row>
        <row r="12597">
          <cell r="C12597" t="str">
            <v>Community Bank of Parkersburg CMS (Recurring</v>
          </cell>
          <cell r="AK12597" t="str">
            <v>Jeanette Wampler</v>
          </cell>
        </row>
        <row r="12598">
          <cell r="C12598" t="str">
            <v>Truist_Graph Data</v>
          </cell>
          <cell r="AK12598" t="str">
            <v>Kaitlin Cohen</v>
          </cell>
        </row>
        <row r="12599">
          <cell r="C12599" t="str">
            <v>Recurring JMB CMS Support - 3 year 2024-2026</v>
          </cell>
          <cell r="H12599">
            <v>5050719</v>
          </cell>
          <cell r="AK12599" t="str">
            <v>Jeanette Wampler</v>
          </cell>
        </row>
        <row r="12600">
          <cell r="C12600" t="str">
            <v>Recurring FNB Elmer CMS 2026/27</v>
          </cell>
          <cell r="H12600">
            <v>5054177</v>
          </cell>
          <cell r="AK12600" t="str">
            <v>Diane Banks</v>
          </cell>
        </row>
        <row r="12601">
          <cell r="C12601" t="str">
            <v>Recurring First Savings and Loan</v>
          </cell>
          <cell r="H12601">
            <v>5053528</v>
          </cell>
          <cell r="AK12601" t="str">
            <v>Diane Banks</v>
          </cell>
        </row>
        <row r="12602">
          <cell r="C12602" t="str">
            <v>Avidia 27-28 SOW Renewal</v>
          </cell>
          <cell r="H12602">
            <v>5048080</v>
          </cell>
          <cell r="AK12602" t="str">
            <v>Eric Van Epps</v>
          </cell>
        </row>
        <row r="12603">
          <cell r="C12603" t="str">
            <v>WTB CMS Support 2027</v>
          </cell>
          <cell r="AK12603" t="str">
            <v>Mary Louise Radley</v>
          </cell>
        </row>
        <row r="12604">
          <cell r="C12604" t="str">
            <v>RECURRING 1st Exchange CMSO</v>
          </cell>
          <cell r="H12604">
            <v>5054391</v>
          </cell>
          <cell r="AK12604" t="str">
            <v>Jeanette Wampler</v>
          </cell>
        </row>
        <row r="12605">
          <cell r="C12605" t="str">
            <v>RECURRING Clear Mtn Bank CMS 2027</v>
          </cell>
          <cell r="H12605">
            <v>5054471</v>
          </cell>
          <cell r="AK12605" t="str">
            <v>Louvera Walden</v>
          </cell>
        </row>
        <row r="12606">
          <cell r="C12606" t="str">
            <v>Walden Savings Bank CMS Renewal 2027 - 2029</v>
          </cell>
          <cell r="H12606">
            <v>5038525</v>
          </cell>
          <cell r="AK12606" t="str">
            <v>Mariana Dumanovsky</v>
          </cell>
        </row>
        <row r="12607">
          <cell r="C12607" t="str">
            <v>Recurring Unified Bank CMS Support</v>
          </cell>
          <cell r="H12607">
            <v>5051213</v>
          </cell>
          <cell r="AK12607" t="str">
            <v>Louvera Walden</v>
          </cell>
        </row>
        <row r="12608">
          <cell r="C12608" t="str">
            <v>Recurring Hyperion Bank CMS</v>
          </cell>
          <cell r="H12608">
            <v>5054360</v>
          </cell>
          <cell r="AK12608" t="str">
            <v>Eugene Collett</v>
          </cell>
        </row>
        <row r="12609">
          <cell r="C12609" t="str">
            <v>Recurring - Achieva CU Compliance Audits 2026</v>
          </cell>
          <cell r="H12609">
            <v>5054574</v>
          </cell>
          <cell r="AK12609" t="str">
            <v>Eugene Collett</v>
          </cell>
        </row>
        <row r="12610">
          <cell r="C12610" t="str">
            <v>Truist_SOW#25_CO3_CIB Regulatory Reporting - Phase 3</v>
          </cell>
          <cell r="H12610">
            <v>5053607</v>
          </cell>
          <cell r="AK12610" t="str">
            <v>Jori Heikkinen</v>
          </cell>
        </row>
        <row r="12611">
          <cell r="C12611" t="str">
            <v>BOKF DataVisor Implementation 2027</v>
          </cell>
          <cell r="AK12611" t="str">
            <v>Gregg Henzel</v>
          </cell>
        </row>
        <row r="12612">
          <cell r="C12612" t="str">
            <v>Santander_Credit Card Originations Platform Development</v>
          </cell>
          <cell r="AK12612" t="str">
            <v>Dana Schwaeber</v>
          </cell>
        </row>
        <row r="12613">
          <cell r="C12613" t="str">
            <v>Connecticut CB CMS support 2027</v>
          </cell>
          <cell r="AK12613" t="str">
            <v>Mary Louise Radley</v>
          </cell>
        </row>
        <row r="12614">
          <cell r="C12614" t="str">
            <v>Hana Bank CMS Support 2027</v>
          </cell>
          <cell r="AK12614" t="str">
            <v>Mary Louise Radley</v>
          </cell>
        </row>
        <row r="12615">
          <cell r="C12615" t="str">
            <v>Truist_Marketing Phase 3 - Tech Implementation</v>
          </cell>
          <cell r="AK12615" t="str">
            <v>Kaitlin Cohen</v>
          </cell>
        </row>
        <row r="12616">
          <cell r="C12616" t="str">
            <v>Harvard FCU CMS Support 2027</v>
          </cell>
          <cell r="AK12616" t="str">
            <v>Mary Louise Radley</v>
          </cell>
        </row>
        <row r="12617">
          <cell r="C12617" t="str">
            <v>ITC Fiduciary &amp; AML Audits 2027</v>
          </cell>
          <cell r="AK12617" t="str">
            <v>Mary Louise Radley</v>
          </cell>
        </row>
        <row r="12618">
          <cell r="C12618" t="str">
            <v>RECURRING Farmers and Merchants CMS 27</v>
          </cell>
          <cell r="H12618">
            <v>5054244</v>
          </cell>
          <cell r="AK12618" t="str">
            <v>David Stalnaker</v>
          </cell>
        </row>
        <row r="12619">
          <cell r="C12619" t="str">
            <v>Santander_Credit Card Originations Platform Development</v>
          </cell>
          <cell r="AK12619" t="str">
            <v>Dana Schwaeber</v>
          </cell>
        </row>
        <row r="12620">
          <cell r="C12620" t="str">
            <v>HSBC-WSB-GPS Commercial Card Portfolio 2026 Strategic Initiatives</v>
          </cell>
          <cell r="H12620">
            <v>5057076</v>
          </cell>
          <cell r="AK12620" t="str">
            <v>James Kane</v>
          </cell>
        </row>
        <row r="12621">
          <cell r="C12621" t="str">
            <v>Savers Bank-CMS Optimizer 2026 Recurring</v>
          </cell>
          <cell r="H12621">
            <v>5054083</v>
          </cell>
          <cell r="AK12621" t="str">
            <v>Eugene Collett</v>
          </cell>
        </row>
        <row r="12622">
          <cell r="C12622" t="str">
            <v>MMC 2027 Doc Ingest Team Extension -Jan- june (2 resources)</v>
          </cell>
          <cell r="AK12622" t="str">
            <v>Lucy Geringer</v>
          </cell>
        </row>
        <row r="12623">
          <cell r="C12623" t="str">
            <v>HNB_Auto Finance Replatforming Program Management and Mobilization</v>
          </cell>
          <cell r="AK12623" t="str">
            <v>Spencer Feuer</v>
          </cell>
        </row>
        <row r="12624">
          <cell r="C12624" t="str">
            <v>FCB Payments Transformation Wires Execution 3</v>
          </cell>
          <cell r="H12624">
            <v>5056040</v>
          </cell>
          <cell r="AK12624" t="str">
            <v>Ann Culbertson</v>
          </cell>
        </row>
        <row r="12625">
          <cell r="C12625" t="str">
            <v>Pru PRT Fast PMO FY27 Q4</v>
          </cell>
          <cell r="H12625">
            <v>5057454</v>
          </cell>
          <cell r="AK12625" t="str">
            <v>Emily Clark</v>
          </cell>
        </row>
        <row r="12626">
          <cell r="C12626" t="str">
            <v>UBS - Marketing Campaign</v>
          </cell>
          <cell r="AK12626" t="str">
            <v>Bhavik Domadia</v>
          </cell>
        </row>
        <row r="12627">
          <cell r="C12627" t="str">
            <v>MMC Location Strategy Team Extension- 2027 Jan-June (9 HC)</v>
          </cell>
          <cell r="AK12627" t="str">
            <v>Lucy Geringer</v>
          </cell>
        </row>
        <row r="12628">
          <cell r="C12628" t="str">
            <v>FCB_ Payments Transformation_Pos Pay</v>
          </cell>
          <cell r="AK12628" t="str">
            <v>Bo McCarty</v>
          </cell>
        </row>
        <row r="12629">
          <cell r="C12629" t="str">
            <v>Workplace Wealth Platform (Phase 2)</v>
          </cell>
          <cell r="AK12629" t="str">
            <v>Stephane Ritz</v>
          </cell>
        </row>
        <row r="12630">
          <cell r="C12630" t="str">
            <v>SF - CDT Ops - EBM Phase 2</v>
          </cell>
          <cell r="AK12630" t="str">
            <v>Poorna Bhimavarapu</v>
          </cell>
        </row>
        <row r="12631">
          <cell r="C12631" t="str">
            <v>Cross Div - Gov Efficiency Initiative</v>
          </cell>
          <cell r="AK12631" t="str">
            <v>Poorna Bhimavarapu</v>
          </cell>
        </row>
        <row r="12632">
          <cell r="C12632" t="str">
            <v>USAA_CDQA 2027</v>
          </cell>
          <cell r="AK12632" t="str">
            <v>Michael Austin</v>
          </cell>
        </row>
        <row r="12633">
          <cell r="C12633" t="str">
            <v>Truist_FX Ion Platform Integration - Phase 1</v>
          </cell>
          <cell r="AK12633" t="str">
            <v>Conor Dowling</v>
          </cell>
        </row>
        <row r="12634">
          <cell r="C12634" t="str">
            <v>HNB Auto Finance Replatforming Program Management and Onshore Execution Support</v>
          </cell>
          <cell r="AK12634" t="str">
            <v>Kyle Chavers</v>
          </cell>
        </row>
        <row r="12635">
          <cell r="C12635" t="str">
            <v>USAA_TILA Good Faith Review 2027</v>
          </cell>
          <cell r="AK12635" t="str">
            <v>Michael Austin</v>
          </cell>
        </row>
        <row r="12636">
          <cell r="C12636" t="str">
            <v>USAA Redisclosure Desk 2027</v>
          </cell>
          <cell r="AK12636" t="str">
            <v>Michael Austin</v>
          </cell>
        </row>
        <row r="12637">
          <cell r="C12637" t="str">
            <v>USAA Purchase Agreement Review 2027</v>
          </cell>
          <cell r="AK12637" t="str">
            <v>Michael Austin</v>
          </cell>
        </row>
        <row r="12638">
          <cell r="C12638" t="str">
            <v>HNB_Housing Finance TPL Cutover to Encompass</v>
          </cell>
          <cell r="AK12638" t="str">
            <v>Spencer Feuer</v>
          </cell>
        </row>
        <row r="12639">
          <cell r="C12639" t="str">
            <v>Reg Implementation 10c-1</v>
          </cell>
          <cell r="AK12639" t="str">
            <v>Matthew Rodgers</v>
          </cell>
        </row>
        <row r="12640">
          <cell r="C12640" t="str">
            <v>SF - CDT Program TECH &amp; OPS</v>
          </cell>
          <cell r="AK12640" t="str">
            <v>Ameya Deolalkar</v>
          </cell>
        </row>
        <row r="12641">
          <cell r="C12641" t="str">
            <v>Sec Lending Reg 10c-1</v>
          </cell>
          <cell r="AK12641" t="str">
            <v>Matthew Rodgers</v>
          </cell>
        </row>
        <row r="12642">
          <cell r="C12642" t="str">
            <v>SF - DCT Program Ext</v>
          </cell>
          <cell r="AK12642" t="str">
            <v>Jeffrey Diaz Vega</v>
          </cell>
        </row>
        <row r="12643">
          <cell r="C12643" t="str">
            <v>Cross Div - FrMc Change Sourcing</v>
          </cell>
          <cell r="AK12643" t="str">
            <v>Michael Mathew</v>
          </cell>
        </row>
        <row r="12644">
          <cell r="C12644" t="str">
            <v>Liberty Bank CT_RAS</v>
          </cell>
          <cell r="AK12644" t="str">
            <v>Rebecca Breland</v>
          </cell>
        </row>
        <row r="12645">
          <cell r="C12645" t="str">
            <v>Citizens B&amp;T BSA Audit 2027</v>
          </cell>
          <cell r="AK12645" t="str">
            <v>Mary Louise Radley</v>
          </cell>
        </row>
        <row r="12646">
          <cell r="C12646" t="str">
            <v>DB-CAO-INV-BS-Recurring Fair Lending</v>
          </cell>
          <cell r="AK12646" t="str">
            <v>Eugene Collett</v>
          </cell>
        </row>
        <row r="12647">
          <cell r="C12647" t="str">
            <v>Fedline and Chips Asssessment</v>
          </cell>
          <cell r="AK12647" t="str">
            <v>Shane Molinari</v>
          </cell>
        </row>
        <row r="12648">
          <cell r="C12648" t="str">
            <v>BOKF DataVisor Implementation 2028</v>
          </cell>
          <cell r="AK12648" t="str">
            <v>Gregg Henzel</v>
          </cell>
        </row>
        <row r="12649">
          <cell r="C12649" t="str">
            <v>Ridgewood SB CMS Support 2028 - 2029</v>
          </cell>
          <cell r="AK12649" t="str">
            <v>Mary Louise Radley</v>
          </cell>
        </row>
      </sheetData>
      <sheetData sheetId="4"/>
      <sheetData sheetId="5"/>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howdhury, Mahdi" id="{C5C8CC3A-DD4D-2F4E-8617-88740D2AD739}" userId="S::Mahdi.Chowdhury@capco.com::2114611b-7803-4076-81fd-273e50709d91" providerId="AD"/>
</personLis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CV" xr10:uid="{55E36F0D-3D10-5F4E-B7D8-B00570F29ACE}" sourceName="TCV">
  <extLst>
    <x:ext xmlns:x15="http://schemas.microsoft.com/office/spreadsheetml/2010/11/main" uri="{2F2917AC-EB37-4324-AD4E-5DD8C200BD13}">
      <x15:tableSlicerCache tableId="3" column="8"/>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Y27" xr10:uid="{28DC2FAA-DB0D-7442-8D5F-7EA31A77B5F8}" sourceName="FY27">
  <extLst>
    <x:ext xmlns:x15="http://schemas.microsoft.com/office/spreadsheetml/2010/11/main" uri="{2F2917AC-EB37-4324-AD4E-5DD8C200BD13}">
      <x15:tableSlicerCache tableId="3" column="3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CV" xr10:uid="{AAEC2E91-7A20-E74B-89D4-5972FDEEE249}" cache="Slicer_TCV" caption="Column1" rowHeight="257175"/>
  <slicer name="FY27" xr10:uid="{905B614E-D0E9-374F-B420-C71F22A73840}" cache="Slicer_FY27" caption="FY27"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13BBD42-7AC9-B441-B4D3-4150BDA2C233}" name="Table3" displayName="Table3" ref="C2:BS64" totalsRowShown="0" headerRowDxfId="83" dataDxfId="82" headerRowBorderDxfId="81" headerRowCellStyle="Comma" dataCellStyle="Comma">
  <autoFilter ref="C2:BS64" xr:uid="{A13BBD42-7AC9-B441-B4D3-4150BDA2C233}"/>
  <sortState xmlns:xlrd2="http://schemas.microsoft.com/office/spreadsheetml/2017/richdata2" ref="C24:BS64">
    <sortCondition ref="H2:H64"/>
  </sortState>
  <tableColumns count="69">
    <tableColumn id="1" xr3:uid="{B202E031-0999-B340-9319-4C8985C46B0A}" name="AI Infusion (Y/N)" dataDxfId="80"/>
    <tableColumn id="2" xr3:uid="{D6B47C91-C499-9F4C-9AB0-5A2146E24D36}" name="Commentary on opportunity for Infusion" dataDxfId="79"/>
    <tableColumn id="67" xr3:uid="{0C89D52A-D9F7-7D41-AA3E-68B3D41C7DFF}" name="Does client allow use of internal or external AI Tools?" dataDxfId="78"/>
    <tableColumn id="69" xr3:uid="{DF076254-CAD7-C644-BCF2-521B05613728}" name="If client allows, what tools are available?" dataDxfId="77"/>
    <tableColumn id="9" xr3:uid="{9CD8F672-A0FC-DB47-88E5-6F370DCA3895}" name="Project ID" dataDxfId="76"/>
    <tableColumn id="10" xr3:uid="{1C3C311A-BDA8-4D4C-AF28-00F1CB52E257}" name="Client" dataDxfId="75"/>
    <tableColumn id="66" xr3:uid="{F91FD712-26EB-0448-B1CD-F08F071F76ED}" name="Column1" dataDxfId="74">
      <calculatedColumnFormula>_xlfn.XLOOKUP(Table3[[#This Row],[Project ID]],[1]Sheet2!H:H,[1]Sheet2!C:C)</calculatedColumnFormula>
    </tableColumn>
    <tableColumn id="3" xr3:uid="{5AF3AEC1-1AC3-4E47-8330-E12BC1A0512E}" name="Account Lead" dataDxfId="73"/>
    <tableColumn id="68" xr3:uid="{17A8A25D-0338-CC4F-AC60-8EACDBB34048}" name="Project Manager" dataDxfId="72">
      <calculatedColumnFormula>_xlfn.XLOOKUP(Table3[[#This Row],[Project ID]],[1]Sheet2!H:H,[1]Sheet2!AK:AK)</calculatedColumnFormula>
    </tableColumn>
    <tableColumn id="6" xr3:uid="{DCD3B244-E0AD-D546-9876-D54A3A7CBCBC}" name="Domain" dataDxfId="71"/>
    <tableColumn id="7" xr3:uid="{4A391EF6-2597-8E41-AC41-FAF9750872AE}" name="Service Group" dataDxfId="70"/>
    <tableColumn id="11" xr3:uid="{E7170260-7D10-314D-9670-4C20E2AD6D34}" name="Type" dataDxfId="69"/>
    <tableColumn id="8" xr3:uid="{2E3FB119-139D-4145-9315-C006C10A4CDB}" name="TCV" dataDxfId="68" dataCellStyle="Comma"/>
    <tableColumn id="5" xr3:uid="{E2F03CDF-4853-8442-B245-7FBBD3A98202}" name="ODE PM %" dataDxfId="67"/>
    <tableColumn id="4" xr3:uid="{1F54E3A9-0A9D-D149-84EC-8B8C52494846}" name="Actual PM" dataDxfId="66"/>
    <tableColumn id="12" xr3:uid="{A6315534-74AC-F642-A54A-196F3F369878}" name="Apr-25" dataDxfId="65" dataCellStyle="Comma"/>
    <tableColumn id="13" xr3:uid="{4A610399-47E2-404E-8077-A12693C565E9}" name="May-25" dataDxfId="64" dataCellStyle="Comma"/>
    <tableColumn id="14" xr3:uid="{C86F7912-F9C6-E545-9AF8-194A4A888FD0}" name="Jun-25" dataDxfId="63" dataCellStyle="Comma"/>
    <tableColumn id="15" xr3:uid="{93DA9EAF-EEFD-A74D-A39F-F7D04706FAE5}" name="Jul-25" dataDxfId="62" dataCellStyle="Comma"/>
    <tableColumn id="16" xr3:uid="{FF3C5282-C999-3E4F-9F53-D489BDF59D7A}" name="Aug-25" dataDxfId="61" dataCellStyle="Comma"/>
    <tableColumn id="17" xr3:uid="{3EA822B0-D13B-0246-BB8D-80561ACF9473}" name="Sep-25" dataDxfId="60" dataCellStyle="Comma"/>
    <tableColumn id="18" xr3:uid="{EA5B7ED1-AA54-CE4B-912A-8A81C318F3BD}" name="Oct-25" dataDxfId="59" dataCellStyle="Comma"/>
    <tableColumn id="19" xr3:uid="{9B529475-1AA0-C040-9806-DDD23ACC6B72}" name="Nov-25" dataDxfId="58" dataCellStyle="Comma"/>
    <tableColumn id="20" xr3:uid="{3F10B81E-281C-1149-9AF8-0D4BF73E094F}" name="Dec-25" dataDxfId="57" dataCellStyle="Comma"/>
    <tableColumn id="21" xr3:uid="{EBB5E38D-7A01-D041-B790-38631296CE3A}" name="Jan-26" dataDxfId="56" dataCellStyle="Comma"/>
    <tableColumn id="22" xr3:uid="{0974D74B-AC0E-DD4E-B516-8983427D93E0}" name="Feb-26" dataDxfId="55" dataCellStyle="Comma"/>
    <tableColumn id="23" xr3:uid="{64DC90C7-BF1A-504C-9025-C5B6EB5C2996}" name="Mar-26" dataDxfId="54" dataCellStyle="Comma"/>
    <tableColumn id="24" xr3:uid="{9938A0E4-C33B-1C4C-9CC6-A35E94E5F2BD}" name="FY26" dataDxfId="53" dataCellStyle="Comma"/>
    <tableColumn id="38" xr3:uid="{6BE25426-7697-6841-A511-B0ECB08E1161}" name="Apr-252" dataDxfId="52" dataCellStyle="Comma"/>
    <tableColumn id="39" xr3:uid="{779D6236-32EB-FF49-9C5F-DF6E9738A84D}" name="May-253" dataDxfId="51" dataCellStyle="Comma"/>
    <tableColumn id="40" xr3:uid="{9F3147AD-4E76-0B48-9CA8-C6BE07278363}" name="Jun-254" dataDxfId="50" dataCellStyle="Comma"/>
    <tableColumn id="41" xr3:uid="{FDFB54F4-5CD6-8948-B739-7D8BED83D41B}" name="Jul-255" dataDxfId="49" dataCellStyle="Comma"/>
    <tableColumn id="42" xr3:uid="{83A072CD-804F-9543-A5E0-927A890EE1E4}" name="Aug-256" dataDxfId="48" dataCellStyle="Comma"/>
    <tableColumn id="43" xr3:uid="{9478B3B4-D5D1-6141-A3BE-0F5D38D4148F}" name="Sep-257" dataDxfId="47" dataCellStyle="Comma"/>
    <tableColumn id="44" xr3:uid="{F4874787-6D5B-EB4A-98B0-C1A8A9953BFF}" name="Oct-258" dataDxfId="46" dataCellStyle="Comma"/>
    <tableColumn id="45" xr3:uid="{45636B85-FFFF-D640-86BD-519B230C0619}" name="Nov-259" dataDxfId="45" dataCellStyle="Comma"/>
    <tableColumn id="46" xr3:uid="{E5572C9D-AD6B-D147-A14E-F8373A029A70}" name="Dec-2510" dataDxfId="44" dataCellStyle="Comma"/>
    <tableColumn id="47" xr3:uid="{2442146E-CCEB-DD4F-8FAE-D7588A6C0971}" name="Jan-2611" dataDxfId="43" dataCellStyle="Comma"/>
    <tableColumn id="48" xr3:uid="{6CB6863A-3DC9-6044-989E-3B5C8E6337FF}" name="Feb-2612" dataDxfId="42" dataCellStyle="Comma"/>
    <tableColumn id="49" xr3:uid="{4F6F8B97-918F-3C4E-9FF4-B7EC408A6BA1}" name="Mar-2613" dataDxfId="41" dataCellStyle="Comma"/>
    <tableColumn id="50" xr3:uid="{9B3BE972-983F-B044-B689-CF12776BE43D}" name="FY26 " dataDxfId="40" dataCellStyle="Comma"/>
    <tableColumn id="64" xr3:uid="{3B086BB6-CE8B-0442-A753-D6E7261ACDF2}" name="FY26 Margin" dataDxfId="39">
      <calculatedColumnFormula>IFERROR((Table3[[#This Row],[FY26]]-Table3[[#This Row],[FY26 ]])/Table3[[#This Row],[FY26]],"")</calculatedColumnFormula>
    </tableColumn>
    <tableColumn id="25" xr3:uid="{D72AC018-91DB-CE41-B264-92642EACF1C3}" name="Apr-26" dataDxfId="38" dataCellStyle="Comma"/>
    <tableColumn id="26" xr3:uid="{595DB96F-2BDD-9C46-90A9-024DC4462CCD}" name="May-26" dataDxfId="37" dataCellStyle="Comma"/>
    <tableColumn id="27" xr3:uid="{9EDD1996-3E10-624F-BD1A-D810ED87961F}" name="Jun-26" dataDxfId="36" dataCellStyle="Comma"/>
    <tableColumn id="28" xr3:uid="{B517C853-206A-4C4F-9CE1-0AAD1F602E4F}" name="Jul-26" dataDxfId="35" dataCellStyle="Comma"/>
    <tableColumn id="29" xr3:uid="{7308DE23-76C9-0246-A1D3-38761A85B10F}" name="Aug-26" dataDxfId="34" dataCellStyle="Comma"/>
    <tableColumn id="30" xr3:uid="{B499BA04-031D-1F45-9569-286C231A44D1}" name="Sep-26" dataDxfId="33" dataCellStyle="Comma"/>
    <tableColumn id="31" xr3:uid="{EB785FC7-FC99-6A44-84ED-9C156B0D28DE}" name="Oct-26" dataDxfId="32" dataCellStyle="Comma"/>
    <tableColumn id="32" xr3:uid="{39239FBC-33EF-A546-8935-753460DFA234}" name="Nov-26" dataDxfId="31" dataCellStyle="Comma"/>
    <tableColumn id="33" xr3:uid="{23F73677-3124-6E41-96C1-F8DDD6976578}" name="Dec-26" dataDxfId="30" dataCellStyle="Comma"/>
    <tableColumn id="34" xr3:uid="{DD5A2244-3A43-374C-80F6-CCE76EC5CC91}" name="Jan-27" dataDxfId="29" dataCellStyle="Comma"/>
    <tableColumn id="35" xr3:uid="{0CC7E81B-1EEE-AA48-8513-421016EEAED0}" name="Feb-27" dataDxfId="28" dataCellStyle="Comma"/>
    <tableColumn id="36" xr3:uid="{D36D3AC8-ED07-3D4C-B269-4660D94AB5D4}" name="Mar-27" dataDxfId="27" dataCellStyle="Comma"/>
    <tableColumn id="37" xr3:uid="{01F1FEF8-FC9F-6941-A4DA-68DB20CD7EF3}" name="FY27" dataDxfId="26" dataCellStyle="Comma"/>
    <tableColumn id="51" xr3:uid="{8CEB131A-1C1A-D64E-B645-76F80A0D2645}" name="Apr-2615" dataDxfId="25" dataCellStyle="Comma"/>
    <tableColumn id="52" xr3:uid="{296FC749-4754-5047-BE83-DC0DCBE271BC}" name="May-2616" dataDxfId="24" dataCellStyle="Comma"/>
    <tableColumn id="53" xr3:uid="{C50E2CCC-777D-8D4C-9BEA-8ADD393CB0F4}" name="Jun-2617" dataDxfId="23" dataCellStyle="Comma"/>
    <tableColumn id="54" xr3:uid="{43D19B1B-374C-FA45-85AD-5D7201E074F7}" name="Jul-2618" dataDxfId="22" dataCellStyle="Comma"/>
    <tableColumn id="55" xr3:uid="{7247C9F3-D77C-7B4A-84C9-B4CA41903ADA}" name="Aug-2619" dataDxfId="21" dataCellStyle="Comma"/>
    <tableColumn id="56" xr3:uid="{FE5D1ED4-A3F9-504D-9936-EDC363A400C6}" name="Sep-2620" dataDxfId="20" dataCellStyle="Comma"/>
    <tableColumn id="57" xr3:uid="{F8FE454F-C588-5349-B591-087D34946164}" name="Oct-2621" dataDxfId="19" dataCellStyle="Comma"/>
    <tableColumn id="58" xr3:uid="{869B2F34-CB18-BD4E-B2FE-32F40C890FD7}" name="Nov-2622" dataDxfId="18" dataCellStyle="Comma"/>
    <tableColumn id="59" xr3:uid="{7E0D1BE8-0CC5-D842-A375-3C6BA94E0091}" name="Dec-2623" dataDxfId="17" dataCellStyle="Comma"/>
    <tableColumn id="60" xr3:uid="{C71777C8-E9A3-8345-B446-81868201B380}" name="Jan-2724" dataDxfId="16" dataCellStyle="Comma"/>
    <tableColumn id="61" xr3:uid="{76BA268D-F4C6-A041-A81C-4172C297FE4B}" name="Feb-2725" dataDxfId="15" dataCellStyle="Comma"/>
    <tableColumn id="62" xr3:uid="{D20948A8-0504-4444-9EFC-38517E711739}" name="Mar-2726" dataDxfId="14"/>
    <tableColumn id="63" xr3:uid="{DDCA763E-2F9B-9348-911B-0579C61D8E41}" name="FY27 " dataDxfId="13"/>
    <tableColumn id="65" xr3:uid="{06F310A5-B0FD-2148-916D-131C2D4B54BA}" name="FY27 Margin" dataDxfId="12">
      <calculatedColumnFormula>IFERROR((Table3[[#This Row],[FY27]]-Table3[[#This Row],[FY27 ]])/Table3[[#This Row],[FY27]],"")</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D14E42-2A6D-463F-9965-4F01B7CDACA9}" name="Table1" displayName="Table1" ref="B2:K44" totalsRowShown="0" headerRowDxfId="11" dataDxfId="10">
  <autoFilter ref="B2:K44" xr:uid="{B4D14E42-2A6D-463F-9965-4F01B7CDACA9}">
    <filterColumn colId="0">
      <filters>
        <filter val="FRRF"/>
      </filters>
    </filterColumn>
  </autoFilter>
  <sortState xmlns:xlrd2="http://schemas.microsoft.com/office/spreadsheetml/2017/richdata2" ref="B9:K11">
    <sortCondition ref="K2:K44"/>
  </sortState>
  <tableColumns count="10">
    <tableColumn id="1" xr3:uid="{4BE3928A-1520-4CCA-8DA6-8A93ACC740E7}" name="Practice" dataDxfId="9"/>
    <tableColumn id="2" xr3:uid="{270D8AC4-334D-4CD0-915F-69086C534815}" name="Workflow / Task" dataDxfId="8"/>
    <tableColumn id="3" xr3:uid="{E0668BB5-77A0-4D6D-B531-5E56451BAFFA}" name="Where it happens today" dataDxfId="7"/>
    <tableColumn id="4" xr3:uid="{0E0D6A6B-E0C4-49A8-A006-2FDC14E7AB40}" name="Frequency" dataDxfId="6"/>
    <tableColumn id="5" xr3:uid="{3EFB29CD-42FB-4F6E-8CF1-A8A3BC0C78D9}" name="Current effort" dataDxfId="5"/>
    <tableColumn id="6" xr3:uid="{C48F9213-1C5C-4F8B-BF18-121356F14F65}" name="Candidate AI assist / agent" dataDxfId="4"/>
    <tableColumn id="7" xr3:uid="{2A90F968-A594-4AEF-9079-47B0D5A21112}" name="Human review needed?" dataDxfId="3"/>
    <tableColumn id="8" xr3:uid="{74B8F706-5750-45CF-971E-F74E1F7ED919}" name="Repeatable across teams?" dataDxfId="2"/>
    <tableColumn id="9" xr3:uid="{E6A1991D-CF08-4C8B-AF7F-393CF93971FA}" name="Expected impact" dataDxfId="1"/>
    <tableColumn id="10" xr3:uid="{FBDA9429-0098-438F-9725-5805CE22A56D}" name="Notes"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2" dT="2026-03-17T14:15:46.41" personId="{C5C8CC3A-DD4D-2F4E-8617-88740D2AD739}" id="{00C3D665-B1F1-A843-BB88-9412C70E515C}">
    <text xml:space="preserve">Provide Example and Change Tab Styling to indicate users must complete. </text>
  </threadedComment>
</ThreadedComment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election activeCell="B5" sqref="B5"/>
    </sheetView>
  </sheetViews>
  <sheetFormatPr defaultColWidth="11" defaultRowHeight="15"/>
  <cols>
    <col min="1" max="1" width="22" customWidth="1"/>
    <col min="2" max="2" width="96" customWidth="1"/>
  </cols>
  <sheetData>
    <row r="1" spans="1:2">
      <c r="A1" t="s">
        <v>0</v>
      </c>
    </row>
    <row r="2" spans="1:2">
      <c r="A2" t="s">
        <v>1</v>
      </c>
      <c r="B2" t="s">
        <v>2</v>
      </c>
    </row>
    <row r="3" spans="1:2">
      <c r="A3" t="s">
        <v>3</v>
      </c>
      <c r="B3" t="s">
        <v>4</v>
      </c>
    </row>
    <row r="4" spans="1:2">
      <c r="A4" t="s">
        <v>5</v>
      </c>
      <c r="B4" t="s">
        <v>6</v>
      </c>
    </row>
    <row r="5" spans="1:2">
      <c r="A5" t="s">
        <v>7</v>
      </c>
      <c r="B5"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900F8-BFC1-384F-80ED-957D62049340}">
  <sheetPr>
    <tabColor rgb="FFC00000"/>
  </sheetPr>
  <dimension ref="A1:CJ64"/>
  <sheetViews>
    <sheetView showGridLines="0" tabSelected="1" topLeftCell="K1" zoomScale="110" zoomScaleNormal="110" workbookViewId="0">
      <selection activeCell="BU22" sqref="BU22"/>
    </sheetView>
  </sheetViews>
  <sheetFormatPr defaultColWidth="8.875" defaultRowHeight="15" outlineLevelCol="1"/>
  <cols>
    <col min="1" max="1" width="3.875" hidden="1" customWidth="1"/>
    <col min="2" max="2" width="13.875" bestFit="1" customWidth="1"/>
    <col min="3" max="3" width="18.125" style="20" customWidth="1"/>
    <col min="4" max="4" width="39.875" style="20" customWidth="1"/>
    <col min="5" max="5" width="18.875" style="20" customWidth="1"/>
    <col min="6" max="6" width="21.875" style="20" customWidth="1"/>
    <col min="7" max="7" width="12" hidden="1" customWidth="1"/>
    <col min="8" max="8" width="22.5" customWidth="1"/>
    <col min="9" max="9" width="49" customWidth="1"/>
    <col min="10" max="10" width="27.125" bestFit="1" customWidth="1"/>
    <col min="11" max="12" width="19.375" customWidth="1"/>
    <col min="13" max="13" width="33.5" bestFit="1" customWidth="1"/>
    <col min="14" max="14" width="11.5" bestFit="1" customWidth="1"/>
    <col min="15" max="16" width="19.375" style="1" customWidth="1"/>
    <col min="17" max="17" width="14.375" bestFit="1" customWidth="1"/>
    <col min="18" max="18" width="10.625" hidden="1" customWidth="1" outlineLevel="1"/>
    <col min="19" max="19" width="11.375" hidden="1" customWidth="1" outlineLevel="1"/>
    <col min="20" max="20" width="10.625" hidden="1" customWidth="1" outlineLevel="1"/>
    <col min="21" max="21" width="10.375" hidden="1" customWidth="1" outlineLevel="1"/>
    <col min="22" max="22" width="11" hidden="1" customWidth="1" outlineLevel="1"/>
    <col min="23" max="23" width="11.125" hidden="1" customWidth="1" outlineLevel="1"/>
    <col min="24" max="24" width="10.875" hidden="1" customWidth="1" outlineLevel="1"/>
    <col min="25" max="26" width="11.125" hidden="1" customWidth="1" outlineLevel="1"/>
    <col min="27" max="27" width="10.5" hidden="1" customWidth="1" outlineLevel="1"/>
    <col min="28" max="29" width="11" hidden="1" customWidth="1" outlineLevel="1"/>
    <col min="30" max="30" width="11.5" bestFit="1" customWidth="1" collapsed="1"/>
    <col min="31" max="31" width="11.625" hidden="1" customWidth="1" outlineLevel="1"/>
    <col min="32" max="32" width="12.375" hidden="1" customWidth="1" outlineLevel="1"/>
    <col min="33" max="33" width="11.625" hidden="1" customWidth="1" outlineLevel="1"/>
    <col min="34" max="34" width="11.375" hidden="1" customWidth="1" outlineLevel="1"/>
    <col min="35" max="35" width="12" hidden="1" customWidth="1" outlineLevel="1"/>
    <col min="36" max="36" width="12.125" hidden="1" customWidth="1" outlineLevel="1"/>
    <col min="37" max="37" width="11.875" hidden="1" customWidth="1" outlineLevel="1"/>
    <col min="38" max="38" width="12.125" hidden="1" customWidth="1" outlineLevel="1"/>
    <col min="39" max="39" width="13.125" hidden="1" customWidth="1" outlineLevel="1"/>
    <col min="40" max="40" width="12.5" hidden="1" customWidth="1" outlineLevel="1"/>
    <col min="41" max="42" width="13" hidden="1" customWidth="1" outlineLevel="1"/>
    <col min="43" max="43" width="11.125" hidden="1" customWidth="1" collapsed="1"/>
    <col min="44" max="44" width="14.875" customWidth="1"/>
    <col min="45" max="45" width="10.625" hidden="1" customWidth="1" outlineLevel="1"/>
    <col min="46" max="46" width="11.375" hidden="1" customWidth="1" outlineLevel="1"/>
    <col min="47" max="47" width="10.625" hidden="1" customWidth="1" outlineLevel="1"/>
    <col min="48" max="48" width="10.375" hidden="1" customWidth="1" outlineLevel="1"/>
    <col min="49" max="49" width="11" hidden="1" customWidth="1" outlineLevel="1"/>
    <col min="50" max="50" width="11.125" style="1" hidden="1" customWidth="1" outlineLevel="1"/>
    <col min="51" max="51" width="10.875" hidden="1" customWidth="1" outlineLevel="1"/>
    <col min="52" max="53" width="11.125" hidden="1" customWidth="1" outlineLevel="1"/>
    <col min="54" max="54" width="10.5" hidden="1" customWidth="1" outlineLevel="1"/>
    <col min="55" max="56" width="11" hidden="1" customWidth="1" outlineLevel="1"/>
    <col min="57" max="57" width="11.5" bestFit="1" customWidth="1" collapsed="1"/>
    <col min="58" max="58" width="12.625" hidden="1" customWidth="1" outlineLevel="1"/>
    <col min="59" max="59" width="13.375" hidden="1" customWidth="1" outlineLevel="1"/>
    <col min="60" max="60" width="12.625" hidden="1" customWidth="1" outlineLevel="1"/>
    <col min="61" max="61" width="12.375" hidden="1" customWidth="1" outlineLevel="1"/>
    <col min="62" max="62" width="13" hidden="1" customWidth="1" outlineLevel="1"/>
    <col min="63" max="63" width="13.125" hidden="1" customWidth="1" outlineLevel="1"/>
    <col min="64" max="69" width="9.125" hidden="1" customWidth="1" outlineLevel="1"/>
    <col min="70" max="70" width="12" hidden="1" customWidth="1" collapsed="1"/>
    <col min="71" max="71" width="14.875" bestFit="1" customWidth="1"/>
    <col min="72" max="75" width="9.125" customWidth="1"/>
    <col min="76" max="76" width="14.375" bestFit="1" customWidth="1" collapsed="1"/>
    <col min="77" max="77" width="14.875" style="1" bestFit="1" customWidth="1"/>
    <col min="78" max="78" width="10.875" hidden="1" customWidth="1" outlineLevel="1"/>
    <col min="79" max="79" width="10.375" hidden="1" customWidth="1" outlineLevel="1"/>
    <col min="80" max="80" width="9.875" hidden="1" customWidth="1" outlineLevel="1"/>
    <col min="81" max="81" width="10.5" customWidth="1" collapsed="1"/>
    <col min="82" max="82" width="10.625" customWidth="1"/>
    <col min="83" max="83" width="10.5" customWidth="1"/>
    <col min="84" max="85" width="10.625" hidden="1" customWidth="1"/>
    <col min="86" max="86" width="10.125" hidden="1" customWidth="1"/>
    <col min="87" max="87" width="10.5" hidden="1" customWidth="1"/>
    <col min="88" max="88" width="10.5" customWidth="1" collapsed="1"/>
  </cols>
  <sheetData>
    <row r="1" spans="2:77">
      <c r="Q1" s="1"/>
      <c r="R1" s="2"/>
      <c r="S1" s="2"/>
      <c r="T1" s="2"/>
      <c r="U1" s="2"/>
      <c r="V1" s="2"/>
      <c r="W1" s="2"/>
      <c r="X1" s="2"/>
      <c r="Y1" s="2"/>
      <c r="Z1" s="2"/>
      <c r="AA1" s="2"/>
      <c r="AB1" s="2"/>
      <c r="AC1" s="2" t="s">
        <v>9</v>
      </c>
      <c r="AD1" s="2" t="s">
        <v>9</v>
      </c>
      <c r="AE1" s="3"/>
      <c r="AF1" s="3"/>
      <c r="AG1" s="3"/>
      <c r="AH1" s="3"/>
      <c r="AI1" s="3"/>
      <c r="AJ1" s="3"/>
      <c r="AK1" s="3"/>
      <c r="AL1" s="3"/>
      <c r="AM1" s="3"/>
      <c r="AN1" s="3"/>
      <c r="AO1" s="3"/>
      <c r="AP1" s="3"/>
      <c r="AQ1" s="4" t="s">
        <v>10</v>
      </c>
      <c r="AR1" s="5" t="s">
        <v>11</v>
      </c>
      <c r="AS1" s="2"/>
      <c r="AT1" s="2"/>
      <c r="AU1" s="2"/>
      <c r="AV1" s="2"/>
      <c r="AW1" s="2"/>
      <c r="AX1" s="2"/>
      <c r="AY1" s="2"/>
      <c r="AZ1" s="2"/>
      <c r="BA1" s="2"/>
      <c r="BB1" s="2"/>
      <c r="BC1" s="6"/>
      <c r="BD1" s="6"/>
      <c r="BE1" s="6" t="s">
        <v>9</v>
      </c>
      <c r="BF1" s="4"/>
      <c r="BG1" s="4"/>
      <c r="BH1" s="4"/>
      <c r="BI1" s="4"/>
      <c r="BJ1" s="4"/>
      <c r="BK1" s="4"/>
      <c r="BL1" s="4"/>
      <c r="BM1" s="4"/>
      <c r="BN1" s="4"/>
      <c r="BO1" s="4"/>
      <c r="BP1" s="4"/>
      <c r="BQ1" s="4"/>
      <c r="BR1" s="4" t="s">
        <v>10</v>
      </c>
      <c r="BS1" s="7" t="s">
        <v>11</v>
      </c>
      <c r="BY1"/>
    </row>
    <row r="2" spans="2:77" s="25" customFormat="1" ht="48">
      <c r="B2" s="25" t="s">
        <v>12</v>
      </c>
      <c r="C2" s="26" t="s">
        <v>13</v>
      </c>
      <c r="D2" s="26" t="s">
        <v>14</v>
      </c>
      <c r="E2" s="26" t="s">
        <v>15</v>
      </c>
      <c r="F2" s="26" t="s">
        <v>16</v>
      </c>
      <c r="G2" s="27" t="s">
        <v>17</v>
      </c>
      <c r="H2" s="27" t="s">
        <v>18</v>
      </c>
      <c r="I2" s="27" t="s">
        <v>19</v>
      </c>
      <c r="J2" s="27" t="s">
        <v>20</v>
      </c>
      <c r="K2" s="27" t="s">
        <v>21</v>
      </c>
      <c r="L2" s="27" t="s">
        <v>22</v>
      </c>
      <c r="M2" s="27" t="s">
        <v>23</v>
      </c>
      <c r="N2" s="27" t="s">
        <v>24</v>
      </c>
      <c r="O2" s="27" t="s">
        <v>25</v>
      </c>
      <c r="P2" s="28" t="s">
        <v>26</v>
      </c>
      <c r="Q2" s="28" t="s">
        <v>27</v>
      </c>
      <c r="R2" s="29" t="s">
        <v>28</v>
      </c>
      <c r="S2" s="29" t="s">
        <v>29</v>
      </c>
      <c r="T2" s="29" t="s">
        <v>30</v>
      </c>
      <c r="U2" s="29" t="s">
        <v>31</v>
      </c>
      <c r="V2" s="29" t="s">
        <v>32</v>
      </c>
      <c r="W2" s="29" t="s">
        <v>33</v>
      </c>
      <c r="X2" s="29" t="s">
        <v>34</v>
      </c>
      <c r="Y2" s="29" t="s">
        <v>35</v>
      </c>
      <c r="Z2" s="29" t="s">
        <v>36</v>
      </c>
      <c r="AA2" s="29" t="s">
        <v>37</v>
      </c>
      <c r="AB2" s="29" t="s">
        <v>38</v>
      </c>
      <c r="AC2" s="29" t="s">
        <v>39</v>
      </c>
      <c r="AD2" s="29" t="s">
        <v>40</v>
      </c>
      <c r="AE2" s="29" t="s">
        <v>41</v>
      </c>
      <c r="AF2" s="29" t="s">
        <v>42</v>
      </c>
      <c r="AG2" s="29" t="s">
        <v>43</v>
      </c>
      <c r="AH2" s="29" t="s">
        <v>44</v>
      </c>
      <c r="AI2" s="29" t="s">
        <v>45</v>
      </c>
      <c r="AJ2" s="29" t="s">
        <v>46</v>
      </c>
      <c r="AK2" s="29" t="s">
        <v>47</v>
      </c>
      <c r="AL2" s="29" t="s">
        <v>48</v>
      </c>
      <c r="AM2" s="29" t="s">
        <v>49</v>
      </c>
      <c r="AN2" s="29" t="s">
        <v>50</v>
      </c>
      <c r="AO2" s="29" t="s">
        <v>51</v>
      </c>
      <c r="AP2" s="29" t="s">
        <v>52</v>
      </c>
      <c r="AQ2" s="29" t="s">
        <v>53</v>
      </c>
      <c r="AR2" s="29" t="s">
        <v>54</v>
      </c>
      <c r="AS2" s="29" t="s">
        <v>55</v>
      </c>
      <c r="AT2" s="29" t="s">
        <v>56</v>
      </c>
      <c r="AU2" s="29" t="s">
        <v>57</v>
      </c>
      <c r="AV2" s="29" t="s">
        <v>58</v>
      </c>
      <c r="AW2" s="29" t="s">
        <v>59</v>
      </c>
      <c r="AX2" s="29" t="s">
        <v>60</v>
      </c>
      <c r="AY2" s="29" t="s">
        <v>61</v>
      </c>
      <c r="AZ2" s="29" t="s">
        <v>62</v>
      </c>
      <c r="BA2" s="29" t="s">
        <v>63</v>
      </c>
      <c r="BB2" s="29" t="s">
        <v>64</v>
      </c>
      <c r="BC2" s="29" t="s">
        <v>65</v>
      </c>
      <c r="BD2" s="29" t="s">
        <v>66</v>
      </c>
      <c r="BE2" s="29" t="s">
        <v>67</v>
      </c>
      <c r="BF2" s="29" t="s">
        <v>68</v>
      </c>
      <c r="BG2" s="29" t="s">
        <v>69</v>
      </c>
      <c r="BH2" s="29" t="s">
        <v>70</v>
      </c>
      <c r="BI2" s="29" t="s">
        <v>71</v>
      </c>
      <c r="BJ2" s="29" t="s">
        <v>72</v>
      </c>
      <c r="BK2" s="29" t="s">
        <v>73</v>
      </c>
      <c r="BL2" s="29" t="s">
        <v>74</v>
      </c>
      <c r="BM2" s="29" t="s">
        <v>75</v>
      </c>
      <c r="BN2" s="29" t="s">
        <v>76</v>
      </c>
      <c r="BO2" s="29" t="s">
        <v>77</v>
      </c>
      <c r="BP2" s="29" t="s">
        <v>78</v>
      </c>
      <c r="BQ2" s="29" t="s">
        <v>79</v>
      </c>
      <c r="BR2" s="29" t="s">
        <v>80</v>
      </c>
      <c r="BS2" s="29" t="s">
        <v>81</v>
      </c>
    </row>
    <row r="3" spans="2:77">
      <c r="B3" s="8" t="b">
        <v>0</v>
      </c>
      <c r="C3" s="21"/>
      <c r="D3" s="22"/>
      <c r="E3" s="21"/>
      <c r="F3" s="22"/>
      <c r="G3" s="9">
        <v>5057672</v>
      </c>
      <c r="H3" s="9" t="s">
        <v>82</v>
      </c>
      <c r="I3" s="9" t="str">
        <f>_xlfn.XLOOKUP(Table3[[#This Row],[Project ID]],[1]Sheet2!H:H,[1]Sheet2!C:C)</f>
        <v>BMO - Deposit Early Tenure Journey Program</v>
      </c>
      <c r="J3" s="9" t="s">
        <v>83</v>
      </c>
      <c r="K3" s="9" t="str">
        <f>_xlfn.XLOOKUP(Table3[[#This Row],[Project ID]],[1]Sheet2!H:H,[1]Sheet2!AK:AK)</f>
        <v>Daniel Glaser</v>
      </c>
      <c r="L3" s="9" t="s">
        <v>84</v>
      </c>
      <c r="M3" s="9" t="s">
        <v>85</v>
      </c>
      <c r="N3" s="9" t="s">
        <v>86</v>
      </c>
      <c r="O3" s="10">
        <v>155000</v>
      </c>
      <c r="P3" s="11">
        <v>0.57999999999999996</v>
      </c>
      <c r="Q3" s="11">
        <v>0.60425542066162163</v>
      </c>
      <c r="R3" s="12">
        <v>0</v>
      </c>
      <c r="S3" s="12">
        <v>0</v>
      </c>
      <c r="T3" s="12">
        <v>0</v>
      </c>
      <c r="U3" s="12">
        <v>0</v>
      </c>
      <c r="V3" s="12">
        <v>0</v>
      </c>
      <c r="W3" s="12">
        <v>0</v>
      </c>
      <c r="X3" s="12">
        <v>0</v>
      </c>
      <c r="Y3" s="12">
        <v>0</v>
      </c>
      <c r="Z3" s="12">
        <v>0</v>
      </c>
      <c r="AA3" s="12">
        <v>0</v>
      </c>
      <c r="AB3" s="12">
        <v>0</v>
      </c>
      <c r="AC3" s="12">
        <v>98765.13882893321</v>
      </c>
      <c r="AD3" s="10">
        <v>98765.13882893321</v>
      </c>
      <c r="AE3" s="12">
        <v>0</v>
      </c>
      <c r="AF3" s="12">
        <v>0</v>
      </c>
      <c r="AG3" s="12">
        <v>0</v>
      </c>
      <c r="AH3" s="12">
        <v>0</v>
      </c>
      <c r="AI3" s="12">
        <v>0</v>
      </c>
      <c r="AJ3" s="12">
        <v>0</v>
      </c>
      <c r="AK3" s="12">
        <v>0</v>
      </c>
      <c r="AL3" s="12">
        <v>0</v>
      </c>
      <c r="AM3" s="12">
        <v>0</v>
      </c>
      <c r="AN3" s="12">
        <v>0</v>
      </c>
      <c r="AO3" s="12">
        <v>3363.5141949631079</v>
      </c>
      <c r="AP3" s="12">
        <v>35722.254124189611</v>
      </c>
      <c r="AQ3" s="10">
        <v>39085.768319152718</v>
      </c>
      <c r="AR3" s="11">
        <f>IFERROR((Table3[[#This Row],[FY26]]-Table3[[#This Row],[FY26 ]])/Table3[[#This Row],[FY26]],"")</f>
        <v>0.60425542066162163</v>
      </c>
      <c r="AS3" s="12">
        <v>56234.861171066819</v>
      </c>
      <c r="AT3" s="12">
        <v>0</v>
      </c>
      <c r="AU3" s="12">
        <v>0</v>
      </c>
      <c r="AV3" s="12">
        <v>0</v>
      </c>
      <c r="AW3" s="12">
        <v>0</v>
      </c>
      <c r="AX3" s="12">
        <v>0</v>
      </c>
      <c r="AY3" s="12">
        <v>0</v>
      </c>
      <c r="AZ3" s="12">
        <v>0</v>
      </c>
      <c r="BA3" s="12">
        <v>0</v>
      </c>
      <c r="BB3" s="12">
        <v>0</v>
      </c>
      <c r="BC3" s="12">
        <v>0</v>
      </c>
      <c r="BD3" s="12">
        <v>0</v>
      </c>
      <c r="BE3" s="10">
        <v>56234.861171066819</v>
      </c>
      <c r="BF3" s="12">
        <v>22254.641478295947</v>
      </c>
      <c r="BG3" s="12">
        <v>0</v>
      </c>
      <c r="BH3" s="12">
        <v>0</v>
      </c>
      <c r="BI3" s="12">
        <v>0</v>
      </c>
      <c r="BJ3" s="12">
        <v>0</v>
      </c>
      <c r="BK3" s="12">
        <v>0</v>
      </c>
      <c r="BL3" s="12">
        <v>0</v>
      </c>
      <c r="BM3" s="12">
        <v>0</v>
      </c>
      <c r="BN3" s="12">
        <v>0</v>
      </c>
      <c r="BO3" s="12">
        <v>0</v>
      </c>
      <c r="BP3" s="12">
        <v>0</v>
      </c>
      <c r="BQ3" s="9">
        <v>0</v>
      </c>
      <c r="BR3" s="10">
        <v>22254.641478295947</v>
      </c>
      <c r="BS3" s="13">
        <f>IFERROR((Table3[[#This Row],[FY27]]-Table3[[#This Row],[FY27 ]])/Table3[[#This Row],[FY27]],"")</f>
        <v>0.60425542066162163</v>
      </c>
      <c r="BY3"/>
    </row>
    <row r="4" spans="2:77">
      <c r="B4" s="8" t="b">
        <v>0</v>
      </c>
      <c r="C4" s="24"/>
      <c r="D4" s="23"/>
      <c r="E4" s="23"/>
      <c r="F4" s="23"/>
      <c r="G4" s="14">
        <v>5056049</v>
      </c>
      <c r="H4" s="14" t="s">
        <v>87</v>
      </c>
      <c r="I4" s="14" t="str">
        <f>_xlfn.XLOOKUP(Table3[[#This Row],[Project ID]],[1]Sheet2!H:H,[1]Sheet2!C:C)</f>
        <v>BOKF_ICS Solution Discovery</v>
      </c>
      <c r="J4" s="14" t="s">
        <v>88</v>
      </c>
      <c r="K4" s="14" t="str">
        <f>_xlfn.XLOOKUP(Table3[[#This Row],[Project ID]],[1]Sheet2!H:H,[1]Sheet2!AK:AK)</f>
        <v>John McHugh</v>
      </c>
      <c r="L4" s="14" t="s">
        <v>84</v>
      </c>
      <c r="M4" s="14" t="s">
        <v>89</v>
      </c>
      <c r="N4" s="14" t="s">
        <v>86</v>
      </c>
      <c r="O4" s="10">
        <v>875000</v>
      </c>
      <c r="P4" s="11">
        <v>0.5</v>
      </c>
      <c r="Q4" s="11">
        <v>0.45071568624009506</v>
      </c>
      <c r="R4" s="17">
        <v>0</v>
      </c>
      <c r="S4" s="17">
        <v>0</v>
      </c>
      <c r="T4" s="17">
        <v>0</v>
      </c>
      <c r="U4" s="17">
        <v>0</v>
      </c>
      <c r="V4" s="17">
        <v>0</v>
      </c>
      <c r="W4" s="17">
        <v>110000</v>
      </c>
      <c r="X4" s="17">
        <v>110000</v>
      </c>
      <c r="Y4" s="17">
        <v>110000</v>
      </c>
      <c r="Z4" s="17">
        <v>110000</v>
      </c>
      <c r="AA4" s="17">
        <v>110000</v>
      </c>
      <c r="AB4" s="17">
        <v>110000</v>
      </c>
      <c r="AC4" s="17">
        <v>110000.00000000025</v>
      </c>
      <c r="AD4" s="10">
        <v>770000.00000000023</v>
      </c>
      <c r="AE4" s="17">
        <v>0</v>
      </c>
      <c r="AF4" s="17">
        <v>0</v>
      </c>
      <c r="AG4" s="17">
        <v>0</v>
      </c>
      <c r="AH4" s="17">
        <v>0</v>
      </c>
      <c r="AI4" s="17">
        <v>2545.238754203684</v>
      </c>
      <c r="AJ4" s="17">
        <v>52757.089650547889</v>
      </c>
      <c r="AK4" s="17">
        <v>76125.868154584678</v>
      </c>
      <c r="AL4" s="17">
        <v>51645.097724102299</v>
      </c>
      <c r="AM4" s="17">
        <v>52845.092748469986</v>
      </c>
      <c r="AN4" s="17">
        <v>67499.141520185745</v>
      </c>
      <c r="AO4" s="17">
        <v>68024.735705211308</v>
      </c>
      <c r="AP4" s="17">
        <v>75544.809675569661</v>
      </c>
      <c r="AQ4" s="15">
        <v>446987.07393287518</v>
      </c>
      <c r="AR4" s="11">
        <f>IFERROR((Table3[[#This Row],[FY26]]-Table3[[#This Row],[FY26 ]])/Table3[[#This Row],[FY26]],"")</f>
        <v>0.41949730658068174</v>
      </c>
      <c r="AS4" s="17">
        <v>104999.99999999988</v>
      </c>
      <c r="AT4" s="17">
        <v>0</v>
      </c>
      <c r="AU4" s="17">
        <v>0</v>
      </c>
      <c r="AV4" s="17">
        <v>0</v>
      </c>
      <c r="AW4" s="17">
        <v>0</v>
      </c>
      <c r="AX4" s="17">
        <v>0</v>
      </c>
      <c r="AY4" s="17">
        <v>0</v>
      </c>
      <c r="AZ4" s="17">
        <v>0</v>
      </c>
      <c r="BA4" s="17">
        <v>0</v>
      </c>
      <c r="BB4" s="17">
        <v>0</v>
      </c>
      <c r="BC4" s="17">
        <v>0</v>
      </c>
      <c r="BD4" s="17">
        <v>0</v>
      </c>
      <c r="BE4" s="10">
        <v>104999.99999999988</v>
      </c>
      <c r="BF4" s="17">
        <v>9598.5482692934747</v>
      </c>
      <c r="BG4" s="17">
        <v>0</v>
      </c>
      <c r="BH4" s="17">
        <v>0</v>
      </c>
      <c r="BI4" s="17">
        <v>0</v>
      </c>
      <c r="BJ4" s="17">
        <v>0</v>
      </c>
      <c r="BK4" s="17">
        <v>0</v>
      </c>
      <c r="BL4" s="17">
        <v>0</v>
      </c>
      <c r="BM4" s="17">
        <v>0</v>
      </c>
      <c r="BN4" s="17">
        <v>0</v>
      </c>
      <c r="BO4" s="17">
        <v>0</v>
      </c>
      <c r="BP4" s="17">
        <v>0</v>
      </c>
      <c r="BQ4" s="14">
        <v>0</v>
      </c>
      <c r="BR4" s="15">
        <v>9598.5482692934747</v>
      </c>
      <c r="BS4" s="13">
        <f>IFERROR((Table3[[#This Row],[FY27]]-Table3[[#This Row],[FY27 ]])/Table3[[#This Row],[FY27]],"")</f>
        <v>0.90858525457815731</v>
      </c>
      <c r="BY4"/>
    </row>
    <row r="5" spans="2:77">
      <c r="B5" s="8" t="b">
        <v>0</v>
      </c>
      <c r="C5" s="24"/>
      <c r="D5" s="23"/>
      <c r="E5" s="23"/>
      <c r="F5" s="23"/>
      <c r="G5" s="14">
        <v>5056216</v>
      </c>
      <c r="H5" s="14" t="s">
        <v>87</v>
      </c>
      <c r="I5" s="14" t="str">
        <f>_xlfn.XLOOKUP(Table3[[#This Row],[Project ID]],[1]Sheet2!H:H,[1]Sheet2!C:C)</f>
        <v>BOKF_Negotiation Support</v>
      </c>
      <c r="J5" s="14" t="s">
        <v>88</v>
      </c>
      <c r="K5" s="14" t="str">
        <f>_xlfn.XLOOKUP(Table3[[#This Row],[Project ID]],[1]Sheet2!H:H,[1]Sheet2!AK:AK)</f>
        <v>Kevin Demeter</v>
      </c>
      <c r="L5" s="14" t="s">
        <v>84</v>
      </c>
      <c r="M5" s="14" t="s">
        <v>90</v>
      </c>
      <c r="N5" s="14" t="s">
        <v>86</v>
      </c>
      <c r="O5" s="10">
        <v>32000</v>
      </c>
      <c r="P5" s="11">
        <v>0.36</v>
      </c>
      <c r="Q5" s="11">
        <v>0.87268455963963543</v>
      </c>
      <c r="R5" s="17">
        <v>0</v>
      </c>
      <c r="S5" s="17">
        <v>0</v>
      </c>
      <c r="T5" s="17">
        <v>0</v>
      </c>
      <c r="U5" s="17">
        <v>0</v>
      </c>
      <c r="V5" s="17">
        <v>0</v>
      </c>
      <c r="W5" s="17">
        <v>4000</v>
      </c>
      <c r="X5" s="17">
        <v>4000</v>
      </c>
      <c r="Y5" s="17">
        <v>4000</v>
      </c>
      <c r="Z5" s="17">
        <v>4000</v>
      </c>
      <c r="AA5" s="17">
        <v>4000</v>
      </c>
      <c r="AB5" s="17">
        <v>4000</v>
      </c>
      <c r="AC5" s="17">
        <v>3999.9999999999964</v>
      </c>
      <c r="AD5" s="10">
        <v>27999.999999999996</v>
      </c>
      <c r="AE5" s="17">
        <v>0</v>
      </c>
      <c r="AF5" s="17">
        <v>0</v>
      </c>
      <c r="AG5" s="17">
        <v>0</v>
      </c>
      <c r="AH5" s="17">
        <v>0</v>
      </c>
      <c r="AI5" s="17">
        <v>0</v>
      </c>
      <c r="AJ5" s="17">
        <v>0</v>
      </c>
      <c r="AK5" s="17">
        <v>0</v>
      </c>
      <c r="AL5" s="17">
        <v>0</v>
      </c>
      <c r="AM5" s="17">
        <v>0</v>
      </c>
      <c r="AN5" s="17">
        <v>0</v>
      </c>
      <c r="AO5" s="17">
        <v>0</v>
      </c>
      <c r="AP5" s="17">
        <v>2546.3088072072919</v>
      </c>
      <c r="AQ5" s="15">
        <v>2546.3088072072919</v>
      </c>
      <c r="AR5" s="11">
        <f>IFERROR((Table3[[#This Row],[FY26]]-Table3[[#This Row],[FY26 ]])/Table3[[#This Row],[FY26]],"")</f>
        <v>0.90906039974259667</v>
      </c>
      <c r="AS5" s="17">
        <v>4000.0000000000036</v>
      </c>
      <c r="AT5" s="17">
        <v>0</v>
      </c>
      <c r="AU5" s="17">
        <v>0</v>
      </c>
      <c r="AV5" s="17">
        <v>0</v>
      </c>
      <c r="AW5" s="17">
        <v>0</v>
      </c>
      <c r="AX5" s="17">
        <v>0</v>
      </c>
      <c r="AY5" s="17">
        <v>0</v>
      </c>
      <c r="AZ5" s="17">
        <v>0</v>
      </c>
      <c r="BA5" s="17">
        <v>0</v>
      </c>
      <c r="BB5" s="17">
        <v>0</v>
      </c>
      <c r="BC5" s="17">
        <v>0</v>
      </c>
      <c r="BD5" s="17">
        <v>0</v>
      </c>
      <c r="BE5" s="10">
        <v>4000.0000000000036</v>
      </c>
      <c r="BF5" s="17">
        <v>2546.3088072072919</v>
      </c>
      <c r="BG5" s="17">
        <v>0</v>
      </c>
      <c r="BH5" s="17">
        <v>0</v>
      </c>
      <c r="BI5" s="17">
        <v>0</v>
      </c>
      <c r="BJ5" s="17">
        <v>0</v>
      </c>
      <c r="BK5" s="17">
        <v>0</v>
      </c>
      <c r="BL5" s="17">
        <v>0</v>
      </c>
      <c r="BM5" s="17">
        <v>0</v>
      </c>
      <c r="BN5" s="17">
        <v>0</v>
      </c>
      <c r="BO5" s="17">
        <v>0</v>
      </c>
      <c r="BP5" s="17">
        <v>0</v>
      </c>
      <c r="BQ5" s="14">
        <v>0</v>
      </c>
      <c r="BR5" s="15">
        <v>2546.3088072072919</v>
      </c>
      <c r="BS5" s="13">
        <f>IFERROR((Table3[[#This Row],[FY27]]-Table3[[#This Row],[FY27 ]])/Table3[[#This Row],[FY27]],"")</f>
        <v>0.36342279819817758</v>
      </c>
      <c r="BY5"/>
    </row>
    <row r="6" spans="2:77">
      <c r="B6" s="8" t="b">
        <v>0</v>
      </c>
      <c r="C6" s="21"/>
      <c r="D6" s="23"/>
      <c r="E6" s="21"/>
      <c r="F6" s="23"/>
      <c r="G6" s="14">
        <v>5055104</v>
      </c>
      <c r="H6" s="14" t="s">
        <v>91</v>
      </c>
      <c r="I6" s="14" t="str">
        <f>_xlfn.XLOOKUP(Table3[[#This Row],[Project ID]],[1]Sheet2!H:H,[1]Sheet2!C:C)</f>
        <v>Bread Financial - Consent &amp; Preferences</v>
      </c>
      <c r="J6" s="14" t="s">
        <v>92</v>
      </c>
      <c r="K6" s="14" t="str">
        <f>_xlfn.XLOOKUP(Table3[[#This Row],[Project ID]],[1]Sheet2!H:H,[1]Sheet2!AK:AK)</f>
        <v>Paul Laurent</v>
      </c>
      <c r="L6" s="14" t="s">
        <v>84</v>
      </c>
      <c r="M6" s="14" t="s">
        <v>93</v>
      </c>
      <c r="N6" s="14" t="s">
        <v>86</v>
      </c>
      <c r="O6" s="15">
        <v>641700</v>
      </c>
      <c r="P6" s="16">
        <v>0.56181860682561946</v>
      </c>
      <c r="Q6" s="16">
        <v>0.49308429869758069</v>
      </c>
      <c r="R6" s="17">
        <v>58066.999999999993</v>
      </c>
      <c r="S6" s="17">
        <v>115283.81</v>
      </c>
      <c r="T6" s="17">
        <v>187023.78</v>
      </c>
      <c r="U6" s="17">
        <v>130047.82000000004</v>
      </c>
      <c r="V6" s="17">
        <v>69480.829999999987</v>
      </c>
      <c r="W6" s="17">
        <v>6514.4400000000014</v>
      </c>
      <c r="X6" s="17">
        <v>15521.320000000003</v>
      </c>
      <c r="Y6" s="17">
        <v>17994.62</v>
      </c>
      <c r="Z6" s="17">
        <v>14282.02</v>
      </c>
      <c r="AA6" s="17">
        <v>12323.489999999998</v>
      </c>
      <c r="AB6" s="17">
        <v>15160.869999999999</v>
      </c>
      <c r="AC6" s="17">
        <v>21183.046485868159</v>
      </c>
      <c r="AD6" s="15">
        <v>662883.04648586805</v>
      </c>
      <c r="AE6" s="17">
        <v>23099.592989286051</v>
      </c>
      <c r="AF6" s="17">
        <v>80659.660155746693</v>
      </c>
      <c r="AG6" s="17">
        <v>80224.557859589899</v>
      </c>
      <c r="AH6" s="17">
        <v>68730.063981181869</v>
      </c>
      <c r="AI6" s="17">
        <v>33972.199596634462</v>
      </c>
      <c r="AJ6" s="17">
        <v>8190.7885057471267</v>
      </c>
      <c r="AK6" s="17">
        <v>7410.7134099616869</v>
      </c>
      <c r="AL6" s="17">
        <v>5850.5632183908056</v>
      </c>
      <c r="AM6" s="17">
        <v>5655.5444444444447</v>
      </c>
      <c r="AN6" s="17">
        <v>7410.7134099616869</v>
      </c>
      <c r="AO6" s="17">
        <v>7020.6758620689661</v>
      </c>
      <c r="AP6" s="17">
        <v>7800.7509578544068</v>
      </c>
      <c r="AQ6" s="15">
        <v>336025.82439086802</v>
      </c>
      <c r="AR6" s="16">
        <f>IFERROR((Table3[[#This Row],[FY26]]-Table3[[#This Row],[FY26 ]])/Table3[[#This Row],[FY26]],"")</f>
        <v>0.49308429869758069</v>
      </c>
      <c r="AS6" s="17">
        <v>16927.520752648037</v>
      </c>
      <c r="AT6" s="17">
        <v>769.43276148402947</v>
      </c>
      <c r="AU6" s="17">
        <v>0</v>
      </c>
      <c r="AV6" s="17">
        <v>0</v>
      </c>
      <c r="AW6" s="17">
        <v>0</v>
      </c>
      <c r="AX6" s="17">
        <v>0</v>
      </c>
      <c r="AY6" s="17">
        <v>0</v>
      </c>
      <c r="AZ6" s="17">
        <v>0</v>
      </c>
      <c r="BA6" s="17">
        <v>0</v>
      </c>
      <c r="BB6" s="17">
        <v>0</v>
      </c>
      <c r="BC6" s="17">
        <v>0</v>
      </c>
      <c r="BD6" s="17">
        <v>0</v>
      </c>
      <c r="BE6" s="15">
        <v>17696.953514132067</v>
      </c>
      <c r="BF6" s="17">
        <v>8580.8260536398484</v>
      </c>
      <c r="BG6" s="17">
        <v>390.03754789272034</v>
      </c>
      <c r="BH6" s="17">
        <v>0</v>
      </c>
      <c r="BI6" s="17">
        <v>0</v>
      </c>
      <c r="BJ6" s="17">
        <v>0</v>
      </c>
      <c r="BK6" s="17">
        <v>0</v>
      </c>
      <c r="BL6" s="17">
        <v>0</v>
      </c>
      <c r="BM6" s="17">
        <v>0</v>
      </c>
      <c r="BN6" s="17">
        <v>0</v>
      </c>
      <c r="BO6" s="17">
        <v>0</v>
      </c>
      <c r="BP6" s="17">
        <v>0</v>
      </c>
      <c r="BQ6" s="14">
        <v>0</v>
      </c>
      <c r="BR6" s="15">
        <v>8970.8636015325683</v>
      </c>
      <c r="BS6" s="18">
        <f>IFERROR((Table3[[#This Row],[FY27]]-Table3[[#This Row],[FY27 ]])/Table3[[#This Row],[FY27]],"")</f>
        <v>0.4930842986975808</v>
      </c>
      <c r="BY6"/>
    </row>
    <row r="7" spans="2:77">
      <c r="B7" s="8" t="b">
        <v>0</v>
      </c>
      <c r="C7" s="21"/>
      <c r="D7" s="23"/>
      <c r="E7" s="21"/>
      <c r="F7" s="23"/>
      <c r="G7" s="14">
        <v>5057703</v>
      </c>
      <c r="H7" s="14" t="s">
        <v>91</v>
      </c>
      <c r="I7" s="14" t="s">
        <v>94</v>
      </c>
      <c r="J7" s="14" t="s">
        <v>92</v>
      </c>
      <c r="K7" s="14" t="s">
        <v>95</v>
      </c>
      <c r="L7" s="14" t="s">
        <v>84</v>
      </c>
      <c r="M7" s="14" t="s">
        <v>93</v>
      </c>
      <c r="N7" s="14" t="s">
        <v>86</v>
      </c>
      <c r="O7" s="17">
        <v>162000</v>
      </c>
      <c r="P7" s="16">
        <v>0.52</v>
      </c>
      <c r="Q7" s="16">
        <v>0.58852296908015034</v>
      </c>
      <c r="R7" s="17">
        <v>0</v>
      </c>
      <c r="S7" s="17">
        <v>0</v>
      </c>
      <c r="T7" s="17">
        <v>0</v>
      </c>
      <c r="U7" s="17">
        <v>0</v>
      </c>
      <c r="V7" s="17">
        <v>0</v>
      </c>
      <c r="W7" s="17">
        <v>0</v>
      </c>
      <c r="X7" s="17">
        <v>0</v>
      </c>
      <c r="Y7" s="17">
        <v>0</v>
      </c>
      <c r="Z7" s="17">
        <v>0</v>
      </c>
      <c r="AA7" s="17">
        <v>0</v>
      </c>
      <c r="AB7" s="17">
        <v>0</v>
      </c>
      <c r="AC7" s="17">
        <v>48875.317682355759</v>
      </c>
      <c r="AD7" s="17">
        <v>48875.317682355759</v>
      </c>
      <c r="AE7" s="17">
        <v>0</v>
      </c>
      <c r="AF7" s="17">
        <v>0</v>
      </c>
      <c r="AG7" s="17">
        <v>0</v>
      </c>
      <c r="AH7" s="17">
        <v>0</v>
      </c>
      <c r="AI7" s="17">
        <v>0</v>
      </c>
      <c r="AJ7" s="17">
        <v>0</v>
      </c>
      <c r="AK7" s="17">
        <v>0</v>
      </c>
      <c r="AL7" s="17">
        <v>0</v>
      </c>
      <c r="AM7" s="17">
        <v>0</v>
      </c>
      <c r="AN7" s="17">
        <v>0</v>
      </c>
      <c r="AO7" s="17">
        <v>0</v>
      </c>
      <c r="AP7" s="17">
        <v>20111.070605200177</v>
      </c>
      <c r="AQ7" s="17">
        <v>20111.070605200177</v>
      </c>
      <c r="AR7" s="16">
        <f>IFERROR((Table3[[#This Row],[FY26]]-Table3[[#This Row],[FY26 ]])/Table3[[#This Row],[FY26]],"")</f>
        <v>0.58852296908015034</v>
      </c>
      <c r="AS7" s="17">
        <v>63539.88482678101</v>
      </c>
      <c r="AT7" s="17">
        <v>49584.797490863224</v>
      </c>
      <c r="AU7" s="17">
        <v>0</v>
      </c>
      <c r="AV7" s="17">
        <v>0</v>
      </c>
      <c r="AW7" s="17">
        <v>0</v>
      </c>
      <c r="AX7" s="17">
        <v>0</v>
      </c>
      <c r="AY7" s="17">
        <v>0</v>
      </c>
      <c r="AZ7" s="17">
        <v>0</v>
      </c>
      <c r="BA7" s="17">
        <v>0</v>
      </c>
      <c r="BB7" s="17">
        <v>0</v>
      </c>
      <c r="BC7" s="17">
        <v>0</v>
      </c>
      <c r="BD7" s="17">
        <v>0</v>
      </c>
      <c r="BE7" s="17">
        <v>113124.68231764424</v>
      </c>
      <c r="BF7" s="17">
        <v>26145.203153513052</v>
      </c>
      <c r="BG7" s="17">
        <v>20403.005250302413</v>
      </c>
      <c r="BH7" s="17">
        <v>0</v>
      </c>
      <c r="BI7" s="17">
        <v>0</v>
      </c>
      <c r="BJ7" s="17">
        <v>0</v>
      </c>
      <c r="BK7" s="17">
        <v>0</v>
      </c>
      <c r="BL7" s="17">
        <v>0</v>
      </c>
      <c r="BM7" s="17">
        <v>0</v>
      </c>
      <c r="BN7" s="17">
        <v>0</v>
      </c>
      <c r="BO7" s="17">
        <v>0</v>
      </c>
      <c r="BP7" s="17">
        <v>0</v>
      </c>
      <c r="BQ7" s="14">
        <v>0</v>
      </c>
      <c r="BR7" s="14">
        <v>46548.208403815464</v>
      </c>
      <c r="BS7" s="18">
        <f>IFERROR((Table3[[#This Row],[FY27]]-Table3[[#This Row],[FY27 ]])/Table3[[#This Row],[FY27]],"")</f>
        <v>0.58852296908015045</v>
      </c>
      <c r="BY7"/>
    </row>
    <row r="8" spans="2:77">
      <c r="B8" s="8" t="b">
        <v>0</v>
      </c>
      <c r="C8" s="21"/>
      <c r="D8" s="23"/>
      <c r="E8" s="21"/>
      <c r="F8" s="23"/>
      <c r="G8" s="14">
        <v>5056548</v>
      </c>
      <c r="H8" s="14" t="s">
        <v>96</v>
      </c>
      <c r="I8" s="14" t="str">
        <f>_xlfn.XLOOKUP(Table3[[#This Row],[Project ID]],[1]Sheet2!H:H,[1]Sheet2!C:C)</f>
        <v>Citi - Services Data Lead Support Nov25 -Jan26 (DAN STERN) (US Roles)</v>
      </c>
      <c r="J8" s="14" t="s">
        <v>97</v>
      </c>
      <c r="K8" s="14" t="str">
        <f>_xlfn.XLOOKUP(Table3[[#This Row],[Project ID]],[1]Sheet2!H:H,[1]Sheet2!AK:AK)</f>
        <v>Jordell Clarke-McIntosh</v>
      </c>
      <c r="L8" s="14" t="s">
        <v>98</v>
      </c>
      <c r="M8" s="14" t="s">
        <v>93</v>
      </c>
      <c r="N8" s="14" t="s">
        <v>86</v>
      </c>
      <c r="O8" s="15">
        <v>1379875</v>
      </c>
      <c r="P8" s="16">
        <v>0.55034561101549051</v>
      </c>
      <c r="Q8" s="16">
        <v>0.50192737644430541</v>
      </c>
      <c r="R8" s="17">
        <v>0</v>
      </c>
      <c r="S8" s="17">
        <v>0</v>
      </c>
      <c r="T8" s="17">
        <v>0</v>
      </c>
      <c r="U8" s="17">
        <v>0</v>
      </c>
      <c r="V8" s="17">
        <v>0</v>
      </c>
      <c r="W8" s="17">
        <v>0</v>
      </c>
      <c r="X8" s="17">
        <v>0</v>
      </c>
      <c r="Y8" s="17">
        <v>159462.31999999998</v>
      </c>
      <c r="Z8" s="17">
        <v>107136.68000000001</v>
      </c>
      <c r="AA8" s="17">
        <v>89556</v>
      </c>
      <c r="AB8" s="17">
        <v>60041.95</v>
      </c>
      <c r="AC8" s="17">
        <v>71455.871421996213</v>
      </c>
      <c r="AD8" s="15">
        <v>487652.82142199622</v>
      </c>
      <c r="AE8" s="17">
        <v>0</v>
      </c>
      <c r="AF8" s="17">
        <v>0</v>
      </c>
      <c r="AG8" s="17">
        <v>0</v>
      </c>
      <c r="AH8" s="17">
        <v>0</v>
      </c>
      <c r="AI8" s="17">
        <v>0</v>
      </c>
      <c r="AJ8" s="17">
        <v>0</v>
      </c>
      <c r="AK8" s="17">
        <v>0</v>
      </c>
      <c r="AL8" s="17">
        <v>74440.905464858792</v>
      </c>
      <c r="AM8" s="17">
        <v>42454.523022543042</v>
      </c>
      <c r="AN8" s="17">
        <v>42691.355256016919</v>
      </c>
      <c r="AO8" s="17">
        <v>44394.392655003008</v>
      </c>
      <c r="AP8" s="17">
        <v>38905.343751568536</v>
      </c>
      <c r="AQ8" s="15">
        <v>242886.52014999028</v>
      </c>
      <c r="AR8" s="16">
        <f>IFERROR((Table3[[#This Row],[FY26]]-Table3[[#This Row],[FY26 ]])/Table3[[#This Row],[FY26]],"")</f>
        <v>0.50192737644430541</v>
      </c>
      <c r="AS8" s="17">
        <v>92589.094003377744</v>
      </c>
      <c r="AT8" s="17">
        <v>84171.903639434313</v>
      </c>
      <c r="AU8" s="17">
        <v>92589.094003377832</v>
      </c>
      <c r="AV8" s="17">
        <v>92589.09400337773</v>
      </c>
      <c r="AW8" s="17">
        <v>88380.498821406014</v>
      </c>
      <c r="AX8" s="17">
        <v>88380.498821406072</v>
      </c>
      <c r="AY8" s="17">
        <v>92589.094003377773</v>
      </c>
      <c r="AZ8" s="17">
        <v>79963.308457462641</v>
      </c>
      <c r="BA8" s="17">
        <v>92589.094003377628</v>
      </c>
      <c r="BB8" s="17">
        <v>88380.49882140616</v>
      </c>
      <c r="BC8" s="17">
        <v>0</v>
      </c>
      <c r="BD8" s="17">
        <v>0</v>
      </c>
      <c r="BE8" s="15">
        <v>892222.17857800389</v>
      </c>
      <c r="BF8" s="17">
        <v>46116.092962907191</v>
      </c>
      <c r="BG8" s="17">
        <v>41923.720875370171</v>
      </c>
      <c r="BH8" s="17">
        <v>46116.092962907191</v>
      </c>
      <c r="BI8" s="17">
        <v>46116.092962907191</v>
      </c>
      <c r="BJ8" s="17">
        <v>44019.906919138681</v>
      </c>
      <c r="BK8" s="17">
        <v>44019.906919138681</v>
      </c>
      <c r="BL8" s="17">
        <v>46116.092962907191</v>
      </c>
      <c r="BM8" s="17">
        <v>39827.534831601661</v>
      </c>
      <c r="BN8" s="17">
        <v>46116.092962907191</v>
      </c>
      <c r="BO8" s="17">
        <v>44019.906919138681</v>
      </c>
      <c r="BP8" s="17">
        <v>0</v>
      </c>
      <c r="BQ8" s="14">
        <v>0</v>
      </c>
      <c r="BR8" s="15">
        <v>444391.44127892383</v>
      </c>
      <c r="BS8" s="18">
        <f>IFERROR((Table3[[#This Row],[FY27]]-Table3[[#This Row],[FY27 ]])/Table3[[#This Row],[FY27]],"")</f>
        <v>0.50192737644430541</v>
      </c>
      <c r="BY8"/>
    </row>
    <row r="9" spans="2:77">
      <c r="B9" s="8" t="b">
        <v>0</v>
      </c>
      <c r="C9" s="21"/>
      <c r="D9" s="23"/>
      <c r="E9" s="21"/>
      <c r="F9" s="23"/>
      <c r="G9" s="14">
        <v>5056566</v>
      </c>
      <c r="H9" s="14" t="s">
        <v>96</v>
      </c>
      <c r="I9" s="14" t="str">
        <f>_xlfn.XLOOKUP(Table3[[#This Row],[Project ID]],[1]Sheet2!H:H,[1]Sheet2!C:C)</f>
        <v>Citi - EDO Data Exception Extension Nov 25 -Jan26 (MIKE H) (US Roles)</v>
      </c>
      <c r="J9" s="14" t="s">
        <v>97</v>
      </c>
      <c r="K9" s="14" t="str">
        <f>_xlfn.XLOOKUP(Table3[[#This Row],[Project ID]],[1]Sheet2!H:H,[1]Sheet2!AK:AK)</f>
        <v>Ifeoluwa Ajelabi</v>
      </c>
      <c r="L9" s="14" t="s">
        <v>98</v>
      </c>
      <c r="M9" s="14" t="s">
        <v>93</v>
      </c>
      <c r="N9" s="14" t="s">
        <v>86</v>
      </c>
      <c r="O9" s="15">
        <v>1711908</v>
      </c>
      <c r="P9" s="16">
        <v>0.49539957754739156</v>
      </c>
      <c r="Q9" s="16">
        <v>0.46946827636171634</v>
      </c>
      <c r="R9" s="17">
        <v>0</v>
      </c>
      <c r="S9" s="17">
        <v>0</v>
      </c>
      <c r="T9" s="17">
        <v>0</v>
      </c>
      <c r="U9" s="17">
        <v>0</v>
      </c>
      <c r="V9" s="17">
        <v>0</v>
      </c>
      <c r="W9" s="17">
        <v>0</v>
      </c>
      <c r="X9" s="17">
        <v>0</v>
      </c>
      <c r="Y9" s="17">
        <v>129568.65999999999</v>
      </c>
      <c r="Z9" s="17">
        <v>103507.34</v>
      </c>
      <c r="AA9" s="17">
        <v>173524</v>
      </c>
      <c r="AB9" s="17">
        <v>192937.44999999998</v>
      </c>
      <c r="AC9" s="17">
        <v>312997.94825542852</v>
      </c>
      <c r="AD9" s="15">
        <v>912535.39825542853</v>
      </c>
      <c r="AE9" s="17">
        <v>0</v>
      </c>
      <c r="AF9" s="17">
        <v>0</v>
      </c>
      <c r="AG9" s="17">
        <v>0</v>
      </c>
      <c r="AH9" s="17">
        <v>0</v>
      </c>
      <c r="AI9" s="17">
        <v>0</v>
      </c>
      <c r="AJ9" s="17">
        <v>0</v>
      </c>
      <c r="AK9" s="17">
        <v>0</v>
      </c>
      <c r="AL9" s="17">
        <v>61502.542583084214</v>
      </c>
      <c r="AM9" s="17">
        <v>44035.677099427572</v>
      </c>
      <c r="AN9" s="17">
        <v>73462.969858776982</v>
      </c>
      <c r="AO9" s="17">
        <v>144097.93720787828</v>
      </c>
      <c r="AP9" s="17">
        <v>161029.85096823316</v>
      </c>
      <c r="AQ9" s="15">
        <v>484128.97771740018</v>
      </c>
      <c r="AR9" s="16">
        <f>IFERROR((Table3[[#This Row],[FY26]]-Table3[[#This Row],[FY26 ]])/Table3[[#This Row],[FY26]],"")</f>
        <v>0.46946827636171629</v>
      </c>
      <c r="AS9" s="17">
        <v>201933.27637192892</v>
      </c>
      <c r="AT9" s="17">
        <v>186699.78917895083</v>
      </c>
      <c r="AU9" s="17">
        <v>205369.76809684583</v>
      </c>
      <c r="AV9" s="17">
        <v>205369.76809684592</v>
      </c>
      <c r="AW9" s="17">
        <v>0</v>
      </c>
      <c r="AX9" s="17">
        <v>0</v>
      </c>
      <c r="AY9" s="17">
        <v>0</v>
      </c>
      <c r="AZ9" s="17">
        <v>0</v>
      </c>
      <c r="BA9" s="17">
        <v>0</v>
      </c>
      <c r="BB9" s="17">
        <v>0</v>
      </c>
      <c r="BC9" s="17">
        <v>0</v>
      </c>
      <c r="BD9" s="17">
        <v>0</v>
      </c>
      <c r="BE9" s="15">
        <v>799372.60174457158</v>
      </c>
      <c r="BF9" s="17">
        <v>107132.00917352538</v>
      </c>
      <c r="BG9" s="17">
        <v>99050.160956012973</v>
      </c>
      <c r="BH9" s="17">
        <v>108955.17705161427</v>
      </c>
      <c r="BI9" s="17">
        <v>108955.17705161427</v>
      </c>
      <c r="BJ9" s="17">
        <v>0</v>
      </c>
      <c r="BK9" s="17">
        <v>0</v>
      </c>
      <c r="BL9" s="17">
        <v>0</v>
      </c>
      <c r="BM9" s="17">
        <v>0</v>
      </c>
      <c r="BN9" s="17">
        <v>0</v>
      </c>
      <c r="BO9" s="17">
        <v>0</v>
      </c>
      <c r="BP9" s="17">
        <v>0</v>
      </c>
      <c r="BQ9" s="14">
        <v>0</v>
      </c>
      <c r="BR9" s="15">
        <v>424092.52423276688</v>
      </c>
      <c r="BS9" s="18">
        <f>IFERROR((Table3[[#This Row],[FY27]]-Table3[[#This Row],[FY27 ]])/Table3[[#This Row],[FY27]],"")</f>
        <v>0.46946827636171629</v>
      </c>
      <c r="BY9"/>
    </row>
    <row r="10" spans="2:77">
      <c r="B10" s="8" t="b">
        <v>0</v>
      </c>
      <c r="C10" s="21"/>
      <c r="D10" s="23"/>
      <c r="E10" s="21"/>
      <c r="F10" s="23"/>
      <c r="G10" s="14">
        <v>5056802</v>
      </c>
      <c r="H10" s="14" t="s">
        <v>99</v>
      </c>
      <c r="I10" s="14" t="str">
        <f>_xlfn.XLOOKUP(Table3[[#This Row],[Project ID]],[1]Sheet2!H:H,[1]Sheet2!C:C)</f>
        <v>CACIB Uplift of Resilience Management Program</v>
      </c>
      <c r="J10" s="14" t="s">
        <v>100</v>
      </c>
      <c r="K10" s="14" t="str">
        <f>_xlfn.XLOOKUP(Table3[[#This Row],[Project ID]],[1]Sheet2!H:H,[1]Sheet2!AK:AK)</f>
        <v>Anika Yan</v>
      </c>
      <c r="L10" s="14" t="s">
        <v>98</v>
      </c>
      <c r="M10" s="14" t="s">
        <v>101</v>
      </c>
      <c r="N10" s="14" t="s">
        <v>86</v>
      </c>
      <c r="O10" s="15">
        <v>600000</v>
      </c>
      <c r="P10" s="16">
        <v>0.12</v>
      </c>
      <c r="Q10" s="16">
        <v>0.33493876455917782</v>
      </c>
      <c r="R10" s="17">
        <v>0</v>
      </c>
      <c r="S10" s="17">
        <v>0</v>
      </c>
      <c r="T10" s="17">
        <v>0</v>
      </c>
      <c r="U10" s="17">
        <v>0</v>
      </c>
      <c r="V10" s="17">
        <v>0</v>
      </c>
      <c r="W10" s="17">
        <v>0</v>
      </c>
      <c r="X10" s="17">
        <v>0</v>
      </c>
      <c r="Y10" s="17">
        <v>0</v>
      </c>
      <c r="Z10" s="17">
        <v>349050.98</v>
      </c>
      <c r="AA10" s="17">
        <v>42110</v>
      </c>
      <c r="AB10" s="17">
        <v>44021.47</v>
      </c>
      <c r="AC10" s="17">
        <v>54490.740039581971</v>
      </c>
      <c r="AD10" s="15">
        <v>489673.19003958191</v>
      </c>
      <c r="AE10" s="17">
        <v>0</v>
      </c>
      <c r="AF10" s="17">
        <v>0</v>
      </c>
      <c r="AG10" s="17">
        <v>0</v>
      </c>
      <c r="AH10" s="17">
        <v>0</v>
      </c>
      <c r="AI10" s="17">
        <v>0</v>
      </c>
      <c r="AJ10" s="17">
        <v>0</v>
      </c>
      <c r="AK10" s="17">
        <v>108829.6523004191</v>
      </c>
      <c r="AL10" s="17">
        <v>84313.847832906686</v>
      </c>
      <c r="AM10" s="17">
        <v>43493.243751568538</v>
      </c>
      <c r="AN10" s="17">
        <v>24560.163950271042</v>
      </c>
      <c r="AO10" s="17">
        <v>27218.120928386787</v>
      </c>
      <c r="AP10" s="17">
        <v>37247.627966420718</v>
      </c>
      <c r="AQ10" s="15">
        <v>325662.65672997286</v>
      </c>
      <c r="AR10" s="16">
        <f>IFERROR((Table3[[#This Row],[FY26]]-Table3[[#This Row],[FY26 ]])/Table3[[#This Row],[FY26]],"")</f>
        <v>0.33493876455917782</v>
      </c>
      <c r="AS10" s="17">
        <v>56006.313376138802</v>
      </c>
      <c r="AT10" s="17">
        <v>54320.496584279172</v>
      </c>
      <c r="AU10" s="17">
        <v>0</v>
      </c>
      <c r="AV10" s="17">
        <v>0</v>
      </c>
      <c r="AW10" s="17">
        <v>0</v>
      </c>
      <c r="AX10" s="17">
        <v>0</v>
      </c>
      <c r="AY10" s="17">
        <v>0</v>
      </c>
      <c r="AZ10" s="17">
        <v>0</v>
      </c>
      <c r="BA10" s="17">
        <v>0</v>
      </c>
      <c r="BB10" s="17">
        <v>0</v>
      </c>
      <c r="BC10" s="17">
        <v>0</v>
      </c>
      <c r="BD10" s="17">
        <v>0</v>
      </c>
      <c r="BE10" s="15">
        <v>110326.80996041797</v>
      </c>
      <c r="BF10" s="17">
        <v>37247.627966420718</v>
      </c>
      <c r="BG10" s="17">
        <v>36126.456568099682</v>
      </c>
      <c r="BH10" s="17">
        <v>0</v>
      </c>
      <c r="BI10" s="17">
        <v>0</v>
      </c>
      <c r="BJ10" s="17">
        <v>0</v>
      </c>
      <c r="BK10" s="17">
        <v>0</v>
      </c>
      <c r="BL10" s="17">
        <v>0</v>
      </c>
      <c r="BM10" s="17">
        <v>0</v>
      </c>
      <c r="BN10" s="17">
        <v>0</v>
      </c>
      <c r="BO10" s="17">
        <v>0</v>
      </c>
      <c r="BP10" s="17">
        <v>0</v>
      </c>
      <c r="BQ10" s="14">
        <v>0</v>
      </c>
      <c r="BR10" s="15">
        <v>73374.0845345204</v>
      </c>
      <c r="BS10" s="18">
        <f>IFERROR((Table3[[#This Row],[FY27]]-Table3[[#This Row],[FY27 ]])/Table3[[#This Row],[FY27]],"")</f>
        <v>0.33493876455917765</v>
      </c>
      <c r="BY10"/>
    </row>
    <row r="11" spans="2:77">
      <c r="B11" s="8" t="b">
        <v>0</v>
      </c>
      <c r="C11" s="21"/>
      <c r="D11" s="23"/>
      <c r="E11" s="21"/>
      <c r="F11" s="23"/>
      <c r="G11" s="14">
        <v>5053923</v>
      </c>
      <c r="H11" s="14" t="s">
        <v>102</v>
      </c>
      <c r="I11" s="14" t="str">
        <f>_xlfn.XLOOKUP(Table3[[#This Row],[Project ID]],[1]Sheet2!H:H,[1]Sheet2!C:C)</f>
        <v>SF Underwriting Test Automation</v>
      </c>
      <c r="J11" s="14" t="s">
        <v>103</v>
      </c>
      <c r="K11" s="14" t="str">
        <f>_xlfn.XLOOKUP(Table3[[#This Row],[Project ID]],[1]Sheet2!H:H,[1]Sheet2!AK:AK)</f>
        <v>Varun Putchala</v>
      </c>
      <c r="L11" s="14" t="s">
        <v>84</v>
      </c>
      <c r="M11" s="14" t="s">
        <v>104</v>
      </c>
      <c r="N11" s="14" t="s">
        <v>105</v>
      </c>
      <c r="O11" s="15">
        <v>789820</v>
      </c>
      <c r="P11" s="16">
        <v>0.50033957104150306</v>
      </c>
      <c r="Q11" s="16">
        <v>0.48438152275199692</v>
      </c>
      <c r="R11" s="17">
        <v>41415.83</v>
      </c>
      <c r="S11" s="17">
        <v>41415.83</v>
      </c>
      <c r="T11" s="17">
        <v>41415.83</v>
      </c>
      <c r="U11" s="17">
        <v>41415.83</v>
      </c>
      <c r="V11" s="17">
        <v>7389.1699999999992</v>
      </c>
      <c r="W11" s="17">
        <v>24402.5</v>
      </c>
      <c r="X11" s="17">
        <v>24402.510000000024</v>
      </c>
      <c r="Y11" s="17">
        <v>24402.52</v>
      </c>
      <c r="Z11" s="17">
        <v>24402.479999999981</v>
      </c>
      <c r="AA11" s="17">
        <v>24402.5</v>
      </c>
      <c r="AB11" s="17">
        <v>24402.5</v>
      </c>
      <c r="AC11" s="17">
        <v>24402.499999999971</v>
      </c>
      <c r="AD11" s="15">
        <v>343870</v>
      </c>
      <c r="AE11" s="17">
        <v>21625.467752234996</v>
      </c>
      <c r="AF11" s="17">
        <v>20548.870114942529</v>
      </c>
      <c r="AG11" s="17">
        <v>21141.91519795658</v>
      </c>
      <c r="AH11" s="17">
        <v>14417.761877394636</v>
      </c>
      <c r="AI11" s="17">
        <v>10984.961430395913</v>
      </c>
      <c r="AJ11" s="17">
        <v>14417.761877394636</v>
      </c>
      <c r="AK11" s="17">
        <v>15790.882056194125</v>
      </c>
      <c r="AL11" s="17">
        <v>9611.8412515964246</v>
      </c>
      <c r="AM11" s="17">
        <v>6865.6008939974454</v>
      </c>
      <c r="AN11" s="17">
        <v>10984.961430395913</v>
      </c>
      <c r="AO11" s="17">
        <v>11671.521519795659</v>
      </c>
      <c r="AP11" s="17">
        <v>15104.321966794381</v>
      </c>
      <c r="AQ11" s="15">
        <v>173165.86736909326</v>
      </c>
      <c r="AR11" s="16">
        <f>IFERROR((Table3[[#This Row],[FY26]]-Table3[[#This Row],[FY26 ]])/Table3[[#This Row],[FY26]],"")</f>
        <v>0.49642054448165507</v>
      </c>
      <c r="AS11" s="17">
        <v>24402.499999999985</v>
      </c>
      <c r="AT11" s="17">
        <v>24402.500000000029</v>
      </c>
      <c r="AU11" s="17">
        <v>24402.499999999942</v>
      </c>
      <c r="AV11" s="17">
        <v>24402.500000000015</v>
      </c>
      <c r="AW11" s="17">
        <v>24402.500000000015</v>
      </c>
      <c r="AX11" s="17">
        <v>24402.500000000073</v>
      </c>
      <c r="AY11" s="17">
        <v>24402.499999999927</v>
      </c>
      <c r="AZ11" s="17">
        <v>24402.499999999985</v>
      </c>
      <c r="BA11" s="17">
        <v>24402.50000000016</v>
      </c>
      <c r="BB11" s="17">
        <v>0</v>
      </c>
      <c r="BC11" s="17">
        <v>0</v>
      </c>
      <c r="BD11" s="17">
        <v>0</v>
      </c>
      <c r="BE11" s="15">
        <v>219622.50000000017</v>
      </c>
      <c r="BF11" s="17">
        <v>11671.521519795659</v>
      </c>
      <c r="BG11" s="17">
        <v>13731.201787994891</v>
      </c>
      <c r="BH11" s="17">
        <v>13731.201787994891</v>
      </c>
      <c r="BI11" s="17">
        <v>13731.201787994891</v>
      </c>
      <c r="BJ11" s="17">
        <v>13731.201787994891</v>
      </c>
      <c r="BK11" s="17">
        <v>13731.201787994891</v>
      </c>
      <c r="BL11" s="17">
        <v>13731.201787994891</v>
      </c>
      <c r="BM11" s="17">
        <v>13731.201787994891</v>
      </c>
      <c r="BN11" s="17">
        <v>13731.201787994891</v>
      </c>
      <c r="BO11" s="17">
        <v>0</v>
      </c>
      <c r="BP11" s="17">
        <v>0</v>
      </c>
      <c r="BQ11" s="14">
        <v>0</v>
      </c>
      <c r="BR11" s="15">
        <v>121521.13582375477</v>
      </c>
      <c r="BS11" s="18">
        <f>IFERROR((Table3[[#This Row],[FY27]]-Table3[[#This Row],[FY27 ]])/Table3[[#This Row],[FY27]],"")</f>
        <v>0.44668175699778179</v>
      </c>
      <c r="BY11"/>
    </row>
    <row r="12" spans="2:77">
      <c r="B12" s="8" t="b">
        <v>0</v>
      </c>
      <c r="C12" s="21"/>
      <c r="D12" s="23"/>
      <c r="E12" s="21"/>
      <c r="F12" s="23"/>
      <c r="G12" s="14">
        <v>5056259</v>
      </c>
      <c r="H12" s="14" t="s">
        <v>106</v>
      </c>
      <c r="I12" s="14" t="str">
        <f>_xlfn.XLOOKUP(Table3[[#This Row],[Project ID]],[1]Sheet2!H:H,[1]Sheet2!C:C)</f>
        <v>FCB_Microsoft 365 Migration</v>
      </c>
      <c r="J12" s="14" t="s">
        <v>107</v>
      </c>
      <c r="K12" s="14" t="str">
        <f>_xlfn.XLOOKUP(Table3[[#This Row],[Project ID]],[1]Sheet2!H:H,[1]Sheet2!AK:AK)</f>
        <v>Samuel Awsumb</v>
      </c>
      <c r="L12" s="14" t="s">
        <v>84</v>
      </c>
      <c r="M12" s="14" t="s">
        <v>104</v>
      </c>
      <c r="N12" s="14" t="s">
        <v>86</v>
      </c>
      <c r="O12" s="15">
        <v>3100000</v>
      </c>
      <c r="P12" s="16">
        <v>0.5</v>
      </c>
      <c r="Q12" s="16">
        <v>0.31960630653033045</v>
      </c>
      <c r="R12" s="17">
        <v>0</v>
      </c>
      <c r="S12" s="17">
        <v>0</v>
      </c>
      <c r="T12" s="17">
        <v>0</v>
      </c>
      <c r="U12" s="17">
        <v>0</v>
      </c>
      <c r="V12" s="17">
        <v>0</v>
      </c>
      <c r="W12" s="17">
        <v>138078.69</v>
      </c>
      <c r="X12" s="17">
        <v>351493.83558657276</v>
      </c>
      <c r="Y12" s="17">
        <v>187111.67151586327</v>
      </c>
      <c r="Z12" s="17">
        <v>268517.8</v>
      </c>
      <c r="AA12" s="17">
        <v>411476.18</v>
      </c>
      <c r="AB12" s="17">
        <v>183931.80000000008</v>
      </c>
      <c r="AC12" s="17">
        <v>225311.87033697937</v>
      </c>
      <c r="AD12" s="15">
        <v>1765921.8474394155</v>
      </c>
      <c r="AE12" s="17">
        <v>0</v>
      </c>
      <c r="AF12" s="17">
        <v>0</v>
      </c>
      <c r="AG12" s="17">
        <v>0</v>
      </c>
      <c r="AH12" s="17">
        <v>0</v>
      </c>
      <c r="AI12" s="17">
        <v>0</v>
      </c>
      <c r="AJ12" s="17">
        <v>61674.85888458429</v>
      </c>
      <c r="AK12" s="17">
        <v>203850.79654716418</v>
      </c>
      <c r="AL12" s="17">
        <v>191416.81462557023</v>
      </c>
      <c r="AM12" s="17">
        <v>202835.89419433492</v>
      </c>
      <c r="AN12" s="17">
        <v>214746.36286526217</v>
      </c>
      <c r="AO12" s="17">
        <v>197562.25554746186</v>
      </c>
      <c r="AP12" s="17">
        <v>129435.10549370864</v>
      </c>
      <c r="AQ12" s="15">
        <v>1201522.0881580864</v>
      </c>
      <c r="AR12" s="16">
        <f>IFERROR((Table3[[#This Row],[FY26]]-Table3[[#This Row],[FY26 ]])/Table3[[#This Row],[FY26]],"")</f>
        <v>0.31960630653033034</v>
      </c>
      <c r="AS12" s="17">
        <v>176141.62914018953</v>
      </c>
      <c r="AT12" s="17">
        <v>171646.15886272708</v>
      </c>
      <c r="AU12" s="17">
        <v>176141.6291401895</v>
      </c>
      <c r="AV12" s="17">
        <v>176141.62914018947</v>
      </c>
      <c r="AW12" s="17">
        <v>166712.58235598731</v>
      </c>
      <c r="AX12" s="17">
        <v>166712.5823559874</v>
      </c>
      <c r="AY12" s="17">
        <v>175184.55034847776</v>
      </c>
      <c r="AZ12" s="17">
        <v>125397.39121683688</v>
      </c>
      <c r="BA12" s="17">
        <v>0</v>
      </c>
      <c r="BB12" s="17">
        <v>0</v>
      </c>
      <c r="BC12" s="17">
        <v>0</v>
      </c>
      <c r="BD12" s="17">
        <v>0</v>
      </c>
      <c r="BE12" s="15">
        <v>1334078.1525605849</v>
      </c>
      <c r="BF12" s="17">
        <v>119845.65362445824</v>
      </c>
      <c r="BG12" s="17">
        <v>116786.96399849253</v>
      </c>
      <c r="BH12" s="17">
        <v>119845.65362445824</v>
      </c>
      <c r="BI12" s="17">
        <v>119845.65362445824</v>
      </c>
      <c r="BJ12" s="17">
        <v>113430.18965705668</v>
      </c>
      <c r="BK12" s="17">
        <v>113430.18965705668</v>
      </c>
      <c r="BL12" s="17">
        <v>119194.46325042393</v>
      </c>
      <c r="BM12" s="17">
        <v>85319.594161484842</v>
      </c>
      <c r="BN12" s="17">
        <v>0</v>
      </c>
      <c r="BO12" s="17">
        <v>0</v>
      </c>
      <c r="BP12" s="17">
        <v>0</v>
      </c>
      <c r="BQ12" s="14">
        <v>0</v>
      </c>
      <c r="BR12" s="15">
        <v>907698.36159788934</v>
      </c>
      <c r="BS12" s="18">
        <f>IFERROR((Table3[[#This Row],[FY27]]-Table3[[#This Row],[FY27 ]])/Table3[[#This Row],[FY27]],"")</f>
        <v>0.31960630653033073</v>
      </c>
      <c r="BY12"/>
    </row>
    <row r="13" spans="2:77">
      <c r="B13" s="8" t="b">
        <v>0</v>
      </c>
      <c r="C13" s="21"/>
      <c r="D13" s="23"/>
      <c r="E13" s="21"/>
      <c r="F13" s="23"/>
      <c r="G13" s="14">
        <v>5056040</v>
      </c>
      <c r="H13" s="14" t="s">
        <v>106</v>
      </c>
      <c r="I13" s="14" t="str">
        <f>_xlfn.XLOOKUP(Table3[[#This Row],[Project ID]],[1]Sheet2!H:H,[1]Sheet2!C:C)</f>
        <v>FCB_Payments Transformation_Wires Planning</v>
      </c>
      <c r="J13" s="14" t="s">
        <v>107</v>
      </c>
      <c r="K13" s="14" t="str">
        <f>_xlfn.XLOOKUP(Table3[[#This Row],[Project ID]],[1]Sheet2!H:H,[1]Sheet2!AK:AK)</f>
        <v>Ann Culbertson</v>
      </c>
      <c r="L13" s="14" t="s">
        <v>84</v>
      </c>
      <c r="M13" s="14" t="s">
        <v>104</v>
      </c>
      <c r="N13" s="14" t="s">
        <v>86</v>
      </c>
      <c r="O13" s="15">
        <v>1200000</v>
      </c>
      <c r="P13" s="16">
        <v>0.52812499999999996</v>
      </c>
      <c r="Q13" s="16">
        <v>0.48897547957635595</v>
      </c>
      <c r="R13" s="17">
        <v>0</v>
      </c>
      <c r="S13" s="17">
        <v>0</v>
      </c>
      <c r="T13" s="17">
        <v>0</v>
      </c>
      <c r="U13" s="17">
        <v>0</v>
      </c>
      <c r="V13" s="17">
        <v>98242.89</v>
      </c>
      <c r="W13" s="17">
        <v>224558.88</v>
      </c>
      <c r="X13" s="17">
        <v>141236.85</v>
      </c>
      <c r="Y13" s="17">
        <v>197937.26</v>
      </c>
      <c r="Z13" s="17">
        <v>140811.74</v>
      </c>
      <c r="AA13" s="17">
        <v>203648.13</v>
      </c>
      <c r="AB13" s="17">
        <v>182759.87</v>
      </c>
      <c r="AC13" s="17">
        <v>293812.22342918895</v>
      </c>
      <c r="AD13" s="15">
        <v>1483007.8434291892</v>
      </c>
      <c r="AE13" s="17">
        <v>0</v>
      </c>
      <c r="AF13" s="17">
        <v>0</v>
      </c>
      <c r="AG13" s="17">
        <v>0</v>
      </c>
      <c r="AH13" s="17">
        <v>0</v>
      </c>
      <c r="AI13" s="17">
        <v>52259.410536067895</v>
      </c>
      <c r="AJ13" s="17">
        <v>113250.13741063011</v>
      </c>
      <c r="AK13" s="17">
        <v>116248.32464590674</v>
      </c>
      <c r="AL13" s="17">
        <v>100468.08352961137</v>
      </c>
      <c r="AM13" s="17">
        <v>85194.284331522591</v>
      </c>
      <c r="AN13" s="17">
        <v>87690.843004942682</v>
      </c>
      <c r="AO13" s="17">
        <v>92869.654329344645</v>
      </c>
      <c r="AP13" s="17">
        <v>109872.63418487801</v>
      </c>
      <c r="AQ13" s="15">
        <v>757853.37197290396</v>
      </c>
      <c r="AR13" s="16">
        <f>IFERROR((Table3[[#This Row],[FY26]]-Table3[[#This Row],[FY26 ]])/Table3[[#This Row],[FY26]],"")</f>
        <v>0.48897547957635595</v>
      </c>
      <c r="AS13" s="17">
        <v>227456.26956222512</v>
      </c>
      <c r="AT13" s="17">
        <v>206042.90533398971</v>
      </c>
      <c r="AU13" s="17">
        <v>227456.26956222509</v>
      </c>
      <c r="AV13" s="17">
        <v>222621.47220660752</v>
      </c>
      <c r="AW13" s="17">
        <v>211541.08364023932</v>
      </c>
      <c r="AX13" s="17">
        <v>216874.15626552425</v>
      </c>
      <c r="AY13" s="17">
        <v>0</v>
      </c>
      <c r="AZ13" s="17">
        <v>0</v>
      </c>
      <c r="BA13" s="17">
        <v>0</v>
      </c>
      <c r="BB13" s="17">
        <v>0</v>
      </c>
      <c r="BC13" s="17">
        <v>0</v>
      </c>
      <c r="BD13" s="17">
        <v>0</v>
      </c>
      <c r="BE13" s="15">
        <v>1311992.1565708108</v>
      </c>
      <c r="BF13" s="17">
        <v>116235.73107038722</v>
      </c>
      <c r="BG13" s="17">
        <v>105292.97688499642</v>
      </c>
      <c r="BH13" s="17">
        <v>116235.73107038722</v>
      </c>
      <c r="BI13" s="17">
        <v>113765.03107038722</v>
      </c>
      <c r="BJ13" s="17">
        <v>108102.6808171513</v>
      </c>
      <c r="BK13" s="17">
        <v>110828.01169787202</v>
      </c>
      <c r="BL13" s="17">
        <v>0</v>
      </c>
      <c r="BM13" s="17">
        <v>0</v>
      </c>
      <c r="BN13" s="17">
        <v>0</v>
      </c>
      <c r="BO13" s="17">
        <v>0</v>
      </c>
      <c r="BP13" s="17">
        <v>0</v>
      </c>
      <c r="BQ13" s="14">
        <v>0</v>
      </c>
      <c r="BR13" s="15">
        <v>670460.16261118138</v>
      </c>
      <c r="BS13" s="18">
        <f>IFERROR((Table3[[#This Row],[FY27]]-Table3[[#This Row],[FY27 ]])/Table3[[#This Row],[FY27]],"")</f>
        <v>0.48897547957635573</v>
      </c>
      <c r="BY13"/>
    </row>
    <row r="14" spans="2:77">
      <c r="B14" s="8" t="b">
        <v>0</v>
      </c>
      <c r="C14" s="21"/>
      <c r="D14" s="23"/>
      <c r="E14" s="21"/>
      <c r="F14" s="23"/>
      <c r="G14" s="14">
        <v>5057112</v>
      </c>
      <c r="H14" s="14" t="s">
        <v>108</v>
      </c>
      <c r="I14" s="14" t="str">
        <f>_xlfn.XLOOKUP(Table3[[#This Row],[Project ID]],[1]Sheet2!H:H,[1]Sheet2!C:C)</f>
        <v>FrMc_SecOps Modernization Support Ext</v>
      </c>
      <c r="J14" s="14" t="s">
        <v>109</v>
      </c>
      <c r="K14" s="14" t="str">
        <f>_xlfn.XLOOKUP(Table3[[#This Row],[Project ID]],[1]Sheet2!H:H,[1]Sheet2!AK:AK)</f>
        <v>Gregory Barry</v>
      </c>
      <c r="L14" s="14" t="s">
        <v>84</v>
      </c>
      <c r="M14" s="14" t="s">
        <v>104</v>
      </c>
      <c r="N14" s="14" t="s">
        <v>86</v>
      </c>
      <c r="O14" s="15">
        <v>2812462</v>
      </c>
      <c r="P14" s="16">
        <v>0.54</v>
      </c>
      <c r="Q14" s="16">
        <v>0.63564187566240926</v>
      </c>
      <c r="R14" s="17">
        <v>0</v>
      </c>
      <c r="S14" s="17">
        <v>0</v>
      </c>
      <c r="T14" s="17">
        <v>0</v>
      </c>
      <c r="U14" s="17">
        <v>0</v>
      </c>
      <c r="V14" s="17">
        <v>0</v>
      </c>
      <c r="W14" s="17">
        <v>0</v>
      </c>
      <c r="X14" s="17">
        <v>0</v>
      </c>
      <c r="Y14" s="17">
        <v>0</v>
      </c>
      <c r="Z14" s="17">
        <v>0</v>
      </c>
      <c r="AA14" s="17">
        <v>0</v>
      </c>
      <c r="AB14" s="17">
        <v>354103.18999999994</v>
      </c>
      <c r="AC14" s="17">
        <v>380672.39180219243</v>
      </c>
      <c r="AD14" s="15">
        <v>734775.58180219238</v>
      </c>
      <c r="AE14" s="17">
        <v>0</v>
      </c>
      <c r="AF14" s="17">
        <v>0</v>
      </c>
      <c r="AG14" s="17">
        <v>0</v>
      </c>
      <c r="AH14" s="17">
        <v>0</v>
      </c>
      <c r="AI14" s="17">
        <v>0</v>
      </c>
      <c r="AJ14" s="17">
        <v>0</v>
      </c>
      <c r="AK14" s="17">
        <v>0</v>
      </c>
      <c r="AL14" s="17">
        <v>0</v>
      </c>
      <c r="AM14" s="17">
        <v>0</v>
      </c>
      <c r="AN14" s="17">
        <v>0</v>
      </c>
      <c r="AO14" s="17">
        <v>119720.42649826832</v>
      </c>
      <c r="AP14" s="17">
        <v>148001.02629624051</v>
      </c>
      <c r="AQ14" s="15">
        <v>267721.45279450883</v>
      </c>
      <c r="AR14" s="16">
        <f>IFERROR((Table3[[#This Row],[FY26]]-Table3[[#This Row],[FY26 ]])/Table3[[#This Row],[FY26]],"")</f>
        <v>0.63564187566240915</v>
      </c>
      <c r="AS14" s="17">
        <v>406196.58629901247</v>
      </c>
      <c r="AT14" s="17">
        <v>190510.36703571744</v>
      </c>
      <c r="AU14" s="17">
        <v>209561.40373928909</v>
      </c>
      <c r="AV14" s="17">
        <v>209561.40373928929</v>
      </c>
      <c r="AW14" s="17">
        <v>200035.88538750331</v>
      </c>
      <c r="AX14" s="17">
        <v>200035.88538750337</v>
      </c>
      <c r="AY14" s="17">
        <v>209561.40373928915</v>
      </c>
      <c r="AZ14" s="17">
        <v>180984.84868393146</v>
      </c>
      <c r="BA14" s="17">
        <v>128838.3512384792</v>
      </c>
      <c r="BB14" s="17">
        <v>142400.28294779267</v>
      </c>
      <c r="BC14" s="17">
        <v>0</v>
      </c>
      <c r="BD14" s="17">
        <v>0</v>
      </c>
      <c r="BE14" s="15">
        <v>2077686.4181978072</v>
      </c>
      <c r="BF14" s="17">
        <v>148001.02629624051</v>
      </c>
      <c r="BG14" s="17">
        <v>69414</v>
      </c>
      <c r="BH14" s="17">
        <v>76355.399999999994</v>
      </c>
      <c r="BI14" s="17">
        <v>76355.399999999994</v>
      </c>
      <c r="BJ14" s="17">
        <v>72884.7</v>
      </c>
      <c r="BK14" s="17">
        <v>72884.7</v>
      </c>
      <c r="BL14" s="17">
        <v>76355.399999999994</v>
      </c>
      <c r="BM14" s="17">
        <v>65943.3</v>
      </c>
      <c r="BN14" s="17">
        <v>46943.3</v>
      </c>
      <c r="BO14" s="17">
        <v>51884.7</v>
      </c>
      <c r="BP14" s="17">
        <v>0</v>
      </c>
      <c r="BQ14" s="14">
        <v>0</v>
      </c>
      <c r="BR14" s="15">
        <v>757021.92629624065</v>
      </c>
      <c r="BS14" s="18">
        <f>IFERROR((Table3[[#This Row],[FY27]]-Table3[[#This Row],[FY27 ]])/Table3[[#This Row],[FY27]],"")</f>
        <v>0.63564187566240904</v>
      </c>
      <c r="BY14"/>
    </row>
    <row r="15" spans="2:77">
      <c r="B15" s="8" t="b">
        <v>0</v>
      </c>
      <c r="C15" s="21"/>
      <c r="D15" s="23"/>
      <c r="E15" s="21"/>
      <c r="F15" s="23"/>
      <c r="G15" s="14">
        <v>5053679</v>
      </c>
      <c r="H15" s="14" t="s">
        <v>108</v>
      </c>
      <c r="I15" s="14" t="str">
        <f>_xlfn.XLOOKUP(Table3[[#This Row],[Project ID]],[1]Sheet2!H:H,[1]Sheet2!C:C)</f>
        <v>FrMc_SF Data Ops Program</v>
      </c>
      <c r="J15" s="14" t="s">
        <v>109</v>
      </c>
      <c r="K15" s="14" t="str">
        <f>_xlfn.XLOOKUP(Table3[[#This Row],[Project ID]],[1]Sheet2!H:H,[1]Sheet2!AK:AK)</f>
        <v>Ambika Kutty</v>
      </c>
      <c r="L15" s="14" t="s">
        <v>84</v>
      </c>
      <c r="M15" s="14" t="s">
        <v>93</v>
      </c>
      <c r="N15" s="14" t="s">
        <v>86</v>
      </c>
      <c r="O15" s="15">
        <v>6839064</v>
      </c>
      <c r="P15" s="16">
        <v>0.44346358507538464</v>
      </c>
      <c r="Q15" s="16">
        <v>0.25293999645705012</v>
      </c>
      <c r="R15" s="17">
        <v>224582.13</v>
      </c>
      <c r="S15" s="17">
        <v>348009.23</v>
      </c>
      <c r="T15" s="17">
        <v>640253.29</v>
      </c>
      <c r="U15" s="17">
        <v>-100759.71999999999</v>
      </c>
      <c r="V15" s="17">
        <v>453174.24999999988</v>
      </c>
      <c r="W15" s="17">
        <v>594597.24999999988</v>
      </c>
      <c r="X15" s="17">
        <v>410612.61999999994</v>
      </c>
      <c r="Y15" s="17">
        <v>374590.51999999996</v>
      </c>
      <c r="Z15" s="17">
        <v>493762.67000000004</v>
      </c>
      <c r="AA15" s="17">
        <v>219384.90999999997</v>
      </c>
      <c r="AB15" s="17">
        <v>335688.31999999989</v>
      </c>
      <c r="AC15" s="17">
        <v>364881.13558561739</v>
      </c>
      <c r="AD15" s="15">
        <v>4358776.605585617</v>
      </c>
      <c r="AE15" s="17">
        <v>230358.89192694327</v>
      </c>
      <c r="AF15" s="17">
        <v>195472.02201801824</v>
      </c>
      <c r="AG15" s="17">
        <v>192687.60948158897</v>
      </c>
      <c r="AH15" s="17">
        <v>229680.71698787247</v>
      </c>
      <c r="AI15" s="17">
        <v>206756.71593919036</v>
      </c>
      <c r="AJ15" s="17">
        <v>355948.21182124282</v>
      </c>
      <c r="AK15" s="17">
        <v>401519.82368132519</v>
      </c>
      <c r="AL15" s="17">
        <v>307443.0090708342</v>
      </c>
      <c r="AM15" s="17">
        <v>353582.70380313037</v>
      </c>
      <c r="AN15" s="17">
        <v>252407.02097014079</v>
      </c>
      <c r="AO15" s="17">
        <v>252991.00114628478</v>
      </c>
      <c r="AP15" s="17">
        <v>284352.27584636642</v>
      </c>
      <c r="AQ15" s="15">
        <v>3263200.0026929374</v>
      </c>
      <c r="AR15" s="16">
        <f>IFERROR((Table3[[#This Row],[FY26]]-Table3[[#This Row],[FY26 ]])/Table3[[#This Row],[FY26]],"")</f>
        <v>0.25134956480420151</v>
      </c>
      <c r="AS15" s="17">
        <v>337559.80215493089</v>
      </c>
      <c r="AT15" s="17">
        <v>106597.83225945178</v>
      </c>
      <c r="AU15" s="17">
        <v>0</v>
      </c>
      <c r="AV15" s="17">
        <v>0</v>
      </c>
      <c r="AW15" s="17">
        <v>0</v>
      </c>
      <c r="AX15" s="17">
        <v>0</v>
      </c>
      <c r="AY15" s="17">
        <v>0</v>
      </c>
      <c r="AZ15" s="17">
        <v>0</v>
      </c>
      <c r="BA15" s="17">
        <v>0</v>
      </c>
      <c r="BB15" s="17">
        <v>0</v>
      </c>
      <c r="BC15" s="17">
        <v>0</v>
      </c>
      <c r="BD15" s="17">
        <v>0</v>
      </c>
      <c r="BE15" s="15">
        <v>444157.63441438269</v>
      </c>
      <c r="BF15" s="17">
        <v>241640.27584636642</v>
      </c>
      <c r="BG15" s="17">
        <v>76307.4555304315</v>
      </c>
      <c r="BH15" s="17">
        <v>0</v>
      </c>
      <c r="BI15" s="17">
        <v>0</v>
      </c>
      <c r="BJ15" s="17">
        <v>0</v>
      </c>
      <c r="BK15" s="17">
        <v>0</v>
      </c>
      <c r="BL15" s="17">
        <v>0</v>
      </c>
      <c r="BM15" s="17">
        <v>0</v>
      </c>
      <c r="BN15" s="17">
        <v>0</v>
      </c>
      <c r="BO15" s="17">
        <v>0</v>
      </c>
      <c r="BP15" s="17">
        <v>0</v>
      </c>
      <c r="BQ15" s="14">
        <v>0</v>
      </c>
      <c r="BR15" s="15">
        <v>317947.73137679789</v>
      </c>
      <c r="BS15" s="18">
        <f>IFERROR((Table3[[#This Row],[FY27]]-Table3[[#This Row],[FY27 ]])/Table3[[#This Row],[FY27]],"")</f>
        <v>0.28415565389074371</v>
      </c>
      <c r="BY15"/>
    </row>
    <row r="16" spans="2:77">
      <c r="B16" s="8" t="b">
        <v>0</v>
      </c>
      <c r="C16" s="21"/>
      <c r="D16" s="23"/>
      <c r="E16" s="21"/>
      <c r="F16" s="23"/>
      <c r="G16" s="14">
        <v>5057353</v>
      </c>
      <c r="H16" s="14" t="s">
        <v>108</v>
      </c>
      <c r="I16" s="14" t="str">
        <f>_xlfn.XLOOKUP(Table3[[#This Row],[Project ID]],[1]Sheet2!H:H,[1]Sheet2!C:C)</f>
        <v>FrMc_SF CDT TECH</v>
      </c>
      <c r="J16" s="14" t="s">
        <v>109</v>
      </c>
      <c r="K16" s="14" t="str">
        <f>_xlfn.XLOOKUP(Table3[[#This Row],[Project ID]],[1]Sheet2!H:H,[1]Sheet2!AK:AK)</f>
        <v>Jeffrey Diaz Vega</v>
      </c>
      <c r="L16" s="14" t="s">
        <v>84</v>
      </c>
      <c r="M16" s="14" t="s">
        <v>93</v>
      </c>
      <c r="N16" s="14" t="s">
        <v>86</v>
      </c>
      <c r="O16" s="15">
        <v>1736069</v>
      </c>
      <c r="P16" s="16">
        <v>0.4</v>
      </c>
      <c r="Q16" s="16">
        <v>0.21585777984630816</v>
      </c>
      <c r="R16" s="17">
        <v>0</v>
      </c>
      <c r="S16" s="17">
        <v>0</v>
      </c>
      <c r="T16" s="17">
        <v>0</v>
      </c>
      <c r="U16" s="17">
        <v>0</v>
      </c>
      <c r="V16" s="17">
        <v>0</v>
      </c>
      <c r="W16" s="17">
        <v>0</v>
      </c>
      <c r="X16" s="17">
        <v>0</v>
      </c>
      <c r="Y16" s="17">
        <v>0</v>
      </c>
      <c r="Z16" s="17">
        <v>0</v>
      </c>
      <c r="AA16" s="17">
        <v>453532.89000000013</v>
      </c>
      <c r="AB16" s="17">
        <v>394781.22</v>
      </c>
      <c r="AC16" s="17">
        <v>449385.43205571797</v>
      </c>
      <c r="AD16" s="15">
        <v>1297699.5420557181</v>
      </c>
      <c r="AE16" s="17">
        <v>0</v>
      </c>
      <c r="AF16" s="17">
        <v>0</v>
      </c>
      <c r="AG16" s="17">
        <v>0</v>
      </c>
      <c r="AH16" s="17">
        <v>0</v>
      </c>
      <c r="AI16" s="17">
        <v>0</v>
      </c>
      <c r="AJ16" s="17">
        <v>0</v>
      </c>
      <c r="AK16" s="17">
        <v>0</v>
      </c>
      <c r="AL16" s="17">
        <v>0</v>
      </c>
      <c r="AM16" s="17">
        <v>0</v>
      </c>
      <c r="AN16" s="17">
        <v>348148</v>
      </c>
      <c r="AO16" s="17">
        <v>323785</v>
      </c>
      <c r="AP16" s="17">
        <v>345648</v>
      </c>
      <c r="AQ16" s="15">
        <v>1017581</v>
      </c>
      <c r="AR16" s="16">
        <f>IFERROR((Table3[[#This Row],[FY26]]-Table3[[#This Row],[FY26 ]])/Table3[[#This Row],[FY26]],"")</f>
        <v>0.21585777984630816</v>
      </c>
      <c r="AS16" s="17">
        <v>337673.43881585944</v>
      </c>
      <c r="AT16" s="17">
        <v>100696.01912842266</v>
      </c>
      <c r="AU16" s="17">
        <v>0</v>
      </c>
      <c r="AV16" s="17">
        <v>0</v>
      </c>
      <c r="AW16" s="17">
        <v>0</v>
      </c>
      <c r="AX16" s="17">
        <v>0</v>
      </c>
      <c r="AY16" s="17">
        <v>0</v>
      </c>
      <c r="AZ16" s="17">
        <v>0</v>
      </c>
      <c r="BA16" s="17">
        <v>0</v>
      </c>
      <c r="BB16" s="17">
        <v>0</v>
      </c>
      <c r="BC16" s="17">
        <v>0</v>
      </c>
      <c r="BD16" s="17">
        <v>0</v>
      </c>
      <c r="BE16" s="15">
        <v>438369.4579442821</v>
      </c>
      <c r="BF16" s="17">
        <v>264784</v>
      </c>
      <c r="BG16" s="17">
        <v>78960</v>
      </c>
      <c r="BH16" s="17">
        <v>0</v>
      </c>
      <c r="BI16" s="17">
        <v>0</v>
      </c>
      <c r="BJ16" s="17">
        <v>0</v>
      </c>
      <c r="BK16" s="17">
        <v>0</v>
      </c>
      <c r="BL16" s="17">
        <v>0</v>
      </c>
      <c r="BM16" s="17">
        <v>0</v>
      </c>
      <c r="BN16" s="17">
        <v>0</v>
      </c>
      <c r="BO16" s="17">
        <v>0</v>
      </c>
      <c r="BP16" s="17">
        <v>0</v>
      </c>
      <c r="BQ16" s="14">
        <v>0</v>
      </c>
      <c r="BR16" s="15">
        <v>343744</v>
      </c>
      <c r="BS16" s="18">
        <f>IFERROR((Table3[[#This Row],[FY27]]-Table3[[#This Row],[FY27 ]])/Table3[[#This Row],[FY27]],"")</f>
        <v>0.21585777984630772</v>
      </c>
      <c r="BY16"/>
    </row>
    <row r="17" spans="2:77">
      <c r="B17" s="8" t="b">
        <v>0</v>
      </c>
      <c r="C17" s="21"/>
      <c r="D17" s="23"/>
      <c r="E17" s="21"/>
      <c r="F17" s="23"/>
      <c r="G17" s="14">
        <v>5056648</v>
      </c>
      <c r="H17" s="14" t="s">
        <v>108</v>
      </c>
      <c r="I17" s="14" t="str">
        <f>_xlfn.XLOOKUP(Table3[[#This Row],[Project ID]],[1]Sheet2!H:H,[1]Sheet2!C:C)</f>
        <v>FrMc_Multi-Family Business Architecture</v>
      </c>
      <c r="J17" s="14" t="s">
        <v>109</v>
      </c>
      <c r="K17" s="14" t="str">
        <f>_xlfn.XLOOKUP(Table3[[#This Row],[Project ID]],[1]Sheet2!H:H,[1]Sheet2!AK:AK)</f>
        <v>Rishi Sanghavi</v>
      </c>
      <c r="L17" s="14" t="s">
        <v>84</v>
      </c>
      <c r="M17" s="14" t="s">
        <v>93</v>
      </c>
      <c r="N17" s="14" t="s">
        <v>86</v>
      </c>
      <c r="O17" s="15">
        <v>353280</v>
      </c>
      <c r="P17" s="16">
        <v>0.45</v>
      </c>
      <c r="Q17" s="16">
        <v>0.57358932634919513</v>
      </c>
      <c r="R17" s="17">
        <v>0</v>
      </c>
      <c r="S17" s="17">
        <v>0</v>
      </c>
      <c r="T17" s="17">
        <v>0</v>
      </c>
      <c r="U17" s="17">
        <v>0</v>
      </c>
      <c r="V17" s="17">
        <v>0</v>
      </c>
      <c r="W17" s="17">
        <v>0</v>
      </c>
      <c r="X17" s="17">
        <v>0</v>
      </c>
      <c r="Y17" s="17">
        <v>25273.99</v>
      </c>
      <c r="Z17" s="17">
        <v>31271.010000000002</v>
      </c>
      <c r="AA17" s="17">
        <v>45855</v>
      </c>
      <c r="AB17" s="17">
        <v>50437.45</v>
      </c>
      <c r="AC17" s="17">
        <v>51169.310563380306</v>
      </c>
      <c r="AD17" s="15">
        <v>204006.76056338032</v>
      </c>
      <c r="AE17" s="17">
        <v>0</v>
      </c>
      <c r="AF17" s="17">
        <v>0</v>
      </c>
      <c r="AG17" s="17">
        <v>0</v>
      </c>
      <c r="AH17" s="17">
        <v>0</v>
      </c>
      <c r="AI17" s="17">
        <v>0</v>
      </c>
      <c r="AJ17" s="17">
        <v>0</v>
      </c>
      <c r="AK17" s="17">
        <v>0</v>
      </c>
      <c r="AL17" s="17">
        <v>3000.3085488505749</v>
      </c>
      <c r="AM17" s="17">
        <v>21399.510775862072</v>
      </c>
      <c r="AN17" s="17">
        <v>21217.2341954023</v>
      </c>
      <c r="AO17" s="17">
        <v>20156.372485632186</v>
      </c>
      <c r="AP17" s="17">
        <v>21217.2341954023</v>
      </c>
      <c r="AQ17" s="15">
        <v>86990.66020114944</v>
      </c>
      <c r="AR17" s="16">
        <f>IFERROR((Table3[[#This Row],[FY26]]-Table3[[#This Row],[FY26 ]])/Table3[[#This Row],[FY26]],"")</f>
        <v>0.57358932634919524</v>
      </c>
      <c r="AS17" s="17">
        <v>49757.746478873247</v>
      </c>
      <c r="AT17" s="17">
        <v>49757.746478873232</v>
      </c>
      <c r="AU17" s="17">
        <v>49757.746478873218</v>
      </c>
      <c r="AV17" s="17">
        <v>0</v>
      </c>
      <c r="AW17" s="17">
        <v>0</v>
      </c>
      <c r="AX17" s="17">
        <v>0</v>
      </c>
      <c r="AY17" s="17">
        <v>0</v>
      </c>
      <c r="AZ17" s="17">
        <v>0</v>
      </c>
      <c r="BA17" s="17">
        <v>0</v>
      </c>
      <c r="BB17" s="17">
        <v>0</v>
      </c>
      <c r="BC17" s="17">
        <v>0</v>
      </c>
      <c r="BD17" s="17">
        <v>0</v>
      </c>
      <c r="BE17" s="15">
        <v>149273.23943661968</v>
      </c>
      <c r="BF17" s="17">
        <v>21217.2341954023</v>
      </c>
      <c r="BG17" s="17">
        <v>21217.2341954023</v>
      </c>
      <c r="BH17" s="17">
        <v>21217.2341954023</v>
      </c>
      <c r="BI17" s="17">
        <v>0</v>
      </c>
      <c r="BJ17" s="17">
        <v>0</v>
      </c>
      <c r="BK17" s="17">
        <v>0</v>
      </c>
      <c r="BL17" s="17">
        <v>0</v>
      </c>
      <c r="BM17" s="17">
        <v>0</v>
      </c>
      <c r="BN17" s="17">
        <v>0</v>
      </c>
      <c r="BO17" s="17">
        <v>0</v>
      </c>
      <c r="BP17" s="17">
        <v>0</v>
      </c>
      <c r="BQ17" s="14">
        <v>0</v>
      </c>
      <c r="BR17" s="15">
        <v>63651.702586206899</v>
      </c>
      <c r="BS17" s="18">
        <f>IFERROR((Table3[[#This Row],[FY27]]-Table3[[#This Row],[FY27 ]])/Table3[[#This Row],[FY27]],"")</f>
        <v>0.57358932634919513</v>
      </c>
      <c r="BY17"/>
    </row>
    <row r="18" spans="2:77" ht="48">
      <c r="B18" s="8" t="b">
        <v>1</v>
      </c>
      <c r="C18" s="21" t="s">
        <v>110</v>
      </c>
      <c r="D18" s="23" t="s">
        <v>111</v>
      </c>
      <c r="E18" s="21" t="s">
        <v>112</v>
      </c>
      <c r="F18" s="23" t="s">
        <v>113</v>
      </c>
      <c r="G18" s="14">
        <v>5057589</v>
      </c>
      <c r="H18" s="14" t="s">
        <v>114</v>
      </c>
      <c r="I18" s="14" t="str">
        <f>_xlfn.XLOOKUP(Table3[[#This Row],[Project ID]],[1]Sheet2!H:H,[1]Sheet2!C:C)</f>
        <v>GLIC Annuity ALIP Implementation- 1 POs</v>
      </c>
      <c r="J18" s="14" t="s">
        <v>115</v>
      </c>
      <c r="K18" s="14" t="str">
        <f>_xlfn.XLOOKUP(Table3[[#This Row],[Project ID]],[1]Sheet2!H:H,[1]Sheet2!AK:AK)</f>
        <v>Michelle Rosen</v>
      </c>
      <c r="L18" s="14" t="s">
        <v>116</v>
      </c>
      <c r="M18" s="14" t="s">
        <v>90</v>
      </c>
      <c r="N18" s="14" t="s">
        <v>86</v>
      </c>
      <c r="O18" s="15">
        <v>281475</v>
      </c>
      <c r="P18" s="16">
        <v>0.49</v>
      </c>
      <c r="Q18" s="16">
        <v>0.49813861483333055</v>
      </c>
      <c r="R18" s="17">
        <v>0</v>
      </c>
      <c r="S18" s="17">
        <v>0</v>
      </c>
      <c r="T18" s="17">
        <v>0</v>
      </c>
      <c r="U18" s="17">
        <v>0</v>
      </c>
      <c r="V18" s="17">
        <v>0</v>
      </c>
      <c r="W18" s="17">
        <v>0</v>
      </c>
      <c r="X18" s="17">
        <v>0</v>
      </c>
      <c r="Y18" s="17">
        <v>0</v>
      </c>
      <c r="Z18" s="17">
        <v>0</v>
      </c>
      <c r="AA18" s="17">
        <v>0</v>
      </c>
      <c r="AB18" s="17">
        <v>22925.57</v>
      </c>
      <c r="AC18" s="17">
        <v>27790.401171171179</v>
      </c>
      <c r="AD18" s="15">
        <v>50715.971171171179</v>
      </c>
      <c r="AE18" s="17">
        <v>0</v>
      </c>
      <c r="AF18" s="17">
        <v>0</v>
      </c>
      <c r="AG18" s="17">
        <v>0</v>
      </c>
      <c r="AH18" s="17">
        <v>0</v>
      </c>
      <c r="AI18" s="17">
        <v>0</v>
      </c>
      <c r="AJ18" s="17">
        <v>0</v>
      </c>
      <c r="AK18" s="17">
        <v>0</v>
      </c>
      <c r="AL18" s="17">
        <v>0</v>
      </c>
      <c r="AM18" s="17">
        <v>0</v>
      </c>
      <c r="AN18" s="17">
        <v>0</v>
      </c>
      <c r="AO18" s="17">
        <v>12089.884082467499</v>
      </c>
      <c r="AP18" s="17">
        <v>13362.503459569341</v>
      </c>
      <c r="AQ18" s="15">
        <v>25452.387542036842</v>
      </c>
      <c r="AR18" s="16">
        <f>IFERROR((Table3[[#This Row],[FY26]]-Table3[[#This Row],[FY26 ]])/Table3[[#This Row],[FY26]],"")</f>
        <v>0.49813861483333055</v>
      </c>
      <c r="AS18" s="17">
        <v>26625.884864864849</v>
      </c>
      <c r="AT18" s="17">
        <v>24090.08630630633</v>
      </c>
      <c r="AU18" s="17">
        <v>26625.884864864842</v>
      </c>
      <c r="AV18" s="17">
        <v>26625.884864864856</v>
      </c>
      <c r="AW18" s="17">
        <v>25357.985585585615</v>
      </c>
      <c r="AX18" s="17">
        <v>25357.985585585557</v>
      </c>
      <c r="AY18" s="17">
        <v>26625.884864864871</v>
      </c>
      <c r="AZ18" s="17">
        <v>22822.187027027045</v>
      </c>
      <c r="BA18" s="17">
        <v>26625.884864864871</v>
      </c>
      <c r="BB18" s="17">
        <v>0</v>
      </c>
      <c r="BC18" s="17">
        <v>0</v>
      </c>
      <c r="BD18" s="17">
        <v>0</v>
      </c>
      <c r="BE18" s="15">
        <v>230757.66882882881</v>
      </c>
      <c r="BF18" s="17">
        <v>13362.503459569341</v>
      </c>
      <c r="BG18" s="17">
        <v>12089.884082467499</v>
      </c>
      <c r="BH18" s="17">
        <v>13362.503459569341</v>
      </c>
      <c r="BI18" s="17">
        <v>13362.503459569341</v>
      </c>
      <c r="BJ18" s="17">
        <v>12726.193771018421</v>
      </c>
      <c r="BK18" s="17">
        <v>12726.193771018421</v>
      </c>
      <c r="BL18" s="17">
        <v>13362.503459569341</v>
      </c>
      <c r="BM18" s="17">
        <v>11453.574393916579</v>
      </c>
      <c r="BN18" s="17">
        <v>13362.503459569341</v>
      </c>
      <c r="BO18" s="17">
        <v>0</v>
      </c>
      <c r="BP18" s="17">
        <v>0</v>
      </c>
      <c r="BQ18" s="14">
        <v>0</v>
      </c>
      <c r="BR18" s="15">
        <v>115808.36331626764</v>
      </c>
      <c r="BS18" s="18">
        <f>IFERROR((Table3[[#This Row],[FY27]]-Table3[[#This Row],[FY27 ]])/Table3[[#This Row],[FY27]],"")</f>
        <v>0.49813861483333044</v>
      </c>
      <c r="BU18">
        <f>900/4</f>
        <v>225</v>
      </c>
      <c r="BY18"/>
    </row>
    <row r="19" spans="2:77" ht="48">
      <c r="B19" s="8" t="b">
        <v>1</v>
      </c>
      <c r="C19" s="21" t="s">
        <v>110</v>
      </c>
      <c r="D19" s="23" t="s">
        <v>117</v>
      </c>
      <c r="E19" s="21" t="s">
        <v>112</v>
      </c>
      <c r="F19" s="23" t="s">
        <v>113</v>
      </c>
      <c r="G19" s="14">
        <v>5056248</v>
      </c>
      <c r="H19" s="14" t="s">
        <v>114</v>
      </c>
      <c r="I19" s="14" t="str">
        <f>_xlfn.XLOOKUP(Table3[[#This Row],[Project ID]],[1]Sheet2!H:H,[1]Sheet2!C:C)</f>
        <v>GLIC IM Marketing RFP Support</v>
      </c>
      <c r="J19" s="14" t="s">
        <v>115</v>
      </c>
      <c r="K19" s="14" t="str">
        <f>_xlfn.XLOOKUP(Table3[[#This Row],[Project ID]],[1]Sheet2!H:H,[1]Sheet2!AK:AK)</f>
        <v>Michelle Rosen</v>
      </c>
      <c r="L19" s="14" t="s">
        <v>116</v>
      </c>
      <c r="M19" s="14" t="s">
        <v>104</v>
      </c>
      <c r="N19" s="14" t="s">
        <v>86</v>
      </c>
      <c r="O19" s="15">
        <v>133620</v>
      </c>
      <c r="P19" s="16">
        <v>0.53</v>
      </c>
      <c r="Q19" s="16">
        <v>0.50864940868751485</v>
      </c>
      <c r="R19" s="17">
        <v>0</v>
      </c>
      <c r="S19" s="17">
        <v>0</v>
      </c>
      <c r="T19" s="17">
        <v>0</v>
      </c>
      <c r="U19" s="17">
        <v>0</v>
      </c>
      <c r="V19" s="17">
        <v>0</v>
      </c>
      <c r="W19" s="17">
        <v>2380</v>
      </c>
      <c r="X19" s="17">
        <v>7307.45</v>
      </c>
      <c r="Y19" s="17">
        <v>5725.22</v>
      </c>
      <c r="Z19" s="17">
        <v>3489.33</v>
      </c>
      <c r="AA19" s="17">
        <v>18250.88</v>
      </c>
      <c r="AB19" s="17">
        <v>36647.300000000003</v>
      </c>
      <c r="AC19" s="17">
        <v>18335.642794569882</v>
      </c>
      <c r="AD19" s="15">
        <v>92135.822794569889</v>
      </c>
      <c r="AE19" s="17">
        <v>0</v>
      </c>
      <c r="AF19" s="17">
        <v>0</v>
      </c>
      <c r="AG19" s="17">
        <v>0</v>
      </c>
      <c r="AH19" s="17">
        <v>0</v>
      </c>
      <c r="AI19" s="17">
        <v>0</v>
      </c>
      <c r="AJ19" s="17">
        <v>1113.5419549641117</v>
      </c>
      <c r="AK19" s="17">
        <v>3658.780709167796</v>
      </c>
      <c r="AL19" s="17">
        <v>2863.3935984791447</v>
      </c>
      <c r="AM19" s="17">
        <v>2058.9166666666665</v>
      </c>
      <c r="AN19" s="17">
        <v>11529.933333333332</v>
      </c>
      <c r="AO19" s="17">
        <v>10457.57474856322</v>
      </c>
      <c r="AP19" s="17">
        <v>13588.849999999999</v>
      </c>
      <c r="AQ19" s="15">
        <v>45270.991011174265</v>
      </c>
      <c r="AR19" s="16">
        <f>IFERROR((Table3[[#This Row],[FY26]]-Table3[[#This Row],[FY26 ]])/Table3[[#This Row],[FY26]],"")</f>
        <v>0.50864940868751485</v>
      </c>
      <c r="AS19" s="17">
        <v>27656.118136953388</v>
      </c>
      <c r="AT19" s="17">
        <v>13828.059068476708</v>
      </c>
      <c r="AU19" s="17">
        <v>0</v>
      </c>
      <c r="AV19" s="17">
        <v>0</v>
      </c>
      <c r="AW19" s="17">
        <v>0</v>
      </c>
      <c r="AX19" s="17">
        <v>0</v>
      </c>
      <c r="AY19" s="17">
        <v>0</v>
      </c>
      <c r="AZ19" s="17">
        <v>0</v>
      </c>
      <c r="BA19" s="17">
        <v>0</v>
      </c>
      <c r="BB19" s="17">
        <v>0</v>
      </c>
      <c r="BC19" s="17">
        <v>0</v>
      </c>
      <c r="BD19" s="17">
        <v>0</v>
      </c>
      <c r="BE19" s="15">
        <v>41484.177205430096</v>
      </c>
      <c r="BF19" s="17">
        <v>13588.849999999999</v>
      </c>
      <c r="BG19" s="17">
        <v>6794.4249999999993</v>
      </c>
      <c r="BH19" s="17">
        <v>0</v>
      </c>
      <c r="BI19" s="17">
        <v>0</v>
      </c>
      <c r="BJ19" s="17">
        <v>0</v>
      </c>
      <c r="BK19" s="17">
        <v>0</v>
      </c>
      <c r="BL19" s="17">
        <v>0</v>
      </c>
      <c r="BM19" s="17">
        <v>0</v>
      </c>
      <c r="BN19" s="17">
        <v>0</v>
      </c>
      <c r="BO19" s="17">
        <v>0</v>
      </c>
      <c r="BP19" s="17">
        <v>0</v>
      </c>
      <c r="BQ19" s="14">
        <v>0</v>
      </c>
      <c r="BR19" s="15">
        <v>20383.274999999998</v>
      </c>
      <c r="BS19" s="18">
        <f>IFERROR((Table3[[#This Row],[FY27]]-Table3[[#This Row],[FY27 ]])/Table3[[#This Row],[FY27]],"")</f>
        <v>0.50864940868751485</v>
      </c>
      <c r="BU19">
        <f>BU18*6</f>
        <v>1350</v>
      </c>
      <c r="BY19"/>
    </row>
    <row r="20" spans="2:77">
      <c r="B20" s="8" t="b">
        <v>1</v>
      </c>
      <c r="C20" s="21"/>
      <c r="D20" s="23"/>
      <c r="E20" s="21"/>
      <c r="F20" s="23"/>
      <c r="G20" s="14">
        <v>5057076</v>
      </c>
      <c r="H20" s="14" t="s">
        <v>118</v>
      </c>
      <c r="I20" s="14" t="str">
        <f>_xlfn.XLOOKUP(Table3[[#This Row],[Project ID]],[1]Sheet2!H:H,[1]Sheet2!C:C)</f>
        <v>HSBC-WSB-GPS - Commercial Card Portfolio 2026 Strategic Initiatives</v>
      </c>
      <c r="J20" s="14" t="s">
        <v>119</v>
      </c>
      <c r="K20" s="14" t="str">
        <f>_xlfn.XLOOKUP(Table3[[#This Row],[Project ID]],[1]Sheet2!H:H,[1]Sheet2!AK:AK)</f>
        <v>James Kane</v>
      </c>
      <c r="L20" s="14" t="s">
        <v>84</v>
      </c>
      <c r="M20" s="14" t="s">
        <v>85</v>
      </c>
      <c r="N20" s="14" t="s">
        <v>86</v>
      </c>
      <c r="O20" s="15">
        <v>315000</v>
      </c>
      <c r="P20" s="16">
        <v>0.5</v>
      </c>
      <c r="Q20" s="16">
        <v>0.50440867006476919</v>
      </c>
      <c r="R20" s="17">
        <v>0</v>
      </c>
      <c r="S20" s="17">
        <v>0</v>
      </c>
      <c r="T20" s="17">
        <v>0</v>
      </c>
      <c r="U20" s="17">
        <v>0</v>
      </c>
      <c r="V20" s="17">
        <v>0</v>
      </c>
      <c r="W20" s="17">
        <v>0</v>
      </c>
      <c r="X20" s="17">
        <v>0</v>
      </c>
      <c r="Y20" s="17">
        <v>0</v>
      </c>
      <c r="Z20" s="17">
        <v>0</v>
      </c>
      <c r="AA20" s="17">
        <v>49906.710000000006</v>
      </c>
      <c r="AB20" s="17">
        <v>45940.49</v>
      </c>
      <c r="AC20" s="17">
        <v>54097.512887604273</v>
      </c>
      <c r="AD20" s="15">
        <v>149944.71288760428</v>
      </c>
      <c r="AE20" s="17">
        <v>0</v>
      </c>
      <c r="AF20" s="17">
        <v>0</v>
      </c>
      <c r="AG20" s="17">
        <v>0</v>
      </c>
      <c r="AH20" s="17">
        <v>0</v>
      </c>
      <c r="AI20" s="17">
        <v>0</v>
      </c>
      <c r="AJ20" s="17">
        <v>0</v>
      </c>
      <c r="AK20" s="17">
        <v>0</v>
      </c>
      <c r="AL20" s="17">
        <v>0</v>
      </c>
      <c r="AM20" s="17">
        <v>0</v>
      </c>
      <c r="AN20" s="17">
        <v>25926.136673850575</v>
      </c>
      <c r="AO20" s="17">
        <v>23478.632399425289</v>
      </c>
      <c r="AP20" s="17">
        <v>24906.530603448278</v>
      </c>
      <c r="AQ20" s="15">
        <v>74311.299676724142</v>
      </c>
      <c r="AR20" s="16">
        <f>IFERROR((Table3[[#This Row],[FY26]]-Table3[[#This Row],[FY26 ]])/Table3[[#This Row],[FY26]],"")</f>
        <v>0.50440867006476919</v>
      </c>
      <c r="AS20" s="17">
        <v>54169.586554383932</v>
      </c>
      <c r="AT20" s="17">
        <v>52802.714551434197</v>
      </c>
      <c r="AU20" s="17">
        <v>58082.986006577587</v>
      </c>
      <c r="AV20" s="17">
        <v>0</v>
      </c>
      <c r="AW20" s="17">
        <v>0</v>
      </c>
      <c r="AX20" s="17">
        <v>0</v>
      </c>
      <c r="AY20" s="17">
        <v>0</v>
      </c>
      <c r="AZ20" s="17">
        <v>0</v>
      </c>
      <c r="BA20" s="17">
        <v>0</v>
      </c>
      <c r="BB20" s="17">
        <v>0</v>
      </c>
      <c r="BC20" s="17">
        <v>0</v>
      </c>
      <c r="BD20" s="17">
        <v>0</v>
      </c>
      <c r="BE20" s="15">
        <v>165055.28711239572</v>
      </c>
      <c r="BF20" s="17">
        <v>26845.97744252874</v>
      </c>
      <c r="BG20" s="17">
        <v>26168.567528735632</v>
      </c>
      <c r="BH20" s="17">
        <v>28785.424281609197</v>
      </c>
      <c r="BI20" s="17">
        <v>0</v>
      </c>
      <c r="BJ20" s="17">
        <v>0</v>
      </c>
      <c r="BK20" s="17">
        <v>0</v>
      </c>
      <c r="BL20" s="17">
        <v>0</v>
      </c>
      <c r="BM20" s="17">
        <v>0</v>
      </c>
      <c r="BN20" s="17">
        <v>0</v>
      </c>
      <c r="BO20" s="17">
        <v>0</v>
      </c>
      <c r="BP20" s="17">
        <v>0</v>
      </c>
      <c r="BQ20" s="14">
        <v>0</v>
      </c>
      <c r="BR20" s="15">
        <v>81799.969252873576</v>
      </c>
      <c r="BS20" s="18">
        <f>IFERROR((Table3[[#This Row],[FY27]]-Table3[[#This Row],[FY27 ]])/Table3[[#This Row],[FY27]],"")</f>
        <v>0.50440867006476908</v>
      </c>
      <c r="BU20">
        <f>1.35/4*6</f>
        <v>2.0250000000000004</v>
      </c>
      <c r="BY20"/>
    </row>
    <row r="21" spans="2:77">
      <c r="B21" s="8" t="b">
        <v>1</v>
      </c>
      <c r="C21" s="21"/>
      <c r="D21" s="23"/>
      <c r="E21" s="21"/>
      <c r="F21" s="23"/>
      <c r="G21" s="14">
        <v>5056627</v>
      </c>
      <c r="H21" s="14" t="s">
        <v>120</v>
      </c>
      <c r="I21" s="14" t="str">
        <f>_xlfn.XLOOKUP(Table3[[#This Row],[Project ID]],[1]Sheet2!H:H,[1]Sheet2!C:C)</f>
        <v>HNB_B/D-RIA Outsourcing Technology Support</v>
      </c>
      <c r="J21" s="14" t="s">
        <v>121</v>
      </c>
      <c r="K21" s="14" t="str">
        <f>_xlfn.XLOOKUP(Table3[[#This Row],[Project ID]],[1]Sheet2!H:H,[1]Sheet2!AK:AK)</f>
        <v>Luke Penca</v>
      </c>
      <c r="L21" s="14" t="s">
        <v>122</v>
      </c>
      <c r="M21" s="14" t="s">
        <v>104</v>
      </c>
      <c r="N21" s="14" t="s">
        <v>86</v>
      </c>
      <c r="O21" s="15">
        <v>3985775</v>
      </c>
      <c r="P21" s="16">
        <v>0.48582069986389093</v>
      </c>
      <c r="Q21" s="16">
        <v>0.38366931895804207</v>
      </c>
      <c r="R21" s="17">
        <v>0</v>
      </c>
      <c r="S21" s="17">
        <v>0</v>
      </c>
      <c r="T21" s="17">
        <v>0</v>
      </c>
      <c r="U21" s="17">
        <v>0</v>
      </c>
      <c r="V21" s="17">
        <v>0</v>
      </c>
      <c r="W21" s="17">
        <v>0</v>
      </c>
      <c r="X21" s="17">
        <v>0</v>
      </c>
      <c r="Y21" s="17">
        <v>100909.14000000001</v>
      </c>
      <c r="Z21" s="17">
        <v>230751.86000000002</v>
      </c>
      <c r="AA21" s="17">
        <v>224591.33999999994</v>
      </c>
      <c r="AB21" s="17">
        <v>397876.23000000004</v>
      </c>
      <c r="AC21" s="17">
        <v>412131.38786950056</v>
      </c>
      <c r="AD21" s="15">
        <v>1366259.9578695006</v>
      </c>
      <c r="AE21" s="17">
        <v>0</v>
      </c>
      <c r="AF21" s="17">
        <v>0</v>
      </c>
      <c r="AG21" s="17">
        <v>0</v>
      </c>
      <c r="AH21" s="17">
        <v>0</v>
      </c>
      <c r="AI21" s="17">
        <v>0</v>
      </c>
      <c r="AJ21" s="17">
        <v>0</v>
      </c>
      <c r="AK21" s="17">
        <v>0</v>
      </c>
      <c r="AL21" s="17">
        <v>38910.297251349322</v>
      </c>
      <c r="AM21" s="17">
        <v>101437.71392373313</v>
      </c>
      <c r="AN21" s="17">
        <v>190401.9938399581</v>
      </c>
      <c r="AO21" s="17">
        <v>240530.81732701225</v>
      </c>
      <c r="AP21" s="17">
        <v>270787.10797201307</v>
      </c>
      <c r="AQ21" s="15">
        <v>842067.93031406589</v>
      </c>
      <c r="AR21" s="16">
        <f>IFERROR((Table3[[#This Row],[FY26]]-Table3[[#This Row],[FY26 ]])/Table3[[#This Row],[FY26]],"")</f>
        <v>0.38366931895804218</v>
      </c>
      <c r="AS21" s="17">
        <v>438803.18519386335</v>
      </c>
      <c r="AT21" s="17">
        <v>417079.38336245151</v>
      </c>
      <c r="AU21" s="17">
        <v>438803.18519386335</v>
      </c>
      <c r="AV21" s="17">
        <v>438803.18519386335</v>
      </c>
      <c r="AW21" s="17">
        <v>247220.39483698868</v>
      </c>
      <c r="AX21" s="17">
        <v>234208.79510872619</v>
      </c>
      <c r="AY21" s="17">
        <v>167491.71802232019</v>
      </c>
      <c r="AZ21" s="17">
        <v>121939.81468376084</v>
      </c>
      <c r="BA21" s="17">
        <v>115165.38053466289</v>
      </c>
      <c r="BB21" s="17">
        <v>0</v>
      </c>
      <c r="BC21" s="17">
        <v>0</v>
      </c>
      <c r="BD21" s="17">
        <v>0</v>
      </c>
      <c r="BE21" s="15">
        <v>2619515.0421305005</v>
      </c>
      <c r="BF21" s="17">
        <v>270447.8659739141</v>
      </c>
      <c r="BG21" s="17">
        <v>257058.8203963397</v>
      </c>
      <c r="BH21" s="17">
        <v>270447.8659739141</v>
      </c>
      <c r="BI21" s="17">
        <v>270447.8659739141</v>
      </c>
      <c r="BJ21" s="17">
        <v>152369.51431734295</v>
      </c>
      <c r="BK21" s="17">
        <v>144350.06619537753</v>
      </c>
      <c r="BL21" s="17">
        <v>103230.28463758421</v>
      </c>
      <c r="BM21" s="17">
        <v>75155.249030172417</v>
      </c>
      <c r="BN21" s="17">
        <v>70979.957417385056</v>
      </c>
      <c r="BO21" s="17">
        <v>0</v>
      </c>
      <c r="BP21" s="17">
        <v>0</v>
      </c>
      <c r="BQ21" s="14">
        <v>0</v>
      </c>
      <c r="BR21" s="15">
        <v>1614487.4899159439</v>
      </c>
      <c r="BS21" s="18">
        <f>IFERROR((Table3[[#This Row],[FY27]]-Table3[[#This Row],[FY27 ]])/Table3[[#This Row],[FY27]],"")</f>
        <v>0.38366931895804229</v>
      </c>
      <c r="BU21">
        <f>450/4*6</f>
        <v>675</v>
      </c>
      <c r="BY21"/>
    </row>
    <row r="22" spans="2:77">
      <c r="B22" s="8" t="b">
        <v>0</v>
      </c>
      <c r="C22" s="21"/>
      <c r="D22" s="23"/>
      <c r="E22" s="21"/>
      <c r="F22" s="23"/>
      <c r="G22" s="14">
        <v>5055432</v>
      </c>
      <c r="H22" s="14" t="s">
        <v>120</v>
      </c>
      <c r="I22" s="14" t="str">
        <f>_xlfn.XLOOKUP(Table3[[#This Row],[Project ID]],[1]Sheet2!H:H,[1]Sheet2!C:C)</f>
        <v>HNB Business Deposits Growth Strategy Support</v>
      </c>
      <c r="J22" s="14" t="s">
        <v>121</v>
      </c>
      <c r="K22" s="14" t="str">
        <f>_xlfn.XLOOKUP(Table3[[#This Row],[Project ID]],[1]Sheet2!H:H,[1]Sheet2!AK:AK)</f>
        <v>James Kane</v>
      </c>
      <c r="L22" s="14" t="s">
        <v>84</v>
      </c>
      <c r="M22" s="14" t="s">
        <v>89</v>
      </c>
      <c r="N22" s="14" t="s">
        <v>86</v>
      </c>
      <c r="O22" s="15">
        <v>1145990</v>
      </c>
      <c r="P22" s="16">
        <v>0.48601253065035471</v>
      </c>
      <c r="Q22" s="16">
        <v>0.503419798582881</v>
      </c>
      <c r="R22" s="17">
        <v>0</v>
      </c>
      <c r="S22" s="17">
        <v>0</v>
      </c>
      <c r="T22" s="17">
        <v>140800.03000000003</v>
      </c>
      <c r="U22" s="17">
        <v>109978.19999999998</v>
      </c>
      <c r="V22" s="17">
        <v>139315.81</v>
      </c>
      <c r="W22" s="17">
        <v>189174.01</v>
      </c>
      <c r="X22" s="17">
        <v>108187.37</v>
      </c>
      <c r="Y22" s="17">
        <v>98534.579999999987</v>
      </c>
      <c r="Z22" s="17">
        <v>178045.00000000003</v>
      </c>
      <c r="AA22" s="17">
        <v>48044.740000000005</v>
      </c>
      <c r="AB22" s="17">
        <v>47775.02</v>
      </c>
      <c r="AC22" s="17">
        <v>43237.322388085202</v>
      </c>
      <c r="AD22" s="15">
        <v>1103092.0823880853</v>
      </c>
      <c r="AE22" s="17">
        <v>0</v>
      </c>
      <c r="AF22" s="17">
        <v>0</v>
      </c>
      <c r="AG22" s="17">
        <v>79789.435918875082</v>
      </c>
      <c r="AH22" s="17">
        <v>90149.180725152342</v>
      </c>
      <c r="AI22" s="17">
        <v>75002.110910138741</v>
      </c>
      <c r="AJ22" s="17">
        <v>84743.721506385104</v>
      </c>
      <c r="AK22" s="17">
        <v>78928.094947546895</v>
      </c>
      <c r="AL22" s="17">
        <v>44384.973571482791</v>
      </c>
      <c r="AM22" s="17">
        <v>20220.614650165946</v>
      </c>
      <c r="AN22" s="17">
        <v>27716.547478386048</v>
      </c>
      <c r="AO22" s="17">
        <v>25536.752177671944</v>
      </c>
      <c r="AP22" s="17">
        <v>21302.256568099685</v>
      </c>
      <c r="AQ22" s="15">
        <v>547773.68845390459</v>
      </c>
      <c r="AR22" s="16">
        <f>IFERROR((Table3[[#This Row],[FY26]]-Table3[[#This Row],[FY26 ]])/Table3[[#This Row],[FY26]],"")</f>
        <v>0.503419798582881</v>
      </c>
      <c r="AS22" s="17">
        <v>42897.917611914891</v>
      </c>
      <c r="AT22" s="17">
        <v>0</v>
      </c>
      <c r="AU22" s="17">
        <v>0</v>
      </c>
      <c r="AV22" s="17">
        <v>0</v>
      </c>
      <c r="AW22" s="17">
        <v>0</v>
      </c>
      <c r="AX22" s="17">
        <v>0</v>
      </c>
      <c r="AY22" s="17">
        <v>0</v>
      </c>
      <c r="AZ22" s="17">
        <v>0</v>
      </c>
      <c r="BA22" s="17">
        <v>0</v>
      </c>
      <c r="BB22" s="17">
        <v>0</v>
      </c>
      <c r="BC22" s="17">
        <v>0</v>
      </c>
      <c r="BD22" s="17">
        <v>0</v>
      </c>
      <c r="BE22" s="15">
        <v>42897.917611914891</v>
      </c>
      <c r="BF22" s="17">
        <v>21302.256568099685</v>
      </c>
      <c r="BG22" s="17">
        <v>0</v>
      </c>
      <c r="BH22" s="17">
        <v>0</v>
      </c>
      <c r="BI22" s="17">
        <v>0</v>
      </c>
      <c r="BJ22" s="17">
        <v>0</v>
      </c>
      <c r="BK22" s="17">
        <v>0</v>
      </c>
      <c r="BL22" s="17">
        <v>0</v>
      </c>
      <c r="BM22" s="17">
        <v>0</v>
      </c>
      <c r="BN22" s="17">
        <v>0</v>
      </c>
      <c r="BO22" s="17">
        <v>0</v>
      </c>
      <c r="BP22" s="17">
        <v>0</v>
      </c>
      <c r="BQ22" s="14">
        <v>0</v>
      </c>
      <c r="BR22" s="15">
        <v>21302.256568099685</v>
      </c>
      <c r="BS22" s="18">
        <f>IFERROR((Table3[[#This Row],[FY27]]-Table3[[#This Row],[FY27 ]])/Table3[[#This Row],[FY27]],"")</f>
        <v>0.50341979858288077</v>
      </c>
      <c r="BY22"/>
    </row>
    <row r="23" spans="2:77">
      <c r="B23" s="8" t="b">
        <v>0</v>
      </c>
      <c r="C23" s="21"/>
      <c r="D23" s="23"/>
      <c r="E23" s="21"/>
      <c r="F23" s="23"/>
      <c r="G23" s="14">
        <v>5057570</v>
      </c>
      <c r="H23" s="14" t="s">
        <v>123</v>
      </c>
      <c r="I23" s="14" t="str">
        <f>_xlfn.XLOOKUP(Table3[[#This Row],[Project ID]],[1]Sheet2!H:H,[1]Sheet2!C:C)</f>
        <v>ICBA- TCM Bank Card Conversion</v>
      </c>
      <c r="J23" s="14" t="s">
        <v>124</v>
      </c>
      <c r="K23" s="14" t="str">
        <f>_xlfn.XLOOKUP(Table3[[#This Row],[Project ID]],[1]Sheet2!H:H,[1]Sheet2!AK:AK)</f>
        <v>Ian Guidash</v>
      </c>
      <c r="L23" s="14" t="s">
        <v>84</v>
      </c>
      <c r="M23" s="14" t="s">
        <v>90</v>
      </c>
      <c r="N23" s="14" t="s">
        <v>86</v>
      </c>
      <c r="O23" s="15">
        <v>315000</v>
      </c>
      <c r="P23" s="16">
        <v>0.57999999999999996</v>
      </c>
      <c r="Q23" s="16">
        <v>0.5605807667578856</v>
      </c>
      <c r="R23" s="17">
        <v>0</v>
      </c>
      <c r="S23" s="17">
        <v>0</v>
      </c>
      <c r="T23" s="17">
        <v>0</v>
      </c>
      <c r="U23" s="17">
        <v>0</v>
      </c>
      <c r="V23" s="17">
        <v>0</v>
      </c>
      <c r="W23" s="17">
        <v>0</v>
      </c>
      <c r="X23" s="17">
        <v>0</v>
      </c>
      <c r="Y23" s="17">
        <v>0</v>
      </c>
      <c r="Z23" s="17">
        <v>0</v>
      </c>
      <c r="AA23" s="17">
        <v>0</v>
      </c>
      <c r="AB23" s="17">
        <v>84370.62999999999</v>
      </c>
      <c r="AC23" s="17">
        <v>120744.52098962646</v>
      </c>
      <c r="AD23" s="15">
        <v>205115.15098962645</v>
      </c>
      <c r="AE23" s="17">
        <v>0</v>
      </c>
      <c r="AF23" s="17">
        <v>0</v>
      </c>
      <c r="AG23" s="17">
        <v>0</v>
      </c>
      <c r="AH23" s="17">
        <v>0</v>
      </c>
      <c r="AI23" s="17">
        <v>0</v>
      </c>
      <c r="AJ23" s="17">
        <v>0</v>
      </c>
      <c r="AK23" s="17">
        <v>0</v>
      </c>
      <c r="AL23" s="17">
        <v>0</v>
      </c>
      <c r="AM23" s="17">
        <v>0</v>
      </c>
      <c r="AN23" s="17">
        <v>0</v>
      </c>
      <c r="AO23" s="17">
        <v>36123.774989460457</v>
      </c>
      <c r="AP23" s="17">
        <v>54007.767384741717</v>
      </c>
      <c r="AQ23" s="15">
        <v>90131.542374202167</v>
      </c>
      <c r="AR23" s="16">
        <f>IFERROR((Table3[[#This Row],[FY26]]-Table3[[#This Row],[FY26 ]])/Table3[[#This Row],[FY26]],"")</f>
        <v>0.5605807667578856</v>
      </c>
      <c r="AS23" s="17">
        <v>72400.524048525942</v>
      </c>
      <c r="AT23" s="17">
        <v>37484.324961847655</v>
      </c>
      <c r="AU23" s="17">
        <v>0</v>
      </c>
      <c r="AV23" s="17">
        <v>0</v>
      </c>
      <c r="AW23" s="17">
        <v>0</v>
      </c>
      <c r="AX23" s="17">
        <v>0</v>
      </c>
      <c r="AY23" s="17">
        <v>0</v>
      </c>
      <c r="AZ23" s="17">
        <v>0</v>
      </c>
      <c r="BA23" s="17">
        <v>0</v>
      </c>
      <c r="BB23" s="17">
        <v>0</v>
      </c>
      <c r="BC23" s="17">
        <v>0</v>
      </c>
      <c r="BD23" s="17">
        <v>0</v>
      </c>
      <c r="BE23" s="15">
        <v>109884.8490103736</v>
      </c>
      <c r="BF23" s="17">
        <v>31814.182763730521</v>
      </c>
      <c r="BG23" s="17">
        <v>16471.333333333332</v>
      </c>
      <c r="BH23" s="17">
        <v>0</v>
      </c>
      <c r="BI23" s="17">
        <v>0</v>
      </c>
      <c r="BJ23" s="17">
        <v>0</v>
      </c>
      <c r="BK23" s="17">
        <v>0</v>
      </c>
      <c r="BL23" s="17">
        <v>0</v>
      </c>
      <c r="BM23" s="17">
        <v>0</v>
      </c>
      <c r="BN23" s="17">
        <v>0</v>
      </c>
      <c r="BO23" s="17">
        <v>0</v>
      </c>
      <c r="BP23" s="17">
        <v>0</v>
      </c>
      <c r="BQ23" s="14">
        <v>0</v>
      </c>
      <c r="BR23" s="15">
        <v>48285.516097063854</v>
      </c>
      <c r="BS23" s="18">
        <f>IFERROR((Table3[[#This Row],[FY27]]-Table3[[#This Row],[FY27 ]])/Table3[[#This Row],[FY27]],"")</f>
        <v>0.56058076675788582</v>
      </c>
      <c r="BY23"/>
    </row>
    <row r="24" spans="2:77" ht="15.95">
      <c r="B24" s="8" t="b">
        <v>1</v>
      </c>
      <c r="C24" s="33" t="s">
        <v>110</v>
      </c>
      <c r="D24" s="14" t="s">
        <v>125</v>
      </c>
      <c r="E24" s="21" t="s">
        <v>112</v>
      </c>
      <c r="F24" s="23" t="s">
        <v>126</v>
      </c>
      <c r="G24" s="14">
        <v>5052447</v>
      </c>
      <c r="H24" s="14" t="s">
        <v>127</v>
      </c>
      <c r="I24" s="14" t="str">
        <f>_xlfn.XLOOKUP(Table3[[#This Row],[Project ID]],[1]Sheet2!H:H,[1]Sheet2!C:C)</f>
        <v>Jefferies_Compliance and KYC Managed Service Annuity 2</v>
      </c>
      <c r="J24" s="14" t="s">
        <v>128</v>
      </c>
      <c r="K24" s="14" t="str">
        <f>_xlfn.XLOOKUP(Table3[[#This Row],[Project ID]],[1]Sheet2!H:H,[1]Sheet2!AK:AK)</f>
        <v>Chelsea Mattias</v>
      </c>
      <c r="L24" s="14" t="s">
        <v>98</v>
      </c>
      <c r="M24" s="14" t="s">
        <v>129</v>
      </c>
      <c r="N24" s="14" t="s">
        <v>105</v>
      </c>
      <c r="O24" s="15">
        <v>6932285</v>
      </c>
      <c r="P24" s="16">
        <v>0.31612450584475393</v>
      </c>
      <c r="Q24" s="16">
        <v>0.18967358738902224</v>
      </c>
      <c r="R24" s="17">
        <v>205875.03000000006</v>
      </c>
      <c r="S24" s="17">
        <v>205875.02999999997</v>
      </c>
      <c r="T24" s="17">
        <v>205875.03</v>
      </c>
      <c r="U24" s="17">
        <v>205875.03000000003</v>
      </c>
      <c r="V24" s="17">
        <v>205875.02999999994</v>
      </c>
      <c r="W24" s="17">
        <v>205875.03</v>
      </c>
      <c r="X24" s="17">
        <v>205875.02999999997</v>
      </c>
      <c r="Y24" s="17">
        <v>205875.03</v>
      </c>
      <c r="Z24" s="17">
        <v>205875.02999999997</v>
      </c>
      <c r="AA24" s="17">
        <v>205875.03</v>
      </c>
      <c r="AB24" s="17">
        <v>205875.03</v>
      </c>
      <c r="AC24" s="17">
        <v>205875.03000000556</v>
      </c>
      <c r="AD24" s="15">
        <v>2470500.3600000055</v>
      </c>
      <c r="AE24" s="17">
        <v>201180.84236156626</v>
      </c>
      <c r="AF24" s="17">
        <v>185760.99961694275</v>
      </c>
      <c r="AG24" s="17">
        <v>181811.85367968684</v>
      </c>
      <c r="AH24" s="17">
        <v>188773.90850808675</v>
      </c>
      <c r="AI24" s="17">
        <v>184021.19593565911</v>
      </c>
      <c r="AJ24" s="17">
        <v>189862.50283097377</v>
      </c>
      <c r="AK24" s="17">
        <v>212076.34170239858</v>
      </c>
      <c r="AL24" s="17">
        <v>168751.65090661772</v>
      </c>
      <c r="AM24" s="17">
        <v>184454.40867082603</v>
      </c>
      <c r="AN24" s="17">
        <v>165362.92239494962</v>
      </c>
      <c r="AO24" s="17">
        <v>136514.53326161852</v>
      </c>
      <c r="AP24" s="17">
        <v>151240.94696881212</v>
      </c>
      <c r="AQ24" s="15">
        <v>2149812.1068381383</v>
      </c>
      <c r="AR24" s="16">
        <f>IFERROR((Table3[[#This Row],[FY26]]-Table3[[#This Row],[FY26 ]])/Table3[[#This Row],[FY26]],"")</f>
        <v>0.12980700523430258</v>
      </c>
      <c r="AS24" s="17">
        <v>205875.03000000038</v>
      </c>
      <c r="AT24" s="17">
        <v>205875.02999999965</v>
      </c>
      <c r="AU24" s="17">
        <v>180937.53000000183</v>
      </c>
      <c r="AV24" s="17">
        <v>180937.52999999913</v>
      </c>
      <c r="AW24" s="17">
        <v>180937.5300000002</v>
      </c>
      <c r="AX24" s="17">
        <v>180937.52999999956</v>
      </c>
      <c r="AY24" s="17">
        <v>180937.53000000076</v>
      </c>
      <c r="AZ24" s="17">
        <v>180937.53000000067</v>
      </c>
      <c r="BA24" s="17">
        <v>180937.5300000002</v>
      </c>
      <c r="BB24" s="17">
        <v>180937.53000000014</v>
      </c>
      <c r="BC24" s="17">
        <v>180937.52999999985</v>
      </c>
      <c r="BD24" s="17">
        <v>180937.53000000081</v>
      </c>
      <c r="BE24" s="15">
        <v>2221125.3600000031</v>
      </c>
      <c r="BF24" s="17">
        <v>153227.22105055081</v>
      </c>
      <c r="BG24" s="17">
        <v>140709.97416604933</v>
      </c>
      <c r="BH24" s="17">
        <v>140116.67122096461</v>
      </c>
      <c r="BI24" s="17">
        <v>140116.67122096461</v>
      </c>
      <c r="BJ24" s="17">
        <v>133747.73162001162</v>
      </c>
      <c r="BK24" s="17">
        <v>133747.73162001162</v>
      </c>
      <c r="BL24" s="17">
        <v>140116.67122096461</v>
      </c>
      <c r="BM24" s="17">
        <v>121009.85241810577</v>
      </c>
      <c r="BN24" s="17">
        <v>140116.67122096461</v>
      </c>
      <c r="BO24" s="17">
        <v>133747.73162001162</v>
      </c>
      <c r="BP24" s="17">
        <v>127378.79201905869</v>
      </c>
      <c r="BQ24" s="14">
        <v>146485.61082191754</v>
      </c>
      <c r="BR24" s="15">
        <v>1650521.3302195752</v>
      </c>
      <c r="BS24" s="18">
        <f>IFERROR((Table3[[#This Row],[FY27]]-Table3[[#This Row],[FY27 ]])/Table3[[#This Row],[FY27]],"")</f>
        <v>0.25689861547500731</v>
      </c>
      <c r="BY24"/>
    </row>
    <row r="25" spans="2:77" ht="32.1">
      <c r="B25" s="8" t="b">
        <v>0</v>
      </c>
      <c r="C25" s="21" t="s">
        <v>112</v>
      </c>
      <c r="D25" s="23" t="s">
        <v>130</v>
      </c>
      <c r="E25" s="21"/>
      <c r="F25" s="23"/>
      <c r="G25" s="14">
        <v>5056896</v>
      </c>
      <c r="H25" s="14" t="s">
        <v>127</v>
      </c>
      <c r="I25" s="14" t="str">
        <f>_xlfn.XLOOKUP(Table3[[#This Row],[Project ID]],[1]Sheet2!H:H,[1]Sheet2!C:C)</f>
        <v>Jeff_Murex CTB FY2026</v>
      </c>
      <c r="J25" s="14" t="s">
        <v>128</v>
      </c>
      <c r="K25" s="14" t="str">
        <f>_xlfn.XLOOKUP(Table3[[#This Row],[Project ID]],[1]Sheet2!H:H,[1]Sheet2!AK:AK)</f>
        <v>Conor Dowling</v>
      </c>
      <c r="L25" s="14" t="s">
        <v>98</v>
      </c>
      <c r="M25" s="14" t="s">
        <v>104</v>
      </c>
      <c r="N25" s="14" t="s">
        <v>105</v>
      </c>
      <c r="O25" s="15">
        <v>995000</v>
      </c>
      <c r="P25" s="16">
        <v>0.39</v>
      </c>
      <c r="Q25" s="16">
        <v>0.44616488848996527</v>
      </c>
      <c r="R25" s="17">
        <v>0</v>
      </c>
      <c r="S25" s="17">
        <v>0</v>
      </c>
      <c r="T25" s="17">
        <v>0</v>
      </c>
      <c r="U25" s="17">
        <v>0</v>
      </c>
      <c r="V25" s="17">
        <v>0</v>
      </c>
      <c r="W25" s="17">
        <v>0</v>
      </c>
      <c r="X25" s="17">
        <v>0</v>
      </c>
      <c r="Y25" s="17">
        <v>0</v>
      </c>
      <c r="Z25" s="17">
        <v>65012</v>
      </c>
      <c r="AA25" s="17">
        <v>80399</v>
      </c>
      <c r="AB25" s="17">
        <v>79322</v>
      </c>
      <c r="AC25" s="17">
        <v>88862</v>
      </c>
      <c r="AD25" s="15">
        <v>313595</v>
      </c>
      <c r="AE25" s="17">
        <v>0</v>
      </c>
      <c r="AF25" s="17">
        <v>0</v>
      </c>
      <c r="AG25" s="17">
        <v>0</v>
      </c>
      <c r="AH25" s="17">
        <v>0</v>
      </c>
      <c r="AI25" s="17">
        <v>0</v>
      </c>
      <c r="AJ25" s="17">
        <v>0</v>
      </c>
      <c r="AK25" s="17">
        <v>0</v>
      </c>
      <c r="AL25" s="17">
        <v>0</v>
      </c>
      <c r="AM25" s="17">
        <v>8908.3356397128937</v>
      </c>
      <c r="AN25" s="17">
        <v>47824.139552363238</v>
      </c>
      <c r="AO25" s="17">
        <v>42526.082109351366</v>
      </c>
      <c r="AP25" s="17">
        <v>52464.247070401085</v>
      </c>
      <c r="AQ25" s="15">
        <v>151722.80437182859</v>
      </c>
      <c r="AR25" s="16">
        <f>IFERROR((Table3[[#This Row],[FY26]]-Table3[[#This Row],[FY26 ]])/Table3[[#This Row],[FY26]],"")</f>
        <v>0.51618232314983148</v>
      </c>
      <c r="AS25" s="17">
        <v>85707</v>
      </c>
      <c r="AT25" s="17">
        <v>80398.999999999971</v>
      </c>
      <c r="AU25" s="17">
        <v>85165.999999999956</v>
      </c>
      <c r="AV25" s="17">
        <v>90934.999999999985</v>
      </c>
      <c r="AW25" s="17">
        <v>83659.000000000087</v>
      </c>
      <c r="AX25" s="17">
        <v>87354.999999999971</v>
      </c>
      <c r="AY25" s="17">
        <v>88861.999999999884</v>
      </c>
      <c r="AZ25" s="17">
        <v>79321.999999999942</v>
      </c>
      <c r="BA25" s="17">
        <v>0</v>
      </c>
      <c r="BB25" s="17">
        <v>0</v>
      </c>
      <c r="BC25" s="17">
        <v>0</v>
      </c>
      <c r="BD25" s="17">
        <v>0</v>
      </c>
      <c r="BE25" s="15">
        <v>681404.99999999977</v>
      </c>
      <c r="BF25" s="17">
        <v>52509.054650759099</v>
      </c>
      <c r="BG25" s="17">
        <v>49372.313788362502</v>
      </c>
      <c r="BH25" s="17">
        <v>53145.364339310021</v>
      </c>
      <c r="BI25" s="17">
        <v>56873.607309899518</v>
      </c>
      <c r="BJ25" s="17">
        <v>50644.933165464347</v>
      </c>
      <c r="BK25" s="17">
        <v>54373.176136053851</v>
      </c>
      <c r="BL25" s="17">
        <v>55009.485824604766</v>
      </c>
      <c r="BM25" s="17">
        <v>49372.313788362502</v>
      </c>
      <c r="BN25" s="17">
        <v>0</v>
      </c>
      <c r="BO25" s="17">
        <v>0</v>
      </c>
      <c r="BP25" s="17">
        <v>0</v>
      </c>
      <c r="BQ25" s="14">
        <v>0</v>
      </c>
      <c r="BR25" s="15">
        <v>421300.24900281656</v>
      </c>
      <c r="BS25" s="18">
        <f>IFERROR((Table3[[#This Row],[FY27]]-Table3[[#This Row],[FY27 ]])/Table3[[#This Row],[FY27]],"")</f>
        <v>0.38171828941258618</v>
      </c>
      <c r="BY25"/>
    </row>
    <row r="26" spans="2:77">
      <c r="B26" s="8" t="b">
        <v>0</v>
      </c>
      <c r="C26" s="21"/>
      <c r="D26" s="23"/>
      <c r="E26" s="21"/>
      <c r="F26" s="23"/>
      <c r="G26" s="14">
        <v>5056907</v>
      </c>
      <c r="H26" s="14" t="s">
        <v>127</v>
      </c>
      <c r="I26" s="14" t="str">
        <f>_xlfn.XLOOKUP(Table3[[#This Row],[Project ID]],[1]Sheet2!H:H,[1]Sheet2!C:C)</f>
        <v>Jefferies AI COE</v>
      </c>
      <c r="J26" s="14" t="s">
        <v>128</v>
      </c>
      <c r="K26" s="14" t="str">
        <f>_xlfn.XLOOKUP(Table3[[#This Row],[Project ID]],[1]Sheet2!H:H,[1]Sheet2!AK:AK)</f>
        <v>Chinmoy Bhatiya</v>
      </c>
      <c r="L26" s="14" t="s">
        <v>98</v>
      </c>
      <c r="M26" s="14" t="s">
        <v>131</v>
      </c>
      <c r="N26" s="14" t="s">
        <v>105</v>
      </c>
      <c r="O26" s="15">
        <v>700000</v>
      </c>
      <c r="P26" s="16">
        <v>0.41</v>
      </c>
      <c r="Q26" s="16">
        <v>0.42467642285911422</v>
      </c>
      <c r="R26" s="17">
        <v>0</v>
      </c>
      <c r="S26" s="17">
        <v>0</v>
      </c>
      <c r="T26" s="17">
        <v>0</v>
      </c>
      <c r="U26" s="17">
        <v>0</v>
      </c>
      <c r="V26" s="17">
        <v>0</v>
      </c>
      <c r="W26" s="17">
        <v>0</v>
      </c>
      <c r="X26" s="17">
        <v>0</v>
      </c>
      <c r="Y26" s="17">
        <v>0</v>
      </c>
      <c r="Z26" s="17">
        <v>62500</v>
      </c>
      <c r="AA26" s="17">
        <v>62500</v>
      </c>
      <c r="AB26" s="17">
        <v>62499.999999999993</v>
      </c>
      <c r="AC26" s="17">
        <v>62499.999999999993</v>
      </c>
      <c r="AD26" s="15">
        <v>250000</v>
      </c>
      <c r="AE26" s="17">
        <v>0</v>
      </c>
      <c r="AF26" s="17">
        <v>0</v>
      </c>
      <c r="AG26" s="17">
        <v>0</v>
      </c>
      <c r="AH26" s="17">
        <v>0</v>
      </c>
      <c r="AI26" s="17">
        <v>0</v>
      </c>
      <c r="AJ26" s="17">
        <v>0</v>
      </c>
      <c r="AK26" s="17">
        <v>0</v>
      </c>
      <c r="AL26" s="17">
        <v>0</v>
      </c>
      <c r="AM26" s="17">
        <v>14000.633333333331</v>
      </c>
      <c r="AN26" s="17">
        <v>37622.141922652212</v>
      </c>
      <c r="AO26" s="17">
        <v>37389.933843129038</v>
      </c>
      <c r="AP26" s="17">
        <v>36732.947903228662</v>
      </c>
      <c r="AQ26" s="15">
        <v>125745.65700234324</v>
      </c>
      <c r="AR26" s="16">
        <f>IFERROR((Table3[[#This Row],[FY26]]-Table3[[#This Row],[FY26 ]])/Table3[[#This Row],[FY26]],"")</f>
        <v>0.49701737199062701</v>
      </c>
      <c r="AS26" s="17">
        <v>56250.000000000044</v>
      </c>
      <c r="AT26" s="17">
        <v>56250.000000000007</v>
      </c>
      <c r="AU26" s="17">
        <v>56249.999999999942</v>
      </c>
      <c r="AV26" s="17">
        <v>56249.999999999869</v>
      </c>
      <c r="AW26" s="17">
        <v>56250.000000000065</v>
      </c>
      <c r="AX26" s="17">
        <v>56249.999999999913</v>
      </c>
      <c r="AY26" s="17">
        <v>56250.000000000044</v>
      </c>
      <c r="AZ26" s="17">
        <v>56250</v>
      </c>
      <c r="BA26" s="17">
        <v>0</v>
      </c>
      <c r="BB26" s="17">
        <v>0</v>
      </c>
      <c r="BC26" s="17">
        <v>0</v>
      </c>
      <c r="BD26" s="17">
        <v>0</v>
      </c>
      <c r="BE26" s="15">
        <v>449999.99999999994</v>
      </c>
      <c r="BF26" s="17">
        <v>38639.606274651262</v>
      </c>
      <c r="BG26" s="17">
        <v>35126.914795137505</v>
      </c>
      <c r="BH26" s="17">
        <v>38639.606274651262</v>
      </c>
      <c r="BI26" s="17">
        <v>38639.606274651262</v>
      </c>
      <c r="BJ26" s="17">
        <v>36883.260534894383</v>
      </c>
      <c r="BK26" s="17">
        <v>36883.260534894383</v>
      </c>
      <c r="BL26" s="17">
        <v>38639.606274651262</v>
      </c>
      <c r="BM26" s="17">
        <v>31614.22331562376</v>
      </c>
      <c r="BN26" s="17">
        <v>0</v>
      </c>
      <c r="BO26" s="17">
        <v>0</v>
      </c>
      <c r="BP26" s="17">
        <v>0</v>
      </c>
      <c r="BQ26" s="14">
        <v>0</v>
      </c>
      <c r="BR26" s="15">
        <v>295066.08427915507</v>
      </c>
      <c r="BS26" s="18">
        <f>IFERROR((Table3[[#This Row],[FY27]]-Table3[[#This Row],[FY27 ]])/Table3[[#This Row],[FY27]],"")</f>
        <v>0.34429759049076641</v>
      </c>
      <c r="BY26"/>
    </row>
    <row r="27" spans="2:77" ht="15.95">
      <c r="B27" s="8" t="b">
        <v>1</v>
      </c>
      <c r="C27" s="21" t="s">
        <v>112</v>
      </c>
      <c r="D27" s="23" t="s">
        <v>132</v>
      </c>
      <c r="E27" s="21" t="s">
        <v>112</v>
      </c>
      <c r="F27" s="23" t="s">
        <v>133</v>
      </c>
      <c r="G27" s="14">
        <v>5056875</v>
      </c>
      <c r="H27" s="14" t="s">
        <v>127</v>
      </c>
      <c r="I27" s="14" t="str">
        <f>_xlfn.XLOOKUP(Table3[[#This Row],[Project ID]],[1]Sheet2!H:H,[1]Sheet2!C:C)</f>
        <v>Jefferies JCREW RTB 2026</v>
      </c>
      <c r="J27" s="14" t="s">
        <v>128</v>
      </c>
      <c r="K27" s="14" t="str">
        <f>_xlfn.XLOOKUP(Table3[[#This Row],[Project ID]],[1]Sheet2!H:H,[1]Sheet2!AK:AK)</f>
        <v>John McCaffrey</v>
      </c>
      <c r="L27" s="14" t="s">
        <v>98</v>
      </c>
      <c r="M27" s="14" t="s">
        <v>104</v>
      </c>
      <c r="N27" s="14" t="s">
        <v>105</v>
      </c>
      <c r="O27" s="15">
        <v>311500</v>
      </c>
      <c r="P27" s="16">
        <v>0.44</v>
      </c>
      <c r="Q27" s="16">
        <v>0.33587874675925899</v>
      </c>
      <c r="R27" s="17">
        <v>0</v>
      </c>
      <c r="S27" s="17">
        <v>0</v>
      </c>
      <c r="T27" s="17">
        <v>0</v>
      </c>
      <c r="U27" s="17">
        <v>0</v>
      </c>
      <c r="V27" s="17">
        <v>0</v>
      </c>
      <c r="W27" s="17">
        <v>0</v>
      </c>
      <c r="X27" s="17">
        <v>0</v>
      </c>
      <c r="Y27" s="17">
        <v>0</v>
      </c>
      <c r="Z27" s="17">
        <v>25958</v>
      </c>
      <c r="AA27" s="17">
        <v>25957.999999999996</v>
      </c>
      <c r="AB27" s="17">
        <v>25958</v>
      </c>
      <c r="AC27" s="17">
        <v>25958.000000000015</v>
      </c>
      <c r="AD27" s="15">
        <v>103832.00000000001</v>
      </c>
      <c r="AE27" s="17">
        <v>0</v>
      </c>
      <c r="AF27" s="17">
        <v>0</v>
      </c>
      <c r="AG27" s="17">
        <v>0</v>
      </c>
      <c r="AH27" s="17">
        <v>0</v>
      </c>
      <c r="AI27" s="17">
        <v>0</v>
      </c>
      <c r="AJ27" s="17">
        <v>0</v>
      </c>
      <c r="AK27" s="17">
        <v>0</v>
      </c>
      <c r="AL27" s="17">
        <v>0</v>
      </c>
      <c r="AM27" s="17">
        <v>12561.542451687508</v>
      </c>
      <c r="AN27" s="17">
        <v>14195.567620077321</v>
      </c>
      <c r="AO27" s="17">
        <v>14838.916393258549</v>
      </c>
      <c r="AP27" s="17">
        <v>19143.63692759187</v>
      </c>
      <c r="AQ27" s="15">
        <v>60739.66339261525</v>
      </c>
      <c r="AR27" s="16">
        <f>IFERROR((Table3[[#This Row],[FY26]]-Table3[[#This Row],[FY26 ]])/Table3[[#This Row],[FY26]],"")</f>
        <v>0.41501980706703867</v>
      </c>
      <c r="AS27" s="17">
        <v>25958.000000000022</v>
      </c>
      <c r="AT27" s="17">
        <v>25957.999999999993</v>
      </c>
      <c r="AU27" s="17">
        <v>25958.000000000007</v>
      </c>
      <c r="AV27" s="17">
        <v>25958.000000000004</v>
      </c>
      <c r="AW27" s="17">
        <v>25957.999999999956</v>
      </c>
      <c r="AX27" s="17">
        <v>25958.000000000102</v>
      </c>
      <c r="AY27" s="17">
        <v>25957.999999999916</v>
      </c>
      <c r="AZ27" s="17">
        <v>25961.999999999996</v>
      </c>
      <c r="BA27" s="17">
        <v>0</v>
      </c>
      <c r="BB27" s="17">
        <v>0</v>
      </c>
      <c r="BC27" s="17">
        <v>0</v>
      </c>
      <c r="BD27" s="17">
        <v>0</v>
      </c>
      <c r="BE27" s="15">
        <v>207668</v>
      </c>
      <c r="BF27" s="17">
        <v>18936.06864852372</v>
      </c>
      <c r="BG27" s="17">
        <v>17204.743206915296</v>
      </c>
      <c r="BH27" s="17">
        <v>20588.374218072866</v>
      </c>
      <c r="BI27" s="17">
        <v>21524.20940980345</v>
      </c>
      <c r="BJ27" s="17">
        <v>19652.539026342285</v>
      </c>
      <c r="BK27" s="17">
        <v>19652.539026342285</v>
      </c>
      <c r="BL27" s="17">
        <v>18716.703834611697</v>
      </c>
      <c r="BM27" s="17">
        <v>18076.304195141442</v>
      </c>
      <c r="BN27" s="17">
        <v>0</v>
      </c>
      <c r="BO27" s="17">
        <v>0</v>
      </c>
      <c r="BP27" s="17">
        <v>0</v>
      </c>
      <c r="BQ27" s="14">
        <v>0</v>
      </c>
      <c r="BR27" s="15">
        <v>154351.48156575306</v>
      </c>
      <c r="BS27" s="18">
        <f>IFERROR((Table3[[#This Row],[FY27]]-Table3[[#This Row],[FY27 ]])/Table3[[#This Row],[FY27]],"")</f>
        <v>0.25673921082808593</v>
      </c>
      <c r="BY27"/>
    </row>
    <row r="28" spans="2:77">
      <c r="B28" s="8" t="b">
        <v>0</v>
      </c>
      <c r="C28" s="21"/>
      <c r="D28" s="23"/>
      <c r="E28" s="21"/>
      <c r="F28" s="23"/>
      <c r="G28" s="14">
        <v>5056890</v>
      </c>
      <c r="H28" s="14" t="s">
        <v>127</v>
      </c>
      <c r="I28" s="14" t="str">
        <f>_xlfn.XLOOKUP(Table3[[#This Row],[Project ID]],[1]Sheet2!H:H,[1]Sheet2!C:C)</f>
        <v>Jeff_Equities Reg BOW PM / BA Ext 5</v>
      </c>
      <c r="J28" s="14" t="s">
        <v>128</v>
      </c>
      <c r="K28" s="14" t="str">
        <f>_xlfn.XLOOKUP(Table3[[#This Row],[Project ID]],[1]Sheet2!H:H,[1]Sheet2!AK:AK)</f>
        <v>Sri Nonabur Srinivasamurthy</v>
      </c>
      <c r="L28" s="14" t="s">
        <v>98</v>
      </c>
      <c r="M28" s="14" t="s">
        <v>104</v>
      </c>
      <c r="N28" s="14" t="s">
        <v>105</v>
      </c>
      <c r="O28" s="15">
        <v>278400</v>
      </c>
      <c r="P28" s="16">
        <v>0.28000000000000003</v>
      </c>
      <c r="Q28" s="16">
        <v>0.28557750513457997</v>
      </c>
      <c r="R28" s="17">
        <v>0</v>
      </c>
      <c r="S28" s="17">
        <v>0</v>
      </c>
      <c r="T28" s="17">
        <v>0</v>
      </c>
      <c r="U28" s="17">
        <v>0</v>
      </c>
      <c r="V28" s="17">
        <v>0</v>
      </c>
      <c r="W28" s="17">
        <v>0</v>
      </c>
      <c r="X28" s="17">
        <v>0</v>
      </c>
      <c r="Y28" s="17">
        <v>0</v>
      </c>
      <c r="Z28" s="17">
        <v>24360</v>
      </c>
      <c r="AA28" s="17">
        <v>22040</v>
      </c>
      <c r="AB28" s="17">
        <v>20880</v>
      </c>
      <c r="AC28" s="17">
        <v>24360</v>
      </c>
      <c r="AD28" s="15">
        <v>91640</v>
      </c>
      <c r="AE28" s="17">
        <v>0</v>
      </c>
      <c r="AF28" s="17">
        <v>0</v>
      </c>
      <c r="AG28" s="17">
        <v>0</v>
      </c>
      <c r="AH28" s="17">
        <v>0</v>
      </c>
      <c r="AI28" s="17">
        <v>0</v>
      </c>
      <c r="AJ28" s="17">
        <v>0</v>
      </c>
      <c r="AK28" s="17">
        <v>0</v>
      </c>
      <c r="AL28" s="17">
        <v>0</v>
      </c>
      <c r="AM28" s="17">
        <v>14824.199999999999</v>
      </c>
      <c r="AN28" s="17">
        <v>15647.766666666666</v>
      </c>
      <c r="AO28" s="17">
        <v>14000.633333333331</v>
      </c>
      <c r="AP28" s="17">
        <v>18118.466666666667</v>
      </c>
      <c r="AQ28" s="15">
        <v>62591.066666666666</v>
      </c>
      <c r="AR28" s="16">
        <f>IFERROR((Table3[[#This Row],[FY26]]-Table3[[#This Row],[FY26 ]])/Table3[[#This Row],[FY26]],"")</f>
        <v>0.31698966972210096</v>
      </c>
      <c r="AS28" s="17">
        <v>24360</v>
      </c>
      <c r="AT28" s="17">
        <v>22040</v>
      </c>
      <c r="AU28" s="17">
        <v>24360.000000000029</v>
      </c>
      <c r="AV28" s="17">
        <v>24359.999999999971</v>
      </c>
      <c r="AW28" s="17">
        <v>23200</v>
      </c>
      <c r="AX28" s="17">
        <v>23200</v>
      </c>
      <c r="AY28" s="17">
        <v>24359.999999999971</v>
      </c>
      <c r="AZ28" s="17">
        <v>20880.000000000029</v>
      </c>
      <c r="BA28" s="17">
        <v>0</v>
      </c>
      <c r="BB28" s="17">
        <v>0</v>
      </c>
      <c r="BC28" s="17">
        <v>0</v>
      </c>
      <c r="BD28" s="17">
        <v>0</v>
      </c>
      <c r="BE28" s="15">
        <v>186760</v>
      </c>
      <c r="BF28" s="17">
        <v>18118.466666666667</v>
      </c>
      <c r="BG28" s="17">
        <v>16471.333333333332</v>
      </c>
      <c r="BH28" s="17">
        <v>18118.466666666667</v>
      </c>
      <c r="BI28" s="17">
        <v>18118.466666666667</v>
      </c>
      <c r="BJ28" s="17">
        <v>17294.899999999998</v>
      </c>
      <c r="BK28" s="17">
        <v>17294.899999999998</v>
      </c>
      <c r="BL28" s="17">
        <v>18118.466666666667</v>
      </c>
      <c r="BM28" s="17">
        <v>15647.766666666666</v>
      </c>
      <c r="BN28" s="17">
        <v>0</v>
      </c>
      <c r="BO28" s="17">
        <v>0</v>
      </c>
      <c r="BP28" s="17">
        <v>0</v>
      </c>
      <c r="BQ28" s="14">
        <v>0</v>
      </c>
      <c r="BR28" s="15">
        <v>139182.76666666666</v>
      </c>
      <c r="BS28" s="18">
        <f>IFERROR((Table3[[#This Row],[FY27]]-Table3[[#This Row],[FY27 ]])/Table3[[#This Row],[FY27]],"")</f>
        <v>0.25475066038409366</v>
      </c>
      <c r="BY28"/>
    </row>
    <row r="29" spans="2:77">
      <c r="B29" s="8" t="b">
        <v>1</v>
      </c>
      <c r="C29" s="21"/>
      <c r="D29" s="23"/>
      <c r="E29" s="21"/>
      <c r="F29" s="23"/>
      <c r="G29" s="14">
        <v>5057330</v>
      </c>
      <c r="H29" s="14" t="s">
        <v>127</v>
      </c>
      <c r="I29" s="14" t="str">
        <f>_xlfn.XLOOKUP(Table3[[#This Row],[Project ID]],[1]Sheet2!H:H,[1]Sheet2!C:C)</f>
        <v>Jefferies Equities QA Contracting Team AZ (2)</v>
      </c>
      <c r="J29" s="14" t="s">
        <v>128</v>
      </c>
      <c r="K29" s="14" t="str">
        <f>_xlfn.XLOOKUP(Table3[[#This Row],[Project ID]],[1]Sheet2!H:H,[1]Sheet2!AK:AK)</f>
        <v>John McCaffrey</v>
      </c>
      <c r="L29" s="14" t="s">
        <v>98</v>
      </c>
      <c r="M29" s="14" t="s">
        <v>104</v>
      </c>
      <c r="N29" s="14" t="s">
        <v>105</v>
      </c>
      <c r="O29" s="15">
        <v>248000</v>
      </c>
      <c r="P29" s="16">
        <v>0.06</v>
      </c>
      <c r="Q29" s="16">
        <v>9.2074787579274703E-2</v>
      </c>
      <c r="R29" s="17">
        <v>0</v>
      </c>
      <c r="S29" s="17">
        <v>0</v>
      </c>
      <c r="T29" s="17">
        <v>0</v>
      </c>
      <c r="U29" s="17">
        <v>0</v>
      </c>
      <c r="V29" s="17">
        <v>0</v>
      </c>
      <c r="W29" s="17">
        <v>0</v>
      </c>
      <c r="X29" s="17">
        <v>0</v>
      </c>
      <c r="Y29" s="17">
        <v>0</v>
      </c>
      <c r="Z29" s="17">
        <v>0</v>
      </c>
      <c r="AA29" s="17">
        <v>20666</v>
      </c>
      <c r="AB29" s="17">
        <v>20666</v>
      </c>
      <c r="AC29" s="17">
        <v>20666</v>
      </c>
      <c r="AD29" s="15">
        <v>61998</v>
      </c>
      <c r="AE29" s="17">
        <v>0</v>
      </c>
      <c r="AF29" s="17">
        <v>0</v>
      </c>
      <c r="AG29" s="17">
        <v>0</v>
      </c>
      <c r="AH29" s="17">
        <v>0</v>
      </c>
      <c r="AI29" s="17">
        <v>0</v>
      </c>
      <c r="AJ29" s="17">
        <v>0</v>
      </c>
      <c r="AK29" s="17">
        <v>0</v>
      </c>
      <c r="AL29" s="17">
        <v>0</v>
      </c>
      <c r="AM29" s="17">
        <v>0</v>
      </c>
      <c r="AN29" s="17">
        <v>17195</v>
      </c>
      <c r="AO29" s="17">
        <v>17195</v>
      </c>
      <c r="AP29" s="17">
        <v>19910</v>
      </c>
      <c r="AQ29" s="15">
        <v>54300</v>
      </c>
      <c r="AR29" s="16">
        <f>IFERROR((Table3[[#This Row],[FY26]]-Table3[[#This Row],[FY26 ]])/Table3[[#This Row],[FY26]],"")</f>
        <v>0.12416529565469854</v>
      </c>
      <c r="AS29" s="17">
        <v>20666</v>
      </c>
      <c r="AT29" s="17">
        <v>20666</v>
      </c>
      <c r="AU29" s="17">
        <v>20666</v>
      </c>
      <c r="AV29" s="17">
        <v>20666</v>
      </c>
      <c r="AW29" s="17">
        <v>20666</v>
      </c>
      <c r="AX29" s="17">
        <v>20666</v>
      </c>
      <c r="AY29" s="17">
        <v>20666</v>
      </c>
      <c r="AZ29" s="17">
        <v>20666</v>
      </c>
      <c r="BA29" s="17">
        <v>20674</v>
      </c>
      <c r="BB29" s="17">
        <v>0</v>
      </c>
      <c r="BC29" s="17">
        <v>0</v>
      </c>
      <c r="BD29" s="17">
        <v>0</v>
      </c>
      <c r="BE29" s="15">
        <v>186002</v>
      </c>
      <c r="BF29" s="17">
        <v>19910</v>
      </c>
      <c r="BG29" s="17">
        <v>18100</v>
      </c>
      <c r="BH29" s="17">
        <v>19910</v>
      </c>
      <c r="BI29" s="17">
        <v>19910</v>
      </c>
      <c r="BJ29" s="17">
        <v>19005</v>
      </c>
      <c r="BK29" s="17">
        <v>19005</v>
      </c>
      <c r="BL29" s="17">
        <v>19910</v>
      </c>
      <c r="BM29" s="17">
        <v>17195</v>
      </c>
      <c r="BN29" s="17">
        <v>19910</v>
      </c>
      <c r="BO29" s="17">
        <v>0</v>
      </c>
      <c r="BP29" s="17">
        <v>0</v>
      </c>
      <c r="BQ29" s="14">
        <v>0</v>
      </c>
      <c r="BR29" s="15">
        <v>172855</v>
      </c>
      <c r="BS29" s="18">
        <f>IFERROR((Table3[[#This Row],[FY27]]-Table3[[#This Row],[FY27 ]])/Table3[[#This Row],[FY27]],"")</f>
        <v>7.0682035677035737E-2</v>
      </c>
      <c r="BY29"/>
    </row>
    <row r="30" spans="2:77">
      <c r="B30" s="8" t="b">
        <v>0</v>
      </c>
      <c r="C30" s="21"/>
      <c r="D30" s="23"/>
      <c r="E30" s="21"/>
      <c r="F30" s="23"/>
      <c r="G30" s="14">
        <v>5057342</v>
      </c>
      <c r="H30" s="14" t="s">
        <v>127</v>
      </c>
      <c r="I30" s="14" t="str">
        <f>_xlfn.XLOOKUP(Table3[[#This Row],[Project ID]],[1]Sheet2!H:H,[1]Sheet2!C:C)</f>
        <v>Jefferies Equities QA Contracting Team QR (1)</v>
      </c>
      <c r="J30" s="14" t="s">
        <v>128</v>
      </c>
      <c r="K30" s="14" t="str">
        <f>_xlfn.XLOOKUP(Table3[[#This Row],[Project ID]],[1]Sheet2!H:H,[1]Sheet2!AK:AK)</f>
        <v>John McCaffrey</v>
      </c>
      <c r="L30" s="14" t="s">
        <v>98</v>
      </c>
      <c r="M30" s="14" t="s">
        <v>104</v>
      </c>
      <c r="N30" s="14" t="s">
        <v>105</v>
      </c>
      <c r="O30" s="15">
        <v>245000</v>
      </c>
      <c r="P30" s="16">
        <v>0.03</v>
      </c>
      <c r="Q30" s="16">
        <v>9.9576976829236441E-2</v>
      </c>
      <c r="R30" s="17">
        <v>0</v>
      </c>
      <c r="S30" s="17">
        <v>0</v>
      </c>
      <c r="T30" s="17">
        <v>0</v>
      </c>
      <c r="U30" s="17">
        <v>0</v>
      </c>
      <c r="V30" s="17">
        <v>0</v>
      </c>
      <c r="W30" s="17">
        <v>0</v>
      </c>
      <c r="X30" s="17">
        <v>0</v>
      </c>
      <c r="Y30" s="17">
        <v>0</v>
      </c>
      <c r="Z30" s="17">
        <v>0</v>
      </c>
      <c r="AA30" s="17">
        <v>20416</v>
      </c>
      <c r="AB30" s="17">
        <v>20416</v>
      </c>
      <c r="AC30" s="17">
        <v>20416</v>
      </c>
      <c r="AD30" s="15">
        <v>61248</v>
      </c>
      <c r="AE30" s="17">
        <v>0</v>
      </c>
      <c r="AF30" s="17">
        <v>0</v>
      </c>
      <c r="AG30" s="17">
        <v>0</v>
      </c>
      <c r="AH30" s="17">
        <v>0</v>
      </c>
      <c r="AI30" s="17">
        <v>0</v>
      </c>
      <c r="AJ30" s="17">
        <v>0</v>
      </c>
      <c r="AK30" s="17">
        <v>0</v>
      </c>
      <c r="AL30" s="17">
        <v>0</v>
      </c>
      <c r="AM30" s="17">
        <v>0</v>
      </c>
      <c r="AN30" s="17">
        <v>11989.25</v>
      </c>
      <c r="AO30" s="17">
        <v>17522.75</v>
      </c>
      <c r="AP30" s="17">
        <v>20289.5</v>
      </c>
      <c r="AQ30" s="15">
        <v>49801.5</v>
      </c>
      <c r="AR30" s="16">
        <f>IFERROR((Table3[[#This Row],[FY26]]-Table3[[#This Row],[FY26 ]])/Table3[[#This Row],[FY26]],"")</f>
        <v>0.18688773510971787</v>
      </c>
      <c r="AS30" s="17">
        <v>20416</v>
      </c>
      <c r="AT30" s="17">
        <v>20416</v>
      </c>
      <c r="AU30" s="17">
        <v>20416</v>
      </c>
      <c r="AV30" s="17">
        <v>20416</v>
      </c>
      <c r="AW30" s="17">
        <v>20416</v>
      </c>
      <c r="AX30" s="17">
        <v>20416</v>
      </c>
      <c r="AY30" s="17">
        <v>20416</v>
      </c>
      <c r="AZ30" s="17">
        <v>20416</v>
      </c>
      <c r="BA30" s="17">
        <v>20424</v>
      </c>
      <c r="BB30" s="17">
        <v>0</v>
      </c>
      <c r="BC30" s="17">
        <v>0</v>
      </c>
      <c r="BD30" s="17">
        <v>0</v>
      </c>
      <c r="BE30" s="15">
        <v>183752</v>
      </c>
      <c r="BF30" s="17">
        <v>20289.5</v>
      </c>
      <c r="BG30" s="17">
        <v>18445</v>
      </c>
      <c r="BH30" s="17">
        <v>20289.5</v>
      </c>
      <c r="BI30" s="17">
        <v>20289.5</v>
      </c>
      <c r="BJ30" s="17">
        <v>19367.25</v>
      </c>
      <c r="BK30" s="17">
        <v>19367.25</v>
      </c>
      <c r="BL30" s="17">
        <v>20289.5</v>
      </c>
      <c r="BM30" s="17">
        <v>17522.75</v>
      </c>
      <c r="BN30" s="17">
        <v>20289.5</v>
      </c>
      <c r="BO30" s="17">
        <v>0</v>
      </c>
      <c r="BP30" s="17">
        <v>0</v>
      </c>
      <c r="BQ30" s="14">
        <v>0</v>
      </c>
      <c r="BR30" s="15">
        <v>176149.75</v>
      </c>
      <c r="BS30" s="18">
        <f>IFERROR((Table3[[#This Row],[FY27]]-Table3[[#This Row],[FY27 ]])/Table3[[#This Row],[FY27]],"")</f>
        <v>4.1372338804475599E-2</v>
      </c>
      <c r="BY30"/>
    </row>
    <row r="31" spans="2:77">
      <c r="B31" s="8" t="b">
        <v>0</v>
      </c>
      <c r="C31" s="21"/>
      <c r="D31" s="23"/>
      <c r="E31" s="21"/>
      <c r="F31" s="23"/>
      <c r="G31" s="14">
        <v>5057341</v>
      </c>
      <c r="H31" s="14" t="s">
        <v>127</v>
      </c>
      <c r="I31" s="14" t="str">
        <f>_xlfn.XLOOKUP(Table3[[#This Row],[Project ID]],[1]Sheet2!H:H,[1]Sheet2!C:C)</f>
        <v>Jefferies Equities QA Contracting Team SS (3)</v>
      </c>
      <c r="J31" s="14" t="s">
        <v>128</v>
      </c>
      <c r="K31" s="14" t="str">
        <f>_xlfn.XLOOKUP(Table3[[#This Row],[Project ID]],[1]Sheet2!H:H,[1]Sheet2!AK:AK)</f>
        <v>John McCaffrey</v>
      </c>
      <c r="L31" s="14" t="s">
        <v>98</v>
      </c>
      <c r="M31" s="14" t="s">
        <v>104</v>
      </c>
      <c r="N31" s="14" t="s">
        <v>105</v>
      </c>
      <c r="O31" s="15">
        <v>245000</v>
      </c>
      <c r="P31" s="16">
        <v>0.08</v>
      </c>
      <c r="Q31" s="16">
        <v>0.10761458034011651</v>
      </c>
      <c r="R31" s="17">
        <v>0</v>
      </c>
      <c r="S31" s="17">
        <v>0</v>
      </c>
      <c r="T31" s="17">
        <v>0</v>
      </c>
      <c r="U31" s="17">
        <v>0</v>
      </c>
      <c r="V31" s="17">
        <v>0</v>
      </c>
      <c r="W31" s="17">
        <v>0</v>
      </c>
      <c r="X31" s="17">
        <v>0</v>
      </c>
      <c r="Y31" s="17">
        <v>0</v>
      </c>
      <c r="Z31" s="17">
        <v>0</v>
      </c>
      <c r="AA31" s="17">
        <v>20416</v>
      </c>
      <c r="AB31" s="17">
        <v>20416</v>
      </c>
      <c r="AC31" s="17">
        <v>20416</v>
      </c>
      <c r="AD31" s="15">
        <v>61248</v>
      </c>
      <c r="AE31" s="17">
        <v>0</v>
      </c>
      <c r="AF31" s="17">
        <v>0</v>
      </c>
      <c r="AG31" s="17">
        <v>0</v>
      </c>
      <c r="AH31" s="17">
        <v>0</v>
      </c>
      <c r="AI31" s="17">
        <v>0</v>
      </c>
      <c r="AJ31" s="17">
        <v>0</v>
      </c>
      <c r="AK31" s="17">
        <v>0</v>
      </c>
      <c r="AL31" s="17">
        <v>0</v>
      </c>
      <c r="AM31" s="17">
        <v>0</v>
      </c>
      <c r="AN31" s="17">
        <v>16696.25</v>
      </c>
      <c r="AO31" s="17">
        <v>16696.25</v>
      </c>
      <c r="AP31" s="17">
        <v>19332.5</v>
      </c>
      <c r="AQ31" s="15">
        <v>52725</v>
      </c>
      <c r="AR31" s="16">
        <f>IFERROR((Table3[[#This Row],[FY26]]-Table3[[#This Row],[FY26 ]])/Table3[[#This Row],[FY26]],"")</f>
        <v>0.13915556426332287</v>
      </c>
      <c r="AS31" s="17">
        <v>20416</v>
      </c>
      <c r="AT31" s="17">
        <v>20416</v>
      </c>
      <c r="AU31" s="17">
        <v>20416</v>
      </c>
      <c r="AV31" s="17">
        <v>20416</v>
      </c>
      <c r="AW31" s="17">
        <v>20416</v>
      </c>
      <c r="AX31" s="17">
        <v>20416</v>
      </c>
      <c r="AY31" s="17">
        <v>20416</v>
      </c>
      <c r="AZ31" s="17">
        <v>20416</v>
      </c>
      <c r="BA31" s="17">
        <v>20424</v>
      </c>
      <c r="BB31" s="17">
        <v>0</v>
      </c>
      <c r="BC31" s="17">
        <v>0</v>
      </c>
      <c r="BD31" s="17">
        <v>0</v>
      </c>
      <c r="BE31" s="15">
        <v>183752</v>
      </c>
      <c r="BF31" s="17">
        <v>19332.5</v>
      </c>
      <c r="BG31" s="17">
        <v>17575</v>
      </c>
      <c r="BH31" s="17">
        <v>19332.5</v>
      </c>
      <c r="BI31" s="17">
        <v>19332.5</v>
      </c>
      <c r="BJ31" s="17">
        <v>18453.75</v>
      </c>
      <c r="BK31" s="17">
        <v>18453.75</v>
      </c>
      <c r="BL31" s="17">
        <v>19332.5</v>
      </c>
      <c r="BM31" s="17">
        <v>16696.25</v>
      </c>
      <c r="BN31" s="17">
        <v>19332.5</v>
      </c>
      <c r="BO31" s="17">
        <v>0</v>
      </c>
      <c r="BP31" s="17">
        <v>0</v>
      </c>
      <c r="BQ31" s="14">
        <v>0</v>
      </c>
      <c r="BR31" s="15">
        <v>167841.25</v>
      </c>
      <c r="BS31" s="18">
        <f>IFERROR((Table3[[#This Row],[FY27]]-Table3[[#This Row],[FY27 ]])/Table3[[#This Row],[FY27]],"")</f>
        <v>8.658817318995167E-2</v>
      </c>
      <c r="BY31"/>
    </row>
    <row r="32" spans="2:77">
      <c r="B32" s="8" t="b">
        <v>0</v>
      </c>
      <c r="C32" s="21"/>
      <c r="D32" s="23"/>
      <c r="E32" s="21"/>
      <c r="F32" s="23"/>
      <c r="G32" s="14">
        <v>5056731</v>
      </c>
      <c r="H32" s="14" t="s">
        <v>127</v>
      </c>
      <c r="I32" s="14" t="str">
        <f>_xlfn.XLOOKUP(Table3[[#This Row],[Project ID]],[1]Sheet2!H:H,[1]Sheet2!C:C)</f>
        <v>Jefferies Transcend QA Contractor</v>
      </c>
      <c r="J32" s="14" t="s">
        <v>128</v>
      </c>
      <c r="K32" s="14" t="str">
        <f>_xlfn.XLOOKUP(Table3[[#This Row],[Project ID]],[1]Sheet2!H:H,[1]Sheet2!AK:AK)</f>
        <v>John McCaffrey</v>
      </c>
      <c r="L32" s="14" t="s">
        <v>98</v>
      </c>
      <c r="M32" s="14" t="s">
        <v>104</v>
      </c>
      <c r="N32" s="14" t="s">
        <v>105</v>
      </c>
      <c r="O32" s="15">
        <v>250000</v>
      </c>
      <c r="P32" s="16">
        <v>0.24</v>
      </c>
      <c r="Q32" s="16">
        <v>0.5658803100249884</v>
      </c>
      <c r="R32" s="17">
        <v>0</v>
      </c>
      <c r="S32" s="17">
        <v>0</v>
      </c>
      <c r="T32" s="17">
        <v>0</v>
      </c>
      <c r="U32" s="17">
        <v>0</v>
      </c>
      <c r="V32" s="17">
        <v>0</v>
      </c>
      <c r="W32" s="17">
        <v>0</v>
      </c>
      <c r="X32" s="17">
        <v>0</v>
      </c>
      <c r="Y32" s="17">
        <v>0</v>
      </c>
      <c r="Z32" s="17">
        <v>41666</v>
      </c>
      <c r="AA32" s="17">
        <v>20833</v>
      </c>
      <c r="AB32" s="17">
        <v>20833</v>
      </c>
      <c r="AC32" s="17">
        <v>20833</v>
      </c>
      <c r="AD32" s="15">
        <v>104165</v>
      </c>
      <c r="AE32" s="17">
        <v>0</v>
      </c>
      <c r="AF32" s="17">
        <v>0</v>
      </c>
      <c r="AG32" s="17">
        <v>0</v>
      </c>
      <c r="AH32" s="17">
        <v>0</v>
      </c>
      <c r="AI32" s="17">
        <v>0</v>
      </c>
      <c r="AJ32" s="17">
        <v>0</v>
      </c>
      <c r="AK32" s="17">
        <v>0</v>
      </c>
      <c r="AL32" s="17">
        <v>0</v>
      </c>
      <c r="AM32" s="17">
        <v>0</v>
      </c>
      <c r="AN32" s="17">
        <v>0</v>
      </c>
      <c r="AO32" s="17">
        <v>0</v>
      </c>
      <c r="AP32" s="17">
        <v>16500</v>
      </c>
      <c r="AQ32" s="15">
        <v>16500</v>
      </c>
      <c r="AR32" s="16">
        <f>IFERROR((Table3[[#This Row],[FY26]]-Table3[[#This Row],[FY26 ]])/Table3[[#This Row],[FY26]],"")</f>
        <v>0.84159746555944892</v>
      </c>
      <c r="AS32" s="17">
        <v>20833</v>
      </c>
      <c r="AT32" s="17">
        <v>20833</v>
      </c>
      <c r="AU32" s="17">
        <v>20833</v>
      </c>
      <c r="AV32" s="17">
        <v>20833</v>
      </c>
      <c r="AW32" s="17">
        <v>20833</v>
      </c>
      <c r="AX32" s="17">
        <v>20833</v>
      </c>
      <c r="AY32" s="17">
        <v>20837</v>
      </c>
      <c r="AZ32" s="17">
        <v>0</v>
      </c>
      <c r="BA32" s="17">
        <v>0</v>
      </c>
      <c r="BB32" s="17">
        <v>0</v>
      </c>
      <c r="BC32" s="17">
        <v>0</v>
      </c>
      <c r="BD32" s="17">
        <v>0</v>
      </c>
      <c r="BE32" s="15">
        <v>145835</v>
      </c>
      <c r="BF32" s="17">
        <v>16500</v>
      </c>
      <c r="BG32" s="17">
        <v>15000</v>
      </c>
      <c r="BH32" s="17">
        <v>16500</v>
      </c>
      <c r="BI32" s="17">
        <v>16500</v>
      </c>
      <c r="BJ32" s="17">
        <v>15750</v>
      </c>
      <c r="BK32" s="17">
        <v>15750</v>
      </c>
      <c r="BL32" s="17">
        <v>16500</v>
      </c>
      <c r="BM32" s="17">
        <v>8250</v>
      </c>
      <c r="BN32" s="17">
        <v>0</v>
      </c>
      <c r="BO32" s="17">
        <v>0</v>
      </c>
      <c r="BP32" s="17">
        <v>0</v>
      </c>
      <c r="BQ32" s="14">
        <v>0</v>
      </c>
      <c r="BR32" s="15">
        <v>120750</v>
      </c>
      <c r="BS32" s="18">
        <f>IFERROR((Table3[[#This Row],[FY27]]-Table3[[#This Row],[FY27 ]])/Table3[[#This Row],[FY27]],"")</f>
        <v>0.17200946274899714</v>
      </c>
      <c r="BY32"/>
    </row>
    <row r="33" spans="2:77">
      <c r="B33" s="8" t="b">
        <v>0</v>
      </c>
      <c r="C33" s="21"/>
      <c r="D33" s="23"/>
      <c r="E33" s="21"/>
      <c r="F33" s="23"/>
      <c r="G33" s="14">
        <v>5057557</v>
      </c>
      <c r="H33" s="14" t="s">
        <v>127</v>
      </c>
      <c r="I33" s="14" t="str">
        <f>_xlfn.XLOOKUP(Table3[[#This Row],[Project ID]],[1]Sheet2!H:H,[1]Sheet2!C:C)</f>
        <v>Jeff_Equity Swaps PM Ext July 2026</v>
      </c>
      <c r="J33" s="14" t="s">
        <v>128</v>
      </c>
      <c r="K33" s="14" t="str">
        <f>_xlfn.XLOOKUP(Table3[[#This Row],[Project ID]],[1]Sheet2!H:H,[1]Sheet2!AK:AK)</f>
        <v>Sri Nonabur Srinivasamurthy</v>
      </c>
      <c r="L33" s="14" t="s">
        <v>98</v>
      </c>
      <c r="M33" s="14" t="s">
        <v>104</v>
      </c>
      <c r="N33" s="14" t="s">
        <v>105</v>
      </c>
      <c r="O33" s="15">
        <v>198120</v>
      </c>
      <c r="P33" s="16">
        <v>0.47</v>
      </c>
      <c r="Q33" s="16">
        <v>0.74860602360602368</v>
      </c>
      <c r="R33" s="17">
        <v>0</v>
      </c>
      <c r="S33" s="17">
        <v>0</v>
      </c>
      <c r="T33" s="17">
        <v>0</v>
      </c>
      <c r="U33" s="17">
        <v>0</v>
      </c>
      <c r="V33" s="17">
        <v>0</v>
      </c>
      <c r="W33" s="17">
        <v>0</v>
      </c>
      <c r="X33" s="17">
        <v>0</v>
      </c>
      <c r="Y33" s="17">
        <v>0</v>
      </c>
      <c r="Z33" s="17">
        <v>0</v>
      </c>
      <c r="AA33" s="17">
        <v>0</v>
      </c>
      <c r="AB33" s="17">
        <v>29640</v>
      </c>
      <c r="AC33" s="17">
        <v>34320</v>
      </c>
      <c r="AD33" s="15">
        <v>63960</v>
      </c>
      <c r="AE33" s="17">
        <v>0</v>
      </c>
      <c r="AF33" s="17">
        <v>0</v>
      </c>
      <c r="AG33" s="17">
        <v>0</v>
      </c>
      <c r="AH33" s="17">
        <v>0</v>
      </c>
      <c r="AI33" s="17">
        <v>0</v>
      </c>
      <c r="AJ33" s="17">
        <v>0</v>
      </c>
      <c r="AK33" s="17">
        <v>0</v>
      </c>
      <c r="AL33" s="17">
        <v>0</v>
      </c>
      <c r="AM33" s="17">
        <v>0</v>
      </c>
      <c r="AN33" s="17">
        <v>0</v>
      </c>
      <c r="AO33" s="17">
        <v>16471.333333333332</v>
      </c>
      <c r="AP33" s="17">
        <v>16471.333333333332</v>
      </c>
      <c r="AQ33" s="15">
        <v>32942.666666666664</v>
      </c>
      <c r="AR33" s="16">
        <f>IFERROR((Table3[[#This Row],[FY26]]-Table3[[#This Row],[FY26 ]])/Table3[[#This Row],[FY26]],"")</f>
        <v>0.48494892641234111</v>
      </c>
      <c r="AS33" s="17">
        <v>34320</v>
      </c>
      <c r="AT33" s="17">
        <v>31200</v>
      </c>
      <c r="AU33" s="17">
        <v>34320</v>
      </c>
      <c r="AV33" s="17">
        <v>34320</v>
      </c>
      <c r="AW33" s="17">
        <v>0</v>
      </c>
      <c r="AX33" s="17">
        <v>0</v>
      </c>
      <c r="AY33" s="17">
        <v>0</v>
      </c>
      <c r="AZ33" s="17">
        <v>0</v>
      </c>
      <c r="BA33" s="17">
        <v>0</v>
      </c>
      <c r="BB33" s="17">
        <v>0</v>
      </c>
      <c r="BC33" s="17">
        <v>0</v>
      </c>
      <c r="BD33" s="17">
        <v>0</v>
      </c>
      <c r="BE33" s="15">
        <v>134160</v>
      </c>
      <c r="BF33" s="17">
        <v>0</v>
      </c>
      <c r="BG33" s="17">
        <v>0</v>
      </c>
      <c r="BH33" s="17">
        <v>0</v>
      </c>
      <c r="BI33" s="17">
        <v>0</v>
      </c>
      <c r="BJ33" s="17">
        <v>0</v>
      </c>
      <c r="BK33" s="17">
        <v>0</v>
      </c>
      <c r="BL33" s="17">
        <v>0</v>
      </c>
      <c r="BM33" s="17">
        <v>0</v>
      </c>
      <c r="BN33" s="17">
        <v>0</v>
      </c>
      <c r="BO33" s="17">
        <v>0</v>
      </c>
      <c r="BP33" s="17">
        <v>0</v>
      </c>
      <c r="BQ33" s="14">
        <v>0</v>
      </c>
      <c r="BR33" s="15">
        <v>0</v>
      </c>
      <c r="BS33" s="18">
        <f>IFERROR((Table3[[#This Row],[FY27]]-Table3[[#This Row],[FY27 ]])/Table3[[#This Row],[FY27]],"")</f>
        <v>1</v>
      </c>
      <c r="BY33"/>
    </row>
    <row r="34" spans="2:77" ht="15.95">
      <c r="B34" s="8" t="b">
        <v>0</v>
      </c>
      <c r="C34" s="21" t="s">
        <v>110</v>
      </c>
      <c r="D34" s="23" t="s">
        <v>134</v>
      </c>
      <c r="E34" s="21"/>
      <c r="F34" s="23"/>
      <c r="G34" s="14">
        <v>5056877</v>
      </c>
      <c r="H34" s="14" t="s">
        <v>127</v>
      </c>
      <c r="I34" s="14" t="str">
        <f>_xlfn.XLOOKUP(Table3[[#This Row],[Project ID]],[1]Sheet2!H:H,[1]Sheet2!C:C)</f>
        <v>Jeff_Transcend SaaS Conversion</v>
      </c>
      <c r="J34" s="14" t="s">
        <v>128</v>
      </c>
      <c r="K34" s="14" t="str">
        <f>_xlfn.XLOOKUP(Table3[[#This Row],[Project ID]],[1]Sheet2!H:H,[1]Sheet2!AK:AK)</f>
        <v>Matthew Rodgers</v>
      </c>
      <c r="L34" s="14" t="s">
        <v>98</v>
      </c>
      <c r="M34" s="14" t="s">
        <v>135</v>
      </c>
      <c r="N34" s="14" t="s">
        <v>105</v>
      </c>
      <c r="O34" s="15">
        <v>280968</v>
      </c>
      <c r="P34" s="16">
        <v>0.44</v>
      </c>
      <c r="Q34" s="16">
        <v>0.65131737233621345</v>
      </c>
      <c r="R34" s="17">
        <v>0</v>
      </c>
      <c r="S34" s="17">
        <v>0</v>
      </c>
      <c r="T34" s="17">
        <v>0</v>
      </c>
      <c r="U34" s="17">
        <v>0</v>
      </c>
      <c r="V34" s="17">
        <v>0</v>
      </c>
      <c r="W34" s="17">
        <v>0</v>
      </c>
      <c r="X34" s="17">
        <v>0</v>
      </c>
      <c r="Y34" s="17">
        <v>0</v>
      </c>
      <c r="Z34" s="17">
        <v>19872</v>
      </c>
      <c r="AA34" s="17">
        <v>44528</v>
      </c>
      <c r="AB34" s="17">
        <v>40480</v>
      </c>
      <c r="AC34" s="17">
        <v>44528.000000000029</v>
      </c>
      <c r="AD34" s="15">
        <v>149408.00000000003</v>
      </c>
      <c r="AE34" s="17">
        <v>0</v>
      </c>
      <c r="AF34" s="17">
        <v>0</v>
      </c>
      <c r="AG34" s="17">
        <v>0</v>
      </c>
      <c r="AH34" s="17">
        <v>0</v>
      </c>
      <c r="AI34" s="17">
        <v>0</v>
      </c>
      <c r="AJ34" s="17">
        <v>0</v>
      </c>
      <c r="AK34" s="17">
        <v>0</v>
      </c>
      <c r="AL34" s="17">
        <v>0</v>
      </c>
      <c r="AM34" s="17">
        <v>0</v>
      </c>
      <c r="AN34" s="17">
        <v>1058.6239023930657</v>
      </c>
      <c r="AO34" s="17">
        <v>16746.693905881908</v>
      </c>
      <c r="AP34" s="17">
        <v>23314.703489179243</v>
      </c>
      <c r="AQ34" s="15">
        <v>41120.021297454216</v>
      </c>
      <c r="AR34" s="16">
        <f>IFERROR((Table3[[#This Row],[FY26]]-Table3[[#This Row],[FY26 ]])/Table3[[#This Row],[FY26]],"")</f>
        <v>0.72478032436379436</v>
      </c>
      <c r="AS34" s="17">
        <v>44527.999999999978</v>
      </c>
      <c r="AT34" s="17">
        <v>42504.000000000044</v>
      </c>
      <c r="AU34" s="17">
        <v>44528</v>
      </c>
      <c r="AV34" s="17">
        <v>0</v>
      </c>
      <c r="AW34" s="17">
        <v>0</v>
      </c>
      <c r="AX34" s="17">
        <v>0</v>
      </c>
      <c r="AY34" s="17">
        <v>0</v>
      </c>
      <c r="AZ34" s="17">
        <v>0</v>
      </c>
      <c r="BA34" s="17">
        <v>0</v>
      </c>
      <c r="BB34" s="17">
        <v>0</v>
      </c>
      <c r="BC34" s="17">
        <v>0</v>
      </c>
      <c r="BD34" s="17">
        <v>0</v>
      </c>
      <c r="BE34" s="15">
        <v>131560.00000000003</v>
      </c>
      <c r="BF34" s="17">
        <v>23314.703489179243</v>
      </c>
      <c r="BG34" s="17">
        <v>21195.184990162947</v>
      </c>
      <c r="BH34" s="17">
        <v>23314.703489179243</v>
      </c>
      <c r="BI34" s="17">
        <v>0</v>
      </c>
      <c r="BJ34" s="17">
        <v>0</v>
      </c>
      <c r="BK34" s="17">
        <v>0</v>
      </c>
      <c r="BL34" s="17">
        <v>0</v>
      </c>
      <c r="BM34" s="17">
        <v>0</v>
      </c>
      <c r="BN34" s="17">
        <v>0</v>
      </c>
      <c r="BO34" s="17">
        <v>0</v>
      </c>
      <c r="BP34" s="17">
        <v>0</v>
      </c>
      <c r="BQ34" s="14">
        <v>0</v>
      </c>
      <c r="BR34" s="15">
        <v>67824.591968521432</v>
      </c>
      <c r="BS34" s="18">
        <f>IFERROR((Table3[[#This Row],[FY27]]-Table3[[#This Row],[FY27 ]])/Table3[[#This Row],[FY27]],"")</f>
        <v>0.48445886311552588</v>
      </c>
      <c r="BY34"/>
    </row>
    <row r="35" spans="2:77">
      <c r="B35" s="8" t="b">
        <v>0</v>
      </c>
      <c r="C35" s="21"/>
      <c r="D35" s="23"/>
      <c r="E35" s="21"/>
      <c r="F35" s="23"/>
      <c r="G35" s="14">
        <v>5057559</v>
      </c>
      <c r="H35" s="14" t="s">
        <v>127</v>
      </c>
      <c r="I35" s="14" t="str">
        <f>_xlfn.XLOOKUP(Table3[[#This Row],[Project ID]],[1]Sheet2!H:H,[1]Sheet2!C:C)</f>
        <v>Jefferies New Business Support</v>
      </c>
      <c r="J35" s="14" t="s">
        <v>128</v>
      </c>
      <c r="K35" s="14" t="str">
        <f>_xlfn.XLOOKUP(Table3[[#This Row],[Project ID]],[1]Sheet2!H:H,[1]Sheet2!AK:AK)</f>
        <v>Julia Simmons</v>
      </c>
      <c r="L35" s="14" t="s">
        <v>98</v>
      </c>
      <c r="M35" s="14" t="s">
        <v>90</v>
      </c>
      <c r="N35" s="14" t="s">
        <v>105</v>
      </c>
      <c r="O35" s="15">
        <v>187200</v>
      </c>
      <c r="P35" s="16">
        <v>0.46</v>
      </c>
      <c r="Q35" s="16">
        <v>0.47871324517550923</v>
      </c>
      <c r="R35" s="17">
        <v>0</v>
      </c>
      <c r="S35" s="17">
        <v>0</v>
      </c>
      <c r="T35" s="17">
        <v>0</v>
      </c>
      <c r="U35" s="17">
        <v>0</v>
      </c>
      <c r="V35" s="17">
        <v>0</v>
      </c>
      <c r="W35" s="17">
        <v>0</v>
      </c>
      <c r="X35" s="17">
        <v>0</v>
      </c>
      <c r="Y35" s="17">
        <v>0</v>
      </c>
      <c r="Z35" s="17">
        <v>0</v>
      </c>
      <c r="AA35" s="17">
        <v>0</v>
      </c>
      <c r="AB35" s="17">
        <v>28080</v>
      </c>
      <c r="AC35" s="17">
        <v>32760</v>
      </c>
      <c r="AD35" s="15">
        <v>60840</v>
      </c>
      <c r="AE35" s="17">
        <v>0</v>
      </c>
      <c r="AF35" s="17">
        <v>0</v>
      </c>
      <c r="AG35" s="17">
        <v>0</v>
      </c>
      <c r="AH35" s="17">
        <v>0</v>
      </c>
      <c r="AI35" s="17">
        <v>0</v>
      </c>
      <c r="AJ35" s="17">
        <v>0</v>
      </c>
      <c r="AK35" s="17">
        <v>0</v>
      </c>
      <c r="AL35" s="17">
        <v>0</v>
      </c>
      <c r="AM35" s="17">
        <v>0</v>
      </c>
      <c r="AN35" s="17">
        <v>0</v>
      </c>
      <c r="AO35" s="17">
        <v>14824.199999999999</v>
      </c>
      <c r="AP35" s="17">
        <v>16471.333333333332</v>
      </c>
      <c r="AQ35" s="15">
        <v>31295.533333333333</v>
      </c>
      <c r="AR35" s="16">
        <f>IFERROR((Table3[[#This Row],[FY26]]-Table3[[#This Row],[FY26 ]])/Table3[[#This Row],[FY26]],"")</f>
        <v>0.485609248301556</v>
      </c>
      <c r="AS35" s="17">
        <v>32760</v>
      </c>
      <c r="AT35" s="17">
        <v>29639.999999999985</v>
      </c>
      <c r="AU35" s="17">
        <v>32759.999999999985</v>
      </c>
      <c r="AV35" s="17">
        <v>31199.999999999971</v>
      </c>
      <c r="AW35" s="17">
        <v>0</v>
      </c>
      <c r="AX35" s="17">
        <v>0</v>
      </c>
      <c r="AY35" s="17">
        <v>0</v>
      </c>
      <c r="AZ35" s="17">
        <v>0</v>
      </c>
      <c r="BA35" s="17">
        <v>0</v>
      </c>
      <c r="BB35" s="17">
        <v>0</v>
      </c>
      <c r="BC35" s="17">
        <v>0</v>
      </c>
      <c r="BD35" s="17">
        <v>0</v>
      </c>
      <c r="BE35" s="15">
        <v>126359.99999999994</v>
      </c>
      <c r="BF35" s="17">
        <v>14000.633333333331</v>
      </c>
      <c r="BG35" s="17">
        <v>16471.333333333332</v>
      </c>
      <c r="BH35" s="17">
        <v>18118.466666666667</v>
      </c>
      <c r="BI35" s="17">
        <v>18118.466666666667</v>
      </c>
      <c r="BJ35" s="17">
        <v>0</v>
      </c>
      <c r="BK35" s="17">
        <v>0</v>
      </c>
      <c r="BL35" s="17">
        <v>0</v>
      </c>
      <c r="BM35" s="17">
        <v>0</v>
      </c>
      <c r="BN35" s="17">
        <v>0</v>
      </c>
      <c r="BO35" s="17">
        <v>0</v>
      </c>
      <c r="BP35" s="17">
        <v>0</v>
      </c>
      <c r="BQ35" s="14">
        <v>0</v>
      </c>
      <c r="BR35" s="15">
        <v>66708.899999999994</v>
      </c>
      <c r="BS35" s="18">
        <f>IFERROR((Table3[[#This Row],[FY27]]-Table3[[#This Row],[FY27 ]])/Table3[[#This Row],[FY27]],"")</f>
        <v>0.47207264957264938</v>
      </c>
      <c r="BY35"/>
    </row>
    <row r="36" spans="2:77" ht="15.95">
      <c r="B36" s="8" t="b">
        <v>1</v>
      </c>
      <c r="C36" s="21" t="s">
        <v>110</v>
      </c>
      <c r="D36" s="23" t="s">
        <v>136</v>
      </c>
      <c r="E36" s="21" t="s">
        <v>112</v>
      </c>
      <c r="F36" s="23" t="s">
        <v>126</v>
      </c>
      <c r="G36" s="14">
        <v>5057596</v>
      </c>
      <c r="H36" s="14" t="s">
        <v>127</v>
      </c>
      <c r="I36" s="14" t="str">
        <f>_xlfn.XLOOKUP(Table3[[#This Row],[Project ID]],[1]Sheet2!H:H,[1]Sheet2!C:C)</f>
        <v>Jeff_T+1 Tech Impact Assessment - Phase 1</v>
      </c>
      <c r="J36" s="14" t="s">
        <v>128</v>
      </c>
      <c r="K36" s="14" t="str">
        <f>_xlfn.XLOOKUP(Table3[[#This Row],[Project ID]],[1]Sheet2!H:H,[1]Sheet2!AK:AK)</f>
        <v>Conor Dowling</v>
      </c>
      <c r="L36" s="14" t="s">
        <v>98</v>
      </c>
      <c r="M36" s="14" t="s">
        <v>129</v>
      </c>
      <c r="N36" s="14" t="s">
        <v>105</v>
      </c>
      <c r="O36" s="15">
        <v>174018</v>
      </c>
      <c r="P36" s="16">
        <v>0.56000000000000005</v>
      </c>
      <c r="Q36" s="16">
        <v>0.46245074559769517</v>
      </c>
      <c r="R36" s="17">
        <v>0</v>
      </c>
      <c r="S36" s="17">
        <v>0</v>
      </c>
      <c r="T36" s="17">
        <v>0</v>
      </c>
      <c r="U36" s="17">
        <v>0</v>
      </c>
      <c r="V36" s="17">
        <v>0</v>
      </c>
      <c r="W36" s="17">
        <v>0</v>
      </c>
      <c r="X36" s="17">
        <v>0</v>
      </c>
      <c r="Y36" s="17">
        <v>0</v>
      </c>
      <c r="Z36" s="17">
        <v>0</v>
      </c>
      <c r="AA36" s="17">
        <v>0</v>
      </c>
      <c r="AB36" s="17">
        <v>24743</v>
      </c>
      <c r="AC36" s="17">
        <v>81528.999999999985</v>
      </c>
      <c r="AD36" s="15">
        <v>106271.99999999999</v>
      </c>
      <c r="AE36" s="17">
        <v>0</v>
      </c>
      <c r="AF36" s="17">
        <v>0</v>
      </c>
      <c r="AG36" s="17">
        <v>0</v>
      </c>
      <c r="AH36" s="17">
        <v>0</v>
      </c>
      <c r="AI36" s="17">
        <v>0</v>
      </c>
      <c r="AJ36" s="17">
        <v>0</v>
      </c>
      <c r="AK36" s="17">
        <v>0</v>
      </c>
      <c r="AL36" s="17">
        <v>0</v>
      </c>
      <c r="AM36" s="17">
        <v>0</v>
      </c>
      <c r="AN36" s="17">
        <v>0</v>
      </c>
      <c r="AO36" s="17">
        <v>25274.343789596507</v>
      </c>
      <c r="AP36" s="17">
        <v>33237.318168556158</v>
      </c>
      <c r="AQ36" s="15">
        <v>58511.661958152661</v>
      </c>
      <c r="AR36" s="16">
        <f>IFERROR((Table3[[#This Row],[FY26]]-Table3[[#This Row],[FY26 ]])/Table3[[#This Row],[FY26]],"")</f>
        <v>0.44941600837329992</v>
      </c>
      <c r="AS36" s="17">
        <v>54463</v>
      </c>
      <c r="AT36" s="17">
        <v>13283</v>
      </c>
      <c r="AU36" s="17">
        <v>0</v>
      </c>
      <c r="AV36" s="17">
        <v>0</v>
      </c>
      <c r="AW36" s="17">
        <v>0</v>
      </c>
      <c r="AX36" s="17">
        <v>0</v>
      </c>
      <c r="AY36" s="17">
        <v>0</v>
      </c>
      <c r="AZ36" s="17">
        <v>0</v>
      </c>
      <c r="BA36" s="17">
        <v>0</v>
      </c>
      <c r="BB36" s="17">
        <v>0</v>
      </c>
      <c r="BC36" s="17">
        <v>0</v>
      </c>
      <c r="BD36" s="17">
        <v>0</v>
      </c>
      <c r="BE36" s="15">
        <v>67746</v>
      </c>
      <c r="BF36" s="17">
        <v>31175.656600116683</v>
      </c>
      <c r="BG36" s="17">
        <v>2470.6999999999998</v>
      </c>
      <c r="BH36" s="17">
        <v>0</v>
      </c>
      <c r="BI36" s="17">
        <v>0</v>
      </c>
      <c r="BJ36" s="17">
        <v>0</v>
      </c>
      <c r="BK36" s="17">
        <v>0</v>
      </c>
      <c r="BL36" s="17">
        <v>0</v>
      </c>
      <c r="BM36" s="17">
        <v>0</v>
      </c>
      <c r="BN36" s="17">
        <v>0</v>
      </c>
      <c r="BO36" s="17">
        <v>0</v>
      </c>
      <c r="BP36" s="17">
        <v>0</v>
      </c>
      <c r="BQ36" s="14">
        <v>0</v>
      </c>
      <c r="BR36" s="15">
        <v>33646.356600116684</v>
      </c>
      <c r="BS36" s="18">
        <f>IFERROR((Table3[[#This Row],[FY27]]-Table3[[#This Row],[FY27 ]])/Table3[[#This Row],[FY27]],"")</f>
        <v>0.50334548755473851</v>
      </c>
      <c r="BY36"/>
    </row>
    <row r="37" spans="2:77">
      <c r="B37" s="8" t="b">
        <v>0</v>
      </c>
      <c r="C37" s="21"/>
      <c r="D37" s="23"/>
      <c r="E37" s="21"/>
      <c r="F37" s="23"/>
      <c r="G37" s="14">
        <v>5057555</v>
      </c>
      <c r="H37" s="14" t="s">
        <v>127</v>
      </c>
      <c r="I37" s="14" t="str">
        <f>_xlfn.XLOOKUP(Table3[[#This Row],[Project ID]],[1]Sheet2!H:H,[1]Sheet2!C:C)</f>
        <v>Jefferies ISO 20022 - 2026 support</v>
      </c>
      <c r="J37" s="14" t="s">
        <v>128</v>
      </c>
      <c r="K37" s="14" t="str">
        <f>_xlfn.XLOOKUP(Table3[[#This Row],[Project ID]],[1]Sheet2!H:H,[1]Sheet2!AK:AK)</f>
        <v>Julia Simmons</v>
      </c>
      <c r="L37" s="14" t="s">
        <v>84</v>
      </c>
      <c r="M37" s="14" t="s">
        <v>90</v>
      </c>
      <c r="N37" s="14" t="s">
        <v>105</v>
      </c>
      <c r="O37" s="15">
        <v>98095</v>
      </c>
      <c r="P37" s="16">
        <v>0.11</v>
      </c>
      <c r="Q37" s="16">
        <v>0.11799448746554667</v>
      </c>
      <c r="R37" s="17">
        <v>0</v>
      </c>
      <c r="S37" s="17">
        <v>0</v>
      </c>
      <c r="T37" s="17">
        <v>0</v>
      </c>
      <c r="U37" s="17">
        <v>0</v>
      </c>
      <c r="V37" s="17">
        <v>0</v>
      </c>
      <c r="W37" s="17">
        <v>0</v>
      </c>
      <c r="X37" s="17">
        <v>0</v>
      </c>
      <c r="Y37" s="17">
        <v>0</v>
      </c>
      <c r="Z37" s="17">
        <v>0</v>
      </c>
      <c r="AA37" s="17">
        <v>0</v>
      </c>
      <c r="AB37" s="17">
        <v>18095</v>
      </c>
      <c r="AC37" s="17">
        <v>20952</v>
      </c>
      <c r="AD37" s="15">
        <v>39047</v>
      </c>
      <c r="AE37" s="17">
        <v>0</v>
      </c>
      <c r="AF37" s="17">
        <v>0</v>
      </c>
      <c r="AG37" s="17">
        <v>0</v>
      </c>
      <c r="AH37" s="17">
        <v>0</v>
      </c>
      <c r="AI37" s="17">
        <v>0</v>
      </c>
      <c r="AJ37" s="17">
        <v>0</v>
      </c>
      <c r="AK37" s="17">
        <v>0</v>
      </c>
      <c r="AL37" s="17">
        <v>0</v>
      </c>
      <c r="AM37" s="17">
        <v>0</v>
      </c>
      <c r="AN37" s="17">
        <v>0</v>
      </c>
      <c r="AO37" s="17">
        <v>15960</v>
      </c>
      <c r="AP37" s="17">
        <v>18480</v>
      </c>
      <c r="AQ37" s="15">
        <v>34440</v>
      </c>
      <c r="AR37" s="16">
        <f>IFERROR((Table3[[#This Row],[FY26]]-Table3[[#This Row],[FY26 ]])/Table3[[#This Row],[FY26]],"")</f>
        <v>0.11798601685148667</v>
      </c>
      <c r="AS37" s="17">
        <v>20952</v>
      </c>
      <c r="AT37" s="17">
        <v>19048</v>
      </c>
      <c r="AU37" s="17">
        <v>19048</v>
      </c>
      <c r="AV37" s="17">
        <v>0</v>
      </c>
      <c r="AW37" s="17">
        <v>0</v>
      </c>
      <c r="AX37" s="17">
        <v>0</v>
      </c>
      <c r="AY37" s="17">
        <v>0</v>
      </c>
      <c r="AZ37" s="17">
        <v>0</v>
      </c>
      <c r="BA37" s="17">
        <v>0</v>
      </c>
      <c r="BB37" s="17">
        <v>0</v>
      </c>
      <c r="BC37" s="17">
        <v>0</v>
      </c>
      <c r="BD37" s="17">
        <v>0</v>
      </c>
      <c r="BE37" s="15">
        <v>59048</v>
      </c>
      <c r="BF37" s="17">
        <v>18480</v>
      </c>
      <c r="BG37" s="17">
        <v>16800</v>
      </c>
      <c r="BH37" s="17">
        <v>16800</v>
      </c>
      <c r="BI37" s="17">
        <v>0</v>
      </c>
      <c r="BJ37" s="17">
        <v>0</v>
      </c>
      <c r="BK37" s="17">
        <v>0</v>
      </c>
      <c r="BL37" s="17">
        <v>0</v>
      </c>
      <c r="BM37" s="17">
        <v>0</v>
      </c>
      <c r="BN37" s="17">
        <v>0</v>
      </c>
      <c r="BO37" s="17">
        <v>0</v>
      </c>
      <c r="BP37" s="17">
        <v>0</v>
      </c>
      <c r="BQ37" s="14">
        <v>0</v>
      </c>
      <c r="BR37" s="15">
        <v>52080</v>
      </c>
      <c r="BS37" s="18">
        <f>IFERROR((Table3[[#This Row],[FY27]]-Table3[[#This Row],[FY27 ]])/Table3[[#This Row],[FY27]],"")</f>
        <v>0.11800569028586913</v>
      </c>
      <c r="BY37"/>
    </row>
    <row r="38" spans="2:77" ht="15.95">
      <c r="B38" s="8" t="b">
        <v>0</v>
      </c>
      <c r="C38" s="21" t="s">
        <v>112</v>
      </c>
      <c r="D38" s="23" t="s">
        <v>137</v>
      </c>
      <c r="E38" s="21"/>
      <c r="F38" s="23"/>
      <c r="G38" s="14">
        <v>5056888</v>
      </c>
      <c r="H38" s="14" t="s">
        <v>127</v>
      </c>
      <c r="I38" s="14" t="str">
        <f>_xlfn.XLOOKUP(Table3[[#This Row],[Project ID]],[1]Sheet2!H:H,[1]Sheet2!C:C)</f>
        <v>Jeff_HR IT PM 2026 Extension</v>
      </c>
      <c r="J38" s="14" t="s">
        <v>128</v>
      </c>
      <c r="K38" s="14" t="str">
        <f>_xlfn.XLOOKUP(Table3[[#This Row],[Project ID]],[1]Sheet2!H:H,[1]Sheet2!AK:AK)</f>
        <v>Conor Dowling</v>
      </c>
      <c r="L38" s="14" t="s">
        <v>98</v>
      </c>
      <c r="M38" s="14" t="s">
        <v>104</v>
      </c>
      <c r="N38" s="14" t="s">
        <v>105</v>
      </c>
      <c r="O38" s="15">
        <v>143840</v>
      </c>
      <c r="P38" s="16">
        <v>0.45</v>
      </c>
      <c r="Q38" s="16">
        <v>0.49120664583634488</v>
      </c>
      <c r="R38" s="17">
        <v>0</v>
      </c>
      <c r="S38" s="17">
        <v>0</v>
      </c>
      <c r="T38" s="17">
        <v>0</v>
      </c>
      <c r="U38" s="17">
        <v>0</v>
      </c>
      <c r="V38" s="17">
        <v>0</v>
      </c>
      <c r="W38" s="17">
        <v>0</v>
      </c>
      <c r="X38" s="17">
        <v>0</v>
      </c>
      <c r="Y38" s="17">
        <v>0</v>
      </c>
      <c r="Z38" s="17">
        <v>25520</v>
      </c>
      <c r="AA38" s="17">
        <v>23200</v>
      </c>
      <c r="AB38" s="17">
        <v>22040</v>
      </c>
      <c r="AC38" s="17">
        <v>25519.999999999985</v>
      </c>
      <c r="AD38" s="15">
        <v>96279.999999999985</v>
      </c>
      <c r="AE38" s="17">
        <v>0</v>
      </c>
      <c r="AF38" s="17">
        <v>0</v>
      </c>
      <c r="AG38" s="17">
        <v>0</v>
      </c>
      <c r="AH38" s="17">
        <v>0</v>
      </c>
      <c r="AI38" s="17">
        <v>0</v>
      </c>
      <c r="AJ38" s="17">
        <v>0</v>
      </c>
      <c r="AK38" s="17">
        <v>0</v>
      </c>
      <c r="AL38" s="17">
        <v>0</v>
      </c>
      <c r="AM38" s="17">
        <v>8908.3356397128937</v>
      </c>
      <c r="AN38" s="17">
        <v>12726.193771018421</v>
      </c>
      <c r="AO38" s="17">
        <v>12089.884082467499</v>
      </c>
      <c r="AP38" s="17">
        <v>13998.813148120262</v>
      </c>
      <c r="AQ38" s="15">
        <v>47723.226641319081</v>
      </c>
      <c r="AR38" s="16">
        <f>IFERROR((Table3[[#This Row],[FY26]]-Table3[[#This Row],[FY26 ]])/Table3[[#This Row],[FY26]],"")</f>
        <v>0.50432876359244816</v>
      </c>
      <c r="AS38" s="17">
        <v>25520.000000000015</v>
      </c>
      <c r="AT38" s="17">
        <v>22039.999999999971</v>
      </c>
      <c r="AU38" s="17">
        <v>0</v>
      </c>
      <c r="AV38" s="17">
        <v>0</v>
      </c>
      <c r="AW38" s="17">
        <v>0</v>
      </c>
      <c r="AX38" s="17">
        <v>0</v>
      </c>
      <c r="AY38" s="17">
        <v>0</v>
      </c>
      <c r="AZ38" s="17">
        <v>0</v>
      </c>
      <c r="BA38" s="17">
        <v>0</v>
      </c>
      <c r="BB38" s="17">
        <v>0</v>
      </c>
      <c r="BC38" s="17">
        <v>0</v>
      </c>
      <c r="BD38" s="17">
        <v>0</v>
      </c>
      <c r="BE38" s="15">
        <v>47559.999999999985</v>
      </c>
      <c r="BF38" s="17">
        <v>13998.813148120262</v>
      </c>
      <c r="BG38" s="17">
        <v>12726.193771018421</v>
      </c>
      <c r="BH38" s="17">
        <v>0</v>
      </c>
      <c r="BI38" s="17">
        <v>0</v>
      </c>
      <c r="BJ38" s="17">
        <v>0</v>
      </c>
      <c r="BK38" s="17">
        <v>0</v>
      </c>
      <c r="BL38" s="17">
        <v>0</v>
      </c>
      <c r="BM38" s="17">
        <v>0</v>
      </c>
      <c r="BN38" s="17">
        <v>0</v>
      </c>
      <c r="BO38" s="17">
        <v>0</v>
      </c>
      <c r="BP38" s="17">
        <v>0</v>
      </c>
      <c r="BQ38" s="14">
        <v>0</v>
      </c>
      <c r="BR38" s="15">
        <v>26725.006919138683</v>
      </c>
      <c r="BS38" s="18">
        <f>IFERROR((Table3[[#This Row],[FY27]]-Table3[[#This Row],[FY27 ]])/Table3[[#This Row],[FY27]],"")</f>
        <v>0.43807807150675587</v>
      </c>
      <c r="BY38"/>
    </row>
    <row r="39" spans="2:77" ht="15.95">
      <c r="B39" s="8" t="b">
        <v>0</v>
      </c>
      <c r="C39" s="24" t="s">
        <v>110</v>
      </c>
      <c r="D39" s="23" t="s">
        <v>134</v>
      </c>
      <c r="E39" s="21"/>
      <c r="F39" s="23"/>
      <c r="G39" s="14">
        <v>5056756</v>
      </c>
      <c r="H39" s="14" t="s">
        <v>127</v>
      </c>
      <c r="I39" s="14" t="str">
        <f>_xlfn.XLOOKUP(Table3[[#This Row],[Project ID]],[1]Sheet2!H:H,[1]Sheet2!C:C)</f>
        <v>Jeff_Risk Mgmt PM</v>
      </c>
      <c r="J39" s="14" t="s">
        <v>128</v>
      </c>
      <c r="K39" s="14" t="str">
        <f>_xlfn.XLOOKUP(Table3[[#This Row],[Project ID]],[1]Sheet2!H:H,[1]Sheet2!AK:AK)</f>
        <v>Matthew Rodgers</v>
      </c>
      <c r="L39" s="14" t="s">
        <v>98</v>
      </c>
      <c r="M39" s="14" t="s">
        <v>89</v>
      </c>
      <c r="N39" s="14" t="s">
        <v>105</v>
      </c>
      <c r="O39" s="15">
        <v>104160</v>
      </c>
      <c r="P39" s="16">
        <v>0.42</v>
      </c>
      <c r="Q39" s="16">
        <v>0.48383540512110007</v>
      </c>
      <c r="R39" s="17">
        <v>0</v>
      </c>
      <c r="S39" s="17">
        <v>0</v>
      </c>
      <c r="T39" s="17">
        <v>0</v>
      </c>
      <c r="U39" s="17">
        <v>0</v>
      </c>
      <c r="V39" s="17">
        <v>0</v>
      </c>
      <c r="W39" s="17">
        <v>0</v>
      </c>
      <c r="X39" s="17">
        <v>0</v>
      </c>
      <c r="Y39" s="17">
        <v>0</v>
      </c>
      <c r="Z39" s="17">
        <v>21840</v>
      </c>
      <c r="AA39" s="17">
        <v>15960</v>
      </c>
      <c r="AB39" s="17">
        <v>15120</v>
      </c>
      <c r="AC39" s="17">
        <v>17639.999999999996</v>
      </c>
      <c r="AD39" s="15">
        <v>70560</v>
      </c>
      <c r="AE39" s="17">
        <v>0</v>
      </c>
      <c r="AF39" s="17">
        <v>0</v>
      </c>
      <c r="AG39" s="17">
        <v>0</v>
      </c>
      <c r="AH39" s="17">
        <v>0</v>
      </c>
      <c r="AI39" s="17">
        <v>0</v>
      </c>
      <c r="AJ39" s="17">
        <v>0</v>
      </c>
      <c r="AK39" s="17">
        <v>0</v>
      </c>
      <c r="AL39" s="17">
        <v>3878.89367816092</v>
      </c>
      <c r="AM39" s="17">
        <v>7757.78735632184</v>
      </c>
      <c r="AN39" s="17">
        <v>5818.3405172413804</v>
      </c>
      <c r="AO39" s="17">
        <v>8727.5107758620707</v>
      </c>
      <c r="AP39" s="17">
        <v>8727.5107758620707</v>
      </c>
      <c r="AQ39" s="15">
        <v>34910.043103448283</v>
      </c>
      <c r="AR39" s="16">
        <f>IFERROR((Table3[[#This Row],[FY26]]-Table3[[#This Row],[FY26 ]])/Table3[[#This Row],[FY26]],"")</f>
        <v>0.50524315329580094</v>
      </c>
      <c r="AS39" s="17">
        <v>17639.999999999996</v>
      </c>
      <c r="AT39" s="17">
        <v>15959.999999999993</v>
      </c>
      <c r="AU39" s="17">
        <v>0</v>
      </c>
      <c r="AV39" s="17">
        <v>0</v>
      </c>
      <c r="AW39" s="17">
        <v>0</v>
      </c>
      <c r="AX39" s="17">
        <v>0</v>
      </c>
      <c r="AY39" s="17">
        <v>0</v>
      </c>
      <c r="AZ39" s="17">
        <v>0</v>
      </c>
      <c r="BA39" s="17">
        <v>0</v>
      </c>
      <c r="BB39" s="17">
        <v>0</v>
      </c>
      <c r="BC39" s="17">
        <v>0</v>
      </c>
      <c r="BD39" s="17">
        <v>0</v>
      </c>
      <c r="BE39" s="15">
        <v>33599.999999999985</v>
      </c>
      <c r="BF39" s="17">
        <v>10666.95761494253</v>
      </c>
      <c r="BG39" s="17">
        <v>9697.2341954022995</v>
      </c>
      <c r="BH39" s="17">
        <v>0</v>
      </c>
      <c r="BI39" s="17">
        <v>0</v>
      </c>
      <c r="BJ39" s="17">
        <v>0</v>
      </c>
      <c r="BK39" s="17">
        <v>0</v>
      </c>
      <c r="BL39" s="17">
        <v>0</v>
      </c>
      <c r="BM39" s="17">
        <v>0</v>
      </c>
      <c r="BN39" s="17">
        <v>0</v>
      </c>
      <c r="BO39" s="17">
        <v>0</v>
      </c>
      <c r="BP39" s="17">
        <v>0</v>
      </c>
      <c r="BQ39" s="14">
        <v>0</v>
      </c>
      <c r="BR39" s="15">
        <v>20364.19181034483</v>
      </c>
      <c r="BS39" s="18">
        <f>IFERROR((Table3[[#This Row],[FY27]]-Table3[[#This Row],[FY27 ]])/Table3[[#This Row],[FY27]],"")</f>
        <v>0.393922862787356</v>
      </c>
      <c r="BY39"/>
    </row>
    <row r="40" spans="2:77" ht="15.95">
      <c r="B40" s="8" t="b">
        <v>1</v>
      </c>
      <c r="C40" s="21" t="s">
        <v>110</v>
      </c>
      <c r="D40" s="23" t="s">
        <v>134</v>
      </c>
      <c r="E40" s="21" t="s">
        <v>112</v>
      </c>
      <c r="F40" s="23" t="s">
        <v>126</v>
      </c>
      <c r="G40" s="14">
        <v>5056395</v>
      </c>
      <c r="H40" s="14" t="s">
        <v>127</v>
      </c>
      <c r="I40" s="14" t="str">
        <f>_xlfn.XLOOKUP(Table3[[#This Row],[Project ID]],[1]Sheet2!H:H,[1]Sheet2!C:C)</f>
        <v>Jeff_Transcend extension - PMO</v>
      </c>
      <c r="J40" s="14" t="s">
        <v>128</v>
      </c>
      <c r="K40" s="14" t="str">
        <f>_xlfn.XLOOKUP(Table3[[#This Row],[Project ID]],[1]Sheet2!H:H,[1]Sheet2!AK:AK)</f>
        <v>Matthew Rodgers</v>
      </c>
      <c r="L40" s="14" t="s">
        <v>98</v>
      </c>
      <c r="M40" s="14" t="s">
        <v>129</v>
      </c>
      <c r="N40" s="14" t="s">
        <v>105</v>
      </c>
      <c r="O40" s="15">
        <v>205920</v>
      </c>
      <c r="P40" s="16">
        <v>0.54</v>
      </c>
      <c r="Q40" s="16">
        <v>0.54688756737593924</v>
      </c>
      <c r="R40" s="17">
        <v>0</v>
      </c>
      <c r="S40" s="17">
        <v>0</v>
      </c>
      <c r="T40" s="17">
        <v>0</v>
      </c>
      <c r="U40" s="17">
        <v>0</v>
      </c>
      <c r="V40" s="17">
        <v>0</v>
      </c>
      <c r="W40" s="17">
        <v>0</v>
      </c>
      <c r="X40" s="17">
        <v>34320</v>
      </c>
      <c r="Y40" s="17">
        <v>29640</v>
      </c>
      <c r="Z40" s="17">
        <v>18720</v>
      </c>
      <c r="AA40" s="17">
        <v>31200</v>
      </c>
      <c r="AB40" s="17">
        <v>29640</v>
      </c>
      <c r="AC40" s="17">
        <v>32760</v>
      </c>
      <c r="AD40" s="15">
        <v>176280</v>
      </c>
      <c r="AE40" s="17">
        <v>0</v>
      </c>
      <c r="AF40" s="17">
        <v>0</v>
      </c>
      <c r="AG40" s="17">
        <v>0</v>
      </c>
      <c r="AH40" s="17">
        <v>0</v>
      </c>
      <c r="AI40" s="17">
        <v>0</v>
      </c>
      <c r="AJ40" s="17">
        <v>0</v>
      </c>
      <c r="AK40" s="17">
        <v>13744.410456263175</v>
      </c>
      <c r="AL40" s="17">
        <v>13057.189933450016</v>
      </c>
      <c r="AM40" s="17">
        <v>13057.189933450016</v>
      </c>
      <c r="AN40" s="17">
        <v>13057.189933450016</v>
      </c>
      <c r="AO40" s="17">
        <v>13057.189933450016</v>
      </c>
      <c r="AP40" s="17">
        <v>13744.410456263175</v>
      </c>
      <c r="AQ40" s="15">
        <v>79717.580646326416</v>
      </c>
      <c r="AR40" s="16">
        <f>IFERROR((Table3[[#This Row],[FY26]]-Table3[[#This Row],[FY26 ]])/Table3[[#This Row],[FY26]],"")</f>
        <v>0.54777864393960507</v>
      </c>
      <c r="AS40" s="17">
        <v>29640.000000000029</v>
      </c>
      <c r="AT40" s="17">
        <v>0</v>
      </c>
      <c r="AU40" s="17">
        <v>0</v>
      </c>
      <c r="AV40" s="17">
        <v>0</v>
      </c>
      <c r="AW40" s="17">
        <v>0</v>
      </c>
      <c r="AX40" s="17">
        <v>0</v>
      </c>
      <c r="AY40" s="17">
        <v>0</v>
      </c>
      <c r="AZ40" s="17">
        <v>0</v>
      </c>
      <c r="BA40" s="17">
        <v>0</v>
      </c>
      <c r="BB40" s="17">
        <v>0</v>
      </c>
      <c r="BC40" s="17">
        <v>0</v>
      </c>
      <c r="BD40" s="17">
        <v>0</v>
      </c>
      <c r="BE40" s="15">
        <v>29640.000000000029</v>
      </c>
      <c r="BF40" s="17">
        <v>13744.410456263175</v>
      </c>
      <c r="BG40" s="17">
        <v>0</v>
      </c>
      <c r="BH40" s="17">
        <v>0</v>
      </c>
      <c r="BI40" s="17">
        <v>0</v>
      </c>
      <c r="BJ40" s="17">
        <v>0</v>
      </c>
      <c r="BK40" s="17">
        <v>0</v>
      </c>
      <c r="BL40" s="17">
        <v>0</v>
      </c>
      <c r="BM40" s="17">
        <v>0</v>
      </c>
      <c r="BN40" s="17">
        <v>0</v>
      </c>
      <c r="BO40" s="17">
        <v>0</v>
      </c>
      <c r="BP40" s="17">
        <v>0</v>
      </c>
      <c r="BQ40" s="14">
        <v>0</v>
      </c>
      <c r="BR40" s="15">
        <v>13744.410456263175</v>
      </c>
      <c r="BS40" s="18">
        <f>IFERROR((Table3[[#This Row],[FY27]]-Table3[[#This Row],[FY27 ]])/Table3[[#This Row],[FY27]],"")</f>
        <v>0.53628844614496762</v>
      </c>
      <c r="BY40"/>
    </row>
    <row r="41" spans="2:77">
      <c r="B41" s="8" t="b">
        <v>1</v>
      </c>
      <c r="C41" s="21"/>
      <c r="D41" s="23"/>
      <c r="E41" s="21"/>
      <c r="F41" s="23"/>
      <c r="G41" s="14">
        <v>5056612</v>
      </c>
      <c r="H41" s="14" t="s">
        <v>127</v>
      </c>
      <c r="I41" s="14" t="str">
        <f>_xlfn.XLOOKUP(Table3[[#This Row],[Project ID]],[1]Sheet2!H:H,[1]Sheet2!C:C)</f>
        <v>Jefferies Infrastructure - Project Manager Uma K [Extension FY26-2H]</v>
      </c>
      <c r="J41" s="14" t="s">
        <v>128</v>
      </c>
      <c r="K41" s="14" t="str">
        <f>_xlfn.XLOOKUP(Table3[[#This Row],[Project ID]],[1]Sheet2!H:H,[1]Sheet2!AK:AK)</f>
        <v>Imran Parekh</v>
      </c>
      <c r="L41" s="14" t="s">
        <v>98</v>
      </c>
      <c r="M41" s="14" t="s">
        <v>135</v>
      </c>
      <c r="N41" s="14" t="s">
        <v>105</v>
      </c>
      <c r="O41" s="15">
        <v>130000</v>
      </c>
      <c r="P41" s="16">
        <v>0.39</v>
      </c>
      <c r="Q41" s="16">
        <v>0.38399105122135219</v>
      </c>
      <c r="R41" s="17">
        <v>0</v>
      </c>
      <c r="S41" s="17">
        <v>0</v>
      </c>
      <c r="T41" s="17">
        <v>0</v>
      </c>
      <c r="U41" s="17">
        <v>0</v>
      </c>
      <c r="V41" s="17">
        <v>0</v>
      </c>
      <c r="W41" s="17">
        <v>0</v>
      </c>
      <c r="X41" s="17">
        <v>0</v>
      </c>
      <c r="Y41" s="17">
        <v>13629</v>
      </c>
      <c r="Z41" s="17">
        <v>23065</v>
      </c>
      <c r="AA41" s="17">
        <v>20968</v>
      </c>
      <c r="AB41" s="17">
        <v>19919</v>
      </c>
      <c r="AC41" s="17">
        <v>23065</v>
      </c>
      <c r="AD41" s="15">
        <v>100646</v>
      </c>
      <c r="AE41" s="17">
        <v>0</v>
      </c>
      <c r="AF41" s="17">
        <v>0</v>
      </c>
      <c r="AG41" s="17">
        <v>0</v>
      </c>
      <c r="AH41" s="17">
        <v>0</v>
      </c>
      <c r="AI41" s="17">
        <v>0</v>
      </c>
      <c r="AJ41" s="17">
        <v>0</v>
      </c>
      <c r="AK41" s="17">
        <v>0</v>
      </c>
      <c r="AL41" s="17">
        <v>8960</v>
      </c>
      <c r="AM41" s="17">
        <v>14080</v>
      </c>
      <c r="AN41" s="17">
        <v>12800</v>
      </c>
      <c r="AO41" s="17">
        <v>12160</v>
      </c>
      <c r="AP41" s="17">
        <v>14080</v>
      </c>
      <c r="AQ41" s="15">
        <v>62080</v>
      </c>
      <c r="AR41" s="16">
        <f>IFERROR((Table3[[#This Row],[FY26]]-Table3[[#This Row],[FY26 ]])/Table3[[#This Row],[FY26]],"")</f>
        <v>0.38318462730759295</v>
      </c>
      <c r="AS41" s="17">
        <v>23065</v>
      </c>
      <c r="AT41" s="17">
        <v>6289</v>
      </c>
      <c r="AU41" s="17">
        <v>0</v>
      </c>
      <c r="AV41" s="17">
        <v>0</v>
      </c>
      <c r="AW41" s="17">
        <v>0</v>
      </c>
      <c r="AX41" s="17">
        <v>0</v>
      </c>
      <c r="AY41" s="17">
        <v>0</v>
      </c>
      <c r="AZ41" s="17">
        <v>0</v>
      </c>
      <c r="BA41" s="17">
        <v>0</v>
      </c>
      <c r="BB41" s="17">
        <v>0</v>
      </c>
      <c r="BC41" s="17">
        <v>0</v>
      </c>
      <c r="BD41" s="17">
        <v>0</v>
      </c>
      <c r="BE41" s="15">
        <v>29354</v>
      </c>
      <c r="BF41" s="17">
        <v>14080</v>
      </c>
      <c r="BG41" s="17">
        <v>3840</v>
      </c>
      <c r="BH41" s="17">
        <v>0</v>
      </c>
      <c r="BI41" s="17">
        <v>0</v>
      </c>
      <c r="BJ41" s="17">
        <v>0</v>
      </c>
      <c r="BK41" s="17">
        <v>0</v>
      </c>
      <c r="BL41" s="17">
        <v>0</v>
      </c>
      <c r="BM41" s="17">
        <v>0</v>
      </c>
      <c r="BN41" s="17">
        <v>0</v>
      </c>
      <c r="BO41" s="17">
        <v>0</v>
      </c>
      <c r="BP41" s="17">
        <v>0</v>
      </c>
      <c r="BQ41" s="14">
        <v>0</v>
      </c>
      <c r="BR41" s="15">
        <v>17920</v>
      </c>
      <c r="BS41" s="18">
        <f>IFERROR((Table3[[#This Row],[FY27]]-Table3[[#This Row],[FY27 ]])/Table3[[#This Row],[FY27]],"")</f>
        <v>0.38952101928186961</v>
      </c>
      <c r="BY41"/>
    </row>
    <row r="42" spans="2:77">
      <c r="B42" s="8" t="b">
        <v>1</v>
      </c>
      <c r="C42" s="21"/>
      <c r="D42" s="23"/>
      <c r="E42" s="21"/>
      <c r="F42" s="23"/>
      <c r="G42" s="14">
        <v>5056677</v>
      </c>
      <c r="H42" s="14" t="s">
        <v>127</v>
      </c>
      <c r="I42" s="14" t="str">
        <f>_xlfn.XLOOKUP(Table3[[#This Row],[Project ID]],[1]Sheet2!H:H,[1]Sheet2!C:C)</f>
        <v>Jefferies- Broadridge Immutability and Repave</v>
      </c>
      <c r="J42" s="14" t="s">
        <v>128</v>
      </c>
      <c r="K42" s="14" t="str">
        <f>_xlfn.XLOOKUP(Table3[[#This Row],[Project ID]],[1]Sheet2!H:H,[1]Sheet2!AK:AK)</f>
        <v>Michael Barry</v>
      </c>
      <c r="L42" s="14" t="s">
        <v>98</v>
      </c>
      <c r="M42" s="14" t="s">
        <v>101</v>
      </c>
      <c r="N42" s="14" t="s">
        <v>105</v>
      </c>
      <c r="O42" s="15">
        <v>167184</v>
      </c>
      <c r="P42" s="16">
        <v>0.51</v>
      </c>
      <c r="Q42" s="16">
        <v>0.50989634148469176</v>
      </c>
      <c r="R42" s="17">
        <v>0</v>
      </c>
      <c r="S42" s="17">
        <v>0</v>
      </c>
      <c r="T42" s="17">
        <v>0</v>
      </c>
      <c r="U42" s="17">
        <v>0</v>
      </c>
      <c r="V42" s="17">
        <v>0</v>
      </c>
      <c r="W42" s="17">
        <v>0</v>
      </c>
      <c r="X42" s="17">
        <v>0</v>
      </c>
      <c r="Y42" s="17">
        <v>25920</v>
      </c>
      <c r="Z42" s="17">
        <v>29808</v>
      </c>
      <c r="AA42" s="17">
        <v>28512</v>
      </c>
      <c r="AB42" s="17">
        <v>25920</v>
      </c>
      <c r="AC42" s="17">
        <v>28512</v>
      </c>
      <c r="AD42" s="15">
        <v>138672</v>
      </c>
      <c r="AE42" s="17">
        <v>0</v>
      </c>
      <c r="AF42" s="17">
        <v>0</v>
      </c>
      <c r="AG42" s="17">
        <v>0</v>
      </c>
      <c r="AH42" s="17">
        <v>0</v>
      </c>
      <c r="AI42" s="17">
        <v>0</v>
      </c>
      <c r="AJ42" s="17">
        <v>0</v>
      </c>
      <c r="AK42" s="17">
        <v>0</v>
      </c>
      <c r="AL42" s="17">
        <v>11644.862926323724</v>
      </c>
      <c r="AM42" s="17">
        <v>12703.486828716788</v>
      </c>
      <c r="AN42" s="17">
        <v>15879.358535895986</v>
      </c>
      <c r="AO42" s="17">
        <v>13762.110731109853</v>
      </c>
      <c r="AP42" s="17">
        <v>13973.835511588466</v>
      </c>
      <c r="AQ42" s="15">
        <v>67963.654533634821</v>
      </c>
      <c r="AR42" s="16">
        <f>IFERROR((Table3[[#This Row],[FY26]]-Table3[[#This Row],[FY26 ]])/Table3[[#This Row],[FY26]],"")</f>
        <v>0.50989634148469176</v>
      </c>
      <c r="AS42" s="17">
        <v>28512.000000000029</v>
      </c>
      <c r="AT42" s="17">
        <v>0</v>
      </c>
      <c r="AU42" s="17">
        <v>0</v>
      </c>
      <c r="AV42" s="17">
        <v>0</v>
      </c>
      <c r="AW42" s="17">
        <v>0</v>
      </c>
      <c r="AX42" s="17">
        <v>0</v>
      </c>
      <c r="AY42" s="17">
        <v>0</v>
      </c>
      <c r="AZ42" s="17">
        <v>0</v>
      </c>
      <c r="BA42" s="17">
        <v>0</v>
      </c>
      <c r="BB42" s="17">
        <v>0</v>
      </c>
      <c r="BC42" s="17">
        <v>0</v>
      </c>
      <c r="BD42" s="17">
        <v>0</v>
      </c>
      <c r="BE42" s="15">
        <v>28512.000000000029</v>
      </c>
      <c r="BF42" s="17">
        <v>13973.835511588466</v>
      </c>
      <c r="BG42" s="17">
        <v>0</v>
      </c>
      <c r="BH42" s="17">
        <v>0</v>
      </c>
      <c r="BI42" s="17">
        <v>0</v>
      </c>
      <c r="BJ42" s="17">
        <v>0</v>
      </c>
      <c r="BK42" s="17">
        <v>0</v>
      </c>
      <c r="BL42" s="17">
        <v>0</v>
      </c>
      <c r="BM42" s="17">
        <v>0</v>
      </c>
      <c r="BN42" s="17">
        <v>0</v>
      </c>
      <c r="BO42" s="17">
        <v>0</v>
      </c>
      <c r="BP42" s="17">
        <v>0</v>
      </c>
      <c r="BQ42" s="14">
        <v>0</v>
      </c>
      <c r="BR42" s="15">
        <v>13973.835511588466</v>
      </c>
      <c r="BS42" s="18">
        <f>IFERROR((Table3[[#This Row],[FY27]]-Table3[[#This Row],[FY27 ]])/Table3[[#This Row],[FY27]],"")</f>
        <v>0.50989634148469232</v>
      </c>
      <c r="BY42"/>
    </row>
    <row r="43" spans="2:77" ht="32.1">
      <c r="B43" s="8" t="b">
        <v>0</v>
      </c>
      <c r="C43" s="21" t="s">
        <v>112</v>
      </c>
      <c r="D43" s="23" t="s">
        <v>130</v>
      </c>
      <c r="E43" s="21"/>
      <c r="F43" s="23"/>
      <c r="G43" s="14">
        <v>5056924</v>
      </c>
      <c r="H43" s="14" t="s">
        <v>127</v>
      </c>
      <c r="I43" s="14" t="str">
        <f>_xlfn.XLOOKUP(Table3[[#This Row],[Project ID]],[1]Sheet2!H:H,[1]Sheet2!C:C)</f>
        <v>Jeff_IBond DevOps Extension FY26</v>
      </c>
      <c r="J43" s="14" t="s">
        <v>128</v>
      </c>
      <c r="K43" s="14" t="str">
        <f>_xlfn.XLOOKUP(Table3[[#This Row],[Project ID]],[1]Sheet2!H:H,[1]Sheet2!AK:AK)</f>
        <v>Conor Dowling</v>
      </c>
      <c r="L43" s="14" t="s">
        <v>98</v>
      </c>
      <c r="M43" s="14" t="s">
        <v>104</v>
      </c>
      <c r="N43" s="14" t="s">
        <v>105</v>
      </c>
      <c r="O43" s="15">
        <v>79112</v>
      </c>
      <c r="P43" s="16">
        <v>0.42</v>
      </c>
      <c r="Q43" s="16">
        <v>0.43808398830887585</v>
      </c>
      <c r="R43" s="17">
        <v>0</v>
      </c>
      <c r="S43" s="17">
        <v>0</v>
      </c>
      <c r="T43" s="17">
        <v>0</v>
      </c>
      <c r="U43" s="17">
        <v>0</v>
      </c>
      <c r="V43" s="17">
        <v>0</v>
      </c>
      <c r="W43" s="17">
        <v>0</v>
      </c>
      <c r="X43" s="17">
        <v>0</v>
      </c>
      <c r="Y43" s="17">
        <v>0</v>
      </c>
      <c r="Z43" s="17">
        <v>13398</v>
      </c>
      <c r="AA43" s="17">
        <v>12760</v>
      </c>
      <c r="AB43" s="17">
        <v>12760</v>
      </c>
      <c r="AC43" s="17">
        <v>14036</v>
      </c>
      <c r="AD43" s="15">
        <v>52954</v>
      </c>
      <c r="AE43" s="17">
        <v>0</v>
      </c>
      <c r="AF43" s="17">
        <v>0</v>
      </c>
      <c r="AG43" s="17">
        <v>0</v>
      </c>
      <c r="AH43" s="17">
        <v>0</v>
      </c>
      <c r="AI43" s="17">
        <v>0</v>
      </c>
      <c r="AJ43" s="17">
        <v>0</v>
      </c>
      <c r="AK43" s="17">
        <v>0</v>
      </c>
      <c r="AL43" s="17">
        <v>0</v>
      </c>
      <c r="AM43" s="17">
        <v>7240</v>
      </c>
      <c r="AN43" s="17">
        <v>7240</v>
      </c>
      <c r="AO43" s="17">
        <v>7240</v>
      </c>
      <c r="AP43" s="17">
        <v>7964</v>
      </c>
      <c r="AQ43" s="15">
        <v>29684</v>
      </c>
      <c r="AR43" s="16">
        <f>IFERROR((Table3[[#This Row],[FY26]]-Table3[[#This Row],[FY26 ]])/Table3[[#This Row],[FY26]],"")</f>
        <v>0.43943800279487855</v>
      </c>
      <c r="AS43" s="17">
        <v>13398</v>
      </c>
      <c r="AT43" s="17">
        <v>12760</v>
      </c>
      <c r="AU43" s="17">
        <v>0</v>
      </c>
      <c r="AV43" s="17">
        <v>0</v>
      </c>
      <c r="AW43" s="17">
        <v>0</v>
      </c>
      <c r="AX43" s="17">
        <v>0</v>
      </c>
      <c r="AY43" s="17">
        <v>0</v>
      </c>
      <c r="AZ43" s="17">
        <v>0</v>
      </c>
      <c r="BA43" s="17">
        <v>0</v>
      </c>
      <c r="BB43" s="17">
        <v>0</v>
      </c>
      <c r="BC43" s="17">
        <v>0</v>
      </c>
      <c r="BD43" s="17">
        <v>0</v>
      </c>
      <c r="BE43" s="15">
        <v>26158</v>
      </c>
      <c r="BF43" s="17">
        <v>7602</v>
      </c>
      <c r="BG43" s="17">
        <v>7240</v>
      </c>
      <c r="BH43" s="17">
        <v>0</v>
      </c>
      <c r="BI43" s="17">
        <v>0</v>
      </c>
      <c r="BJ43" s="17">
        <v>0</v>
      </c>
      <c r="BK43" s="17">
        <v>0</v>
      </c>
      <c r="BL43" s="17">
        <v>0</v>
      </c>
      <c r="BM43" s="17">
        <v>0</v>
      </c>
      <c r="BN43" s="17">
        <v>0</v>
      </c>
      <c r="BO43" s="17">
        <v>0</v>
      </c>
      <c r="BP43" s="17">
        <v>0</v>
      </c>
      <c r="BQ43" s="14">
        <v>0</v>
      </c>
      <c r="BR43" s="15">
        <v>14842</v>
      </c>
      <c r="BS43" s="18">
        <f>IFERROR((Table3[[#This Row],[FY27]]-Table3[[#This Row],[FY27 ]])/Table3[[#This Row],[FY27]],"")</f>
        <v>0.43260188087774293</v>
      </c>
      <c r="BY43"/>
    </row>
    <row r="44" spans="2:77">
      <c r="B44" s="8" t="b">
        <v>0</v>
      </c>
      <c r="C44" s="21"/>
      <c r="D44" s="23"/>
      <c r="E44" s="21"/>
      <c r="F44" s="23"/>
      <c r="G44" s="14">
        <v>5056389</v>
      </c>
      <c r="H44" s="14" t="s">
        <v>127</v>
      </c>
      <c r="I44" s="14" t="str">
        <f>_xlfn.XLOOKUP(Table3[[#This Row],[Project ID]],[1]Sheet2!H:H,[1]Sheet2!C:C)</f>
        <v>Jeff_GEP P2P Implementation FY2026</v>
      </c>
      <c r="J44" s="14" t="s">
        <v>128</v>
      </c>
      <c r="K44" s="14" t="str">
        <f>_xlfn.XLOOKUP(Table3[[#This Row],[Project ID]],[1]Sheet2!H:H,[1]Sheet2!AK:AK)</f>
        <v>Conor Dowling</v>
      </c>
      <c r="L44" s="14" t="s">
        <v>98</v>
      </c>
      <c r="M44" s="14" t="s">
        <v>104</v>
      </c>
      <c r="N44" s="14" t="s">
        <v>105</v>
      </c>
      <c r="O44" s="15">
        <v>169360</v>
      </c>
      <c r="P44" s="16">
        <v>0.45</v>
      </c>
      <c r="Q44" s="16">
        <v>0.47583684659598458</v>
      </c>
      <c r="R44" s="17">
        <v>0</v>
      </c>
      <c r="S44" s="17">
        <v>0</v>
      </c>
      <c r="T44" s="17">
        <v>0</v>
      </c>
      <c r="U44" s="17">
        <v>0</v>
      </c>
      <c r="V44" s="17">
        <v>0</v>
      </c>
      <c r="W44" s="17">
        <v>0</v>
      </c>
      <c r="X44" s="17">
        <v>26680</v>
      </c>
      <c r="Y44" s="17">
        <v>20880</v>
      </c>
      <c r="Z44" s="17">
        <v>25520</v>
      </c>
      <c r="AA44" s="17">
        <v>23200</v>
      </c>
      <c r="AB44" s="17">
        <v>22040</v>
      </c>
      <c r="AC44" s="17">
        <v>25520</v>
      </c>
      <c r="AD44" s="15">
        <v>143840</v>
      </c>
      <c r="AE44" s="17">
        <v>0</v>
      </c>
      <c r="AF44" s="17">
        <v>0</v>
      </c>
      <c r="AG44" s="17">
        <v>0</v>
      </c>
      <c r="AH44" s="17">
        <v>0</v>
      </c>
      <c r="AI44" s="17">
        <v>0</v>
      </c>
      <c r="AJ44" s="17">
        <v>0</v>
      </c>
      <c r="AK44" s="17">
        <v>12726.193771018421</v>
      </c>
      <c r="AL44" s="17">
        <v>11453.574393916579</v>
      </c>
      <c r="AM44" s="17">
        <v>13362.503459569341</v>
      </c>
      <c r="AN44" s="17">
        <v>11453.574393916579</v>
      </c>
      <c r="AO44" s="17">
        <v>12089.884082467499</v>
      </c>
      <c r="AP44" s="17">
        <v>13998.813148120262</v>
      </c>
      <c r="AQ44" s="15">
        <v>75084.543249008682</v>
      </c>
      <c r="AR44" s="16">
        <f>IFERROR((Table3[[#This Row],[FY26]]-Table3[[#This Row],[FY26 ]])/Table3[[#This Row],[FY26]],"")</f>
        <v>0.4779995602821977</v>
      </c>
      <c r="AS44" s="17">
        <v>25520</v>
      </c>
      <c r="AT44" s="17">
        <v>0</v>
      </c>
      <c r="AU44" s="17">
        <v>0</v>
      </c>
      <c r="AV44" s="17">
        <v>0</v>
      </c>
      <c r="AW44" s="17">
        <v>0</v>
      </c>
      <c r="AX44" s="17">
        <v>0</v>
      </c>
      <c r="AY44" s="17">
        <v>0</v>
      </c>
      <c r="AZ44" s="17">
        <v>0</v>
      </c>
      <c r="BA44" s="17">
        <v>0</v>
      </c>
      <c r="BB44" s="17">
        <v>0</v>
      </c>
      <c r="BC44" s="17">
        <v>0</v>
      </c>
      <c r="BD44" s="17">
        <v>0</v>
      </c>
      <c r="BE44" s="15">
        <v>25520</v>
      </c>
      <c r="BF44" s="17">
        <v>13998.813148120262</v>
      </c>
      <c r="BG44" s="17">
        <v>0</v>
      </c>
      <c r="BH44" s="17">
        <v>0</v>
      </c>
      <c r="BI44" s="17">
        <v>0</v>
      </c>
      <c r="BJ44" s="17">
        <v>0</v>
      </c>
      <c r="BK44" s="17">
        <v>0</v>
      </c>
      <c r="BL44" s="17">
        <v>0</v>
      </c>
      <c r="BM44" s="17">
        <v>0</v>
      </c>
      <c r="BN44" s="17">
        <v>0</v>
      </c>
      <c r="BO44" s="17">
        <v>0</v>
      </c>
      <c r="BP44" s="17">
        <v>0</v>
      </c>
      <c r="BQ44" s="14">
        <v>0</v>
      </c>
      <c r="BR44" s="15">
        <v>13998.813148120262</v>
      </c>
      <c r="BS44" s="18">
        <f>IFERROR((Table3[[#This Row],[FY27]]-Table3[[#This Row],[FY27 ]])/Table3[[#This Row],[FY27]],"")</f>
        <v>0.45145716504230948</v>
      </c>
      <c r="BY44"/>
    </row>
    <row r="45" spans="2:77">
      <c r="B45" s="8" t="b">
        <v>1</v>
      </c>
      <c r="C45" s="21"/>
      <c r="D45" s="23"/>
      <c r="E45" s="21"/>
      <c r="F45" s="23"/>
      <c r="G45" s="14">
        <v>5056392</v>
      </c>
      <c r="H45" s="14" t="s">
        <v>127</v>
      </c>
      <c r="I45" s="14" t="str">
        <f>_xlfn.XLOOKUP(Table3[[#This Row],[Project ID]],[1]Sheet2!H:H,[1]Sheet2!C:C)</f>
        <v>Jeff_SF Tech Developer - Chaitanya Ext</v>
      </c>
      <c r="J45" s="14" t="s">
        <v>128</v>
      </c>
      <c r="K45" s="14" t="str">
        <f>_xlfn.XLOOKUP(Table3[[#This Row],[Project ID]],[1]Sheet2!H:H,[1]Sheet2!AK:AK)</f>
        <v>Matthew Rodgers</v>
      </c>
      <c r="L45" s="14" t="s">
        <v>98</v>
      </c>
      <c r="M45" s="14" t="s">
        <v>104</v>
      </c>
      <c r="N45" s="14" t="s">
        <v>105</v>
      </c>
      <c r="O45" s="15">
        <v>169360</v>
      </c>
      <c r="P45" s="16">
        <v>0.37</v>
      </c>
      <c r="Q45" s="16">
        <v>0.37471264367816093</v>
      </c>
      <c r="R45" s="17">
        <v>0</v>
      </c>
      <c r="S45" s="17">
        <v>0</v>
      </c>
      <c r="T45" s="17">
        <v>0</v>
      </c>
      <c r="U45" s="17">
        <v>0</v>
      </c>
      <c r="V45" s="17">
        <v>0</v>
      </c>
      <c r="W45" s="17">
        <v>0</v>
      </c>
      <c r="X45" s="17">
        <v>26680</v>
      </c>
      <c r="Y45" s="17">
        <v>20880</v>
      </c>
      <c r="Z45" s="17">
        <v>25520</v>
      </c>
      <c r="AA45" s="17">
        <v>23200</v>
      </c>
      <c r="AB45" s="17">
        <v>22040</v>
      </c>
      <c r="AC45" s="17">
        <v>25520</v>
      </c>
      <c r="AD45" s="15">
        <v>143840</v>
      </c>
      <c r="AE45" s="17">
        <v>0</v>
      </c>
      <c r="AF45" s="17">
        <v>0</v>
      </c>
      <c r="AG45" s="17">
        <v>0</v>
      </c>
      <c r="AH45" s="17">
        <v>0</v>
      </c>
      <c r="AI45" s="17">
        <v>0</v>
      </c>
      <c r="AJ45" s="17">
        <v>0</v>
      </c>
      <c r="AK45" s="17">
        <v>16560</v>
      </c>
      <c r="AL45" s="17">
        <v>13680</v>
      </c>
      <c r="AM45" s="17">
        <v>15840</v>
      </c>
      <c r="AN45" s="17">
        <v>14400</v>
      </c>
      <c r="AO45" s="17">
        <v>13680</v>
      </c>
      <c r="AP45" s="17">
        <v>15840</v>
      </c>
      <c r="AQ45" s="15">
        <v>90000</v>
      </c>
      <c r="AR45" s="16">
        <f>IFERROR((Table3[[#This Row],[FY26]]-Table3[[#This Row],[FY26 ]])/Table3[[#This Row],[FY26]],"")</f>
        <v>0.37430478309232479</v>
      </c>
      <c r="AS45" s="17">
        <v>25520</v>
      </c>
      <c r="AT45" s="17">
        <v>0</v>
      </c>
      <c r="AU45" s="17">
        <v>0</v>
      </c>
      <c r="AV45" s="17">
        <v>0</v>
      </c>
      <c r="AW45" s="17">
        <v>0</v>
      </c>
      <c r="AX45" s="17">
        <v>0</v>
      </c>
      <c r="AY45" s="17">
        <v>0</v>
      </c>
      <c r="AZ45" s="17">
        <v>0</v>
      </c>
      <c r="BA45" s="17">
        <v>0</v>
      </c>
      <c r="BB45" s="17">
        <v>0</v>
      </c>
      <c r="BC45" s="17">
        <v>0</v>
      </c>
      <c r="BD45" s="17">
        <v>0</v>
      </c>
      <c r="BE45" s="15">
        <v>25520</v>
      </c>
      <c r="BF45" s="17">
        <v>15840</v>
      </c>
      <c r="BG45" s="17">
        <v>0</v>
      </c>
      <c r="BH45" s="17">
        <v>0</v>
      </c>
      <c r="BI45" s="17">
        <v>0</v>
      </c>
      <c r="BJ45" s="17">
        <v>0</v>
      </c>
      <c r="BK45" s="17">
        <v>0</v>
      </c>
      <c r="BL45" s="17">
        <v>0</v>
      </c>
      <c r="BM45" s="17">
        <v>0</v>
      </c>
      <c r="BN45" s="17">
        <v>0</v>
      </c>
      <c r="BO45" s="17">
        <v>0</v>
      </c>
      <c r="BP45" s="17">
        <v>0</v>
      </c>
      <c r="BQ45" s="14">
        <v>0</v>
      </c>
      <c r="BR45" s="15">
        <v>15840</v>
      </c>
      <c r="BS45" s="18">
        <f>IFERROR((Table3[[#This Row],[FY27]]-Table3[[#This Row],[FY27 ]])/Table3[[#This Row],[FY27]],"")</f>
        <v>0.37931034482758619</v>
      </c>
      <c r="BY45"/>
    </row>
    <row r="46" spans="2:77">
      <c r="B46" s="8" t="b">
        <v>0</v>
      </c>
      <c r="C46" s="21"/>
      <c r="D46" s="23"/>
      <c r="E46" s="21"/>
      <c r="F46" s="23"/>
      <c r="G46" s="14">
        <v>5057327</v>
      </c>
      <c r="H46" s="14" t="s">
        <v>127</v>
      </c>
      <c r="I46" s="14" t="str">
        <f>_xlfn.XLOOKUP(Table3[[#This Row],[Project ID]],[1]Sheet2!H:H,[1]Sheet2!C:C)</f>
        <v>Jeff_Flow Monitor Developer H1.2026 Ext.</v>
      </c>
      <c r="J46" s="14" t="s">
        <v>128</v>
      </c>
      <c r="K46" s="14" t="str">
        <f>_xlfn.XLOOKUP(Table3[[#This Row],[Project ID]],[1]Sheet2!H:H,[1]Sheet2!AK:AK)</f>
        <v>Irina Szilagyi</v>
      </c>
      <c r="L46" s="14" t="s">
        <v>98</v>
      </c>
      <c r="M46" s="14" t="s">
        <v>104</v>
      </c>
      <c r="N46" s="14" t="s">
        <v>105</v>
      </c>
      <c r="O46" s="15">
        <v>34720</v>
      </c>
      <c r="P46" s="16">
        <v>0.49</v>
      </c>
      <c r="Q46" s="16">
        <v>0.52106859108555414</v>
      </c>
      <c r="R46" s="17">
        <v>0</v>
      </c>
      <c r="S46" s="17">
        <v>0</v>
      </c>
      <c r="T46" s="17">
        <v>0</v>
      </c>
      <c r="U46" s="17">
        <v>0</v>
      </c>
      <c r="V46" s="17">
        <v>0</v>
      </c>
      <c r="W46" s="17">
        <v>0</v>
      </c>
      <c r="X46" s="17">
        <v>0</v>
      </c>
      <c r="Y46" s="17">
        <v>0</v>
      </c>
      <c r="Z46" s="17">
        <v>0</v>
      </c>
      <c r="AA46" s="17">
        <v>5780</v>
      </c>
      <c r="AB46" s="17">
        <v>5780</v>
      </c>
      <c r="AC46" s="17">
        <v>5780</v>
      </c>
      <c r="AD46" s="15">
        <v>17340</v>
      </c>
      <c r="AE46" s="17">
        <v>0</v>
      </c>
      <c r="AF46" s="17">
        <v>0</v>
      </c>
      <c r="AG46" s="17">
        <v>0</v>
      </c>
      <c r="AH46" s="17">
        <v>0</v>
      </c>
      <c r="AI46" s="17">
        <v>0</v>
      </c>
      <c r="AJ46" s="17">
        <v>0</v>
      </c>
      <c r="AK46" s="17">
        <v>0</v>
      </c>
      <c r="AL46" s="17">
        <v>0</v>
      </c>
      <c r="AM46" s="17">
        <v>0</v>
      </c>
      <c r="AN46" s="17">
        <v>2579.2933601468335</v>
      </c>
      <c r="AO46" s="17">
        <v>2722.5874357105463</v>
      </c>
      <c r="AP46" s="17">
        <v>2722.5874357105463</v>
      </c>
      <c r="AQ46" s="15">
        <v>8024.4682315679256</v>
      </c>
      <c r="AR46" s="16">
        <f>IFERROR((Table3[[#This Row],[FY26]]-Table3[[#This Row],[FY26 ]])/Table3[[#This Row],[FY26]],"")</f>
        <v>0.53722789898685552</v>
      </c>
      <c r="AS46" s="17">
        <v>5780.0000000000036</v>
      </c>
      <c r="AT46" s="17">
        <v>5780</v>
      </c>
      <c r="AU46" s="17">
        <v>5819.9999999999964</v>
      </c>
      <c r="AV46" s="17">
        <v>0</v>
      </c>
      <c r="AW46" s="17">
        <v>0</v>
      </c>
      <c r="AX46" s="17">
        <v>0</v>
      </c>
      <c r="AY46" s="17">
        <v>0</v>
      </c>
      <c r="AZ46" s="17">
        <v>0</v>
      </c>
      <c r="BA46" s="17">
        <v>0</v>
      </c>
      <c r="BB46" s="17">
        <v>0</v>
      </c>
      <c r="BC46" s="17">
        <v>0</v>
      </c>
      <c r="BD46" s="17">
        <v>0</v>
      </c>
      <c r="BE46" s="15">
        <v>17380</v>
      </c>
      <c r="BF46" s="17">
        <v>3009.1755868379723</v>
      </c>
      <c r="BG46" s="17">
        <v>2722.5874357105463</v>
      </c>
      <c r="BH46" s="17">
        <v>3152.4696624016851</v>
      </c>
      <c r="BI46" s="17">
        <v>0</v>
      </c>
      <c r="BJ46" s="17">
        <v>0</v>
      </c>
      <c r="BK46" s="17">
        <v>0</v>
      </c>
      <c r="BL46" s="17">
        <v>0</v>
      </c>
      <c r="BM46" s="17">
        <v>0</v>
      </c>
      <c r="BN46" s="17">
        <v>0</v>
      </c>
      <c r="BO46" s="17">
        <v>0</v>
      </c>
      <c r="BP46" s="17">
        <v>0</v>
      </c>
      <c r="BQ46" s="14">
        <v>0</v>
      </c>
      <c r="BR46" s="15">
        <v>8884.2326849502042</v>
      </c>
      <c r="BS46" s="18">
        <f>IFERROR((Table3[[#This Row],[FY27]]-Table3[[#This Row],[FY27 ]])/Table3[[#This Row],[FY27]],"")</f>
        <v>0.48882435644705385</v>
      </c>
      <c r="BY46"/>
    </row>
    <row r="47" spans="2:77" ht="15.95">
      <c r="B47" s="8" t="b">
        <v>0</v>
      </c>
      <c r="C47" s="21" t="s">
        <v>110</v>
      </c>
      <c r="D47" s="23" t="s">
        <v>134</v>
      </c>
      <c r="E47" s="21"/>
      <c r="F47" s="23"/>
      <c r="G47" s="14">
        <v>5057553</v>
      </c>
      <c r="H47" s="14" t="s">
        <v>127</v>
      </c>
      <c r="I47" s="14" t="str">
        <f>_xlfn.XLOOKUP(Table3[[#This Row],[Project ID]],[1]Sheet2!H:H,[1]Sheet2!C:C)</f>
        <v>Jeff-Arranged Financing Extension - Venkata</v>
      </c>
      <c r="J47" s="14" t="s">
        <v>128</v>
      </c>
      <c r="K47" s="14" t="str">
        <f>_xlfn.XLOOKUP(Table3[[#This Row],[Project ID]],[1]Sheet2!H:H,[1]Sheet2!AK:AK)</f>
        <v>Matthew Rodgers</v>
      </c>
      <c r="L47" s="14" t="s">
        <v>98</v>
      </c>
      <c r="M47" s="14" t="s">
        <v>104</v>
      </c>
      <c r="N47" s="14" t="s">
        <v>105</v>
      </c>
      <c r="O47" s="15">
        <v>64800</v>
      </c>
      <c r="P47" s="16">
        <v>0.35</v>
      </c>
      <c r="Q47" s="16">
        <v>0.11525803515160003</v>
      </c>
      <c r="R47" s="17">
        <v>0</v>
      </c>
      <c r="S47" s="17">
        <v>0</v>
      </c>
      <c r="T47" s="17">
        <v>0</v>
      </c>
      <c r="U47" s="17">
        <v>0</v>
      </c>
      <c r="V47" s="17">
        <v>0</v>
      </c>
      <c r="W47" s="17">
        <v>0</v>
      </c>
      <c r="X47" s="17">
        <v>0</v>
      </c>
      <c r="Y47" s="17">
        <v>0</v>
      </c>
      <c r="Z47" s="17">
        <v>0</v>
      </c>
      <c r="AA47" s="17">
        <v>0</v>
      </c>
      <c r="AB47" s="17">
        <v>23564</v>
      </c>
      <c r="AC47" s="17">
        <v>25902</v>
      </c>
      <c r="AD47" s="15">
        <v>49466</v>
      </c>
      <c r="AE47" s="17">
        <v>0</v>
      </c>
      <c r="AF47" s="17">
        <v>0</v>
      </c>
      <c r="AG47" s="17">
        <v>0</v>
      </c>
      <c r="AH47" s="17">
        <v>0</v>
      </c>
      <c r="AI47" s="17">
        <v>0</v>
      </c>
      <c r="AJ47" s="17">
        <v>0</v>
      </c>
      <c r="AK47" s="17">
        <v>0</v>
      </c>
      <c r="AL47" s="17">
        <v>0</v>
      </c>
      <c r="AM47" s="17">
        <v>0</v>
      </c>
      <c r="AN47" s="17">
        <v>0</v>
      </c>
      <c r="AO47" s="17">
        <v>28880</v>
      </c>
      <c r="AP47" s="17">
        <v>16720</v>
      </c>
      <c r="AQ47" s="15">
        <v>45600</v>
      </c>
      <c r="AR47" s="16">
        <f>IFERROR((Table3[[#This Row],[FY26]]-Table3[[#This Row],[FY26 ]])/Table3[[#This Row],[FY26]],"")</f>
        <v>7.8154692111753521E-2</v>
      </c>
      <c r="AS47" s="17">
        <v>15316</v>
      </c>
      <c r="AT47" s="17">
        <v>0</v>
      </c>
      <c r="AU47" s="17">
        <v>0</v>
      </c>
      <c r="AV47" s="17">
        <v>0</v>
      </c>
      <c r="AW47" s="17">
        <v>0</v>
      </c>
      <c r="AX47" s="17">
        <v>0</v>
      </c>
      <c r="AY47" s="17">
        <v>0</v>
      </c>
      <c r="AZ47" s="17">
        <v>0</v>
      </c>
      <c r="BA47" s="17">
        <v>0</v>
      </c>
      <c r="BB47" s="17">
        <v>0</v>
      </c>
      <c r="BC47" s="17">
        <v>0</v>
      </c>
      <c r="BD47" s="17">
        <v>0</v>
      </c>
      <c r="BE47" s="15">
        <v>15316</v>
      </c>
      <c r="BF47" s="17">
        <v>9880</v>
      </c>
      <c r="BG47" s="17">
        <v>0</v>
      </c>
      <c r="BH47" s="17">
        <v>0</v>
      </c>
      <c r="BI47" s="17">
        <v>0</v>
      </c>
      <c r="BJ47" s="17">
        <v>0</v>
      </c>
      <c r="BK47" s="17">
        <v>0</v>
      </c>
      <c r="BL47" s="17">
        <v>0</v>
      </c>
      <c r="BM47" s="17">
        <v>0</v>
      </c>
      <c r="BN47" s="17">
        <v>0</v>
      </c>
      <c r="BO47" s="17">
        <v>0</v>
      </c>
      <c r="BP47" s="17">
        <v>0</v>
      </c>
      <c r="BQ47" s="14">
        <v>0</v>
      </c>
      <c r="BR47" s="15">
        <v>9880</v>
      </c>
      <c r="BS47" s="18">
        <f>IFERROR((Table3[[#This Row],[FY27]]-Table3[[#This Row],[FY27 ]])/Table3[[#This Row],[FY27]],"")</f>
        <v>0.35492295638547922</v>
      </c>
      <c r="BY47"/>
    </row>
    <row r="48" spans="2:77">
      <c r="B48" s="8" t="b">
        <v>0</v>
      </c>
      <c r="C48" s="21"/>
      <c r="D48" s="23"/>
      <c r="E48" s="21"/>
      <c r="F48" s="23"/>
      <c r="G48" s="14">
        <v>5057412</v>
      </c>
      <c r="H48" s="14" t="s">
        <v>127</v>
      </c>
      <c r="I48" s="14" t="str">
        <f>_xlfn.XLOOKUP(Table3[[#This Row],[Project ID]],[1]Sheet2!H:H,[1]Sheet2!C:C)</f>
        <v>Jeff_Restricted List Workflow Integration</v>
      </c>
      <c r="J48" s="14" t="s">
        <v>128</v>
      </c>
      <c r="K48" s="14" t="str">
        <f>_xlfn.XLOOKUP(Table3[[#This Row],[Project ID]],[1]Sheet2!H:H,[1]Sheet2!AK:AK)</f>
        <v>Samir Narale</v>
      </c>
      <c r="L48" s="14" t="s">
        <v>98</v>
      </c>
      <c r="M48" s="14" t="s">
        <v>104</v>
      </c>
      <c r="N48" s="14" t="s">
        <v>105</v>
      </c>
      <c r="O48" s="15">
        <v>49000</v>
      </c>
      <c r="P48" s="16">
        <v>0.47</v>
      </c>
      <c r="Q48" s="16">
        <v>0.53030122226678622</v>
      </c>
      <c r="R48" s="17">
        <v>0</v>
      </c>
      <c r="S48" s="17">
        <v>0</v>
      </c>
      <c r="T48" s="17">
        <v>0</v>
      </c>
      <c r="U48" s="17">
        <v>0</v>
      </c>
      <c r="V48" s="17">
        <v>0</v>
      </c>
      <c r="W48" s="17">
        <v>0</v>
      </c>
      <c r="X48" s="17">
        <v>0</v>
      </c>
      <c r="Y48" s="17">
        <v>0</v>
      </c>
      <c r="Z48" s="17">
        <v>0</v>
      </c>
      <c r="AA48" s="17">
        <v>7498</v>
      </c>
      <c r="AB48" s="17">
        <v>16783</v>
      </c>
      <c r="AC48" s="17">
        <v>18104</v>
      </c>
      <c r="AD48" s="15">
        <v>42385</v>
      </c>
      <c r="AE48" s="17">
        <v>0</v>
      </c>
      <c r="AF48" s="17">
        <v>0</v>
      </c>
      <c r="AG48" s="17">
        <v>0</v>
      </c>
      <c r="AH48" s="17">
        <v>0</v>
      </c>
      <c r="AI48" s="17">
        <v>0</v>
      </c>
      <c r="AJ48" s="17">
        <v>0</v>
      </c>
      <c r="AK48" s="17">
        <v>0</v>
      </c>
      <c r="AL48" s="17">
        <v>0</v>
      </c>
      <c r="AM48" s="17">
        <v>0</v>
      </c>
      <c r="AN48" s="17">
        <v>3079.4866288398825</v>
      </c>
      <c r="AO48" s="17">
        <v>7360.8912356365436</v>
      </c>
      <c r="AP48" s="17">
        <v>9202.6744547516028</v>
      </c>
      <c r="AQ48" s="15">
        <v>19643.052319228031</v>
      </c>
      <c r="AR48" s="16">
        <f>IFERROR((Table3[[#This Row],[FY26]]-Table3[[#This Row],[FY26 ]])/Table3[[#This Row],[FY26]],"")</f>
        <v>0.53655651010432859</v>
      </c>
      <c r="AS48" s="17">
        <v>6614.0000000000064</v>
      </c>
      <c r="AT48" s="17">
        <v>0</v>
      </c>
      <c r="AU48" s="17">
        <v>0</v>
      </c>
      <c r="AV48" s="17">
        <v>0</v>
      </c>
      <c r="AW48" s="17">
        <v>0</v>
      </c>
      <c r="AX48" s="17">
        <v>0</v>
      </c>
      <c r="AY48" s="17">
        <v>0</v>
      </c>
      <c r="AZ48" s="17">
        <v>0</v>
      </c>
      <c r="BA48" s="17">
        <v>0</v>
      </c>
      <c r="BB48" s="17">
        <v>0</v>
      </c>
      <c r="BC48" s="17">
        <v>0</v>
      </c>
      <c r="BD48" s="17">
        <v>0</v>
      </c>
      <c r="BE48" s="15">
        <v>6614.0000000000064</v>
      </c>
      <c r="BF48" s="17">
        <v>3636.8484659159417</v>
      </c>
      <c r="BG48" s="17">
        <v>0</v>
      </c>
      <c r="BH48" s="17">
        <v>0</v>
      </c>
      <c r="BI48" s="17">
        <v>0</v>
      </c>
      <c r="BJ48" s="17">
        <v>0</v>
      </c>
      <c r="BK48" s="17">
        <v>0</v>
      </c>
      <c r="BL48" s="17">
        <v>0</v>
      </c>
      <c r="BM48" s="17">
        <v>0</v>
      </c>
      <c r="BN48" s="17">
        <v>0</v>
      </c>
      <c r="BO48" s="17">
        <v>0</v>
      </c>
      <c r="BP48" s="17">
        <v>0</v>
      </c>
      <c r="BQ48" s="14">
        <v>0</v>
      </c>
      <c r="BR48" s="15">
        <v>3636.8484659159417</v>
      </c>
      <c r="BS48" s="18">
        <f>IFERROR((Table3[[#This Row],[FY27]]-Table3[[#This Row],[FY27 ]])/Table3[[#This Row],[FY27]],"")</f>
        <v>0.45012874721561263</v>
      </c>
      <c r="BY48"/>
    </row>
    <row r="49" spans="2:77" ht="15.95">
      <c r="B49" s="8" t="b">
        <v>1</v>
      </c>
      <c r="C49" s="33" t="s">
        <v>110</v>
      </c>
      <c r="D49" s="14" t="s">
        <v>125</v>
      </c>
      <c r="E49" s="21" t="s">
        <v>112</v>
      </c>
      <c r="F49" s="23" t="s">
        <v>126</v>
      </c>
      <c r="G49" s="14">
        <v>5057050</v>
      </c>
      <c r="H49" s="14" t="s">
        <v>127</v>
      </c>
      <c r="I49" s="14" t="str">
        <f>_xlfn.XLOOKUP(Table3[[#This Row],[Project ID]],[1]Sheet2!H:H,[1]Sheet2!C:C)</f>
        <v>Jeff_AML Client Onboarding</v>
      </c>
      <c r="J49" s="14" t="s">
        <v>128</v>
      </c>
      <c r="K49" s="14" t="str">
        <f>_xlfn.XLOOKUP(Table3[[#This Row],[Project ID]],[1]Sheet2!H:H,[1]Sheet2!AK:AK)</f>
        <v>Chelsea Mattias</v>
      </c>
      <c r="L49" s="14" t="s">
        <v>98</v>
      </c>
      <c r="M49" s="14" t="s">
        <v>129</v>
      </c>
      <c r="N49" s="14" t="s">
        <v>105</v>
      </c>
      <c r="O49" s="15">
        <v>33250</v>
      </c>
      <c r="P49" s="16">
        <v>0.33</v>
      </c>
      <c r="Q49" s="16">
        <v>0.38611328320802007</v>
      </c>
      <c r="R49" s="17">
        <v>0</v>
      </c>
      <c r="S49" s="17">
        <v>0</v>
      </c>
      <c r="T49" s="17">
        <v>0</v>
      </c>
      <c r="U49" s="17">
        <v>0</v>
      </c>
      <c r="V49" s="17">
        <v>0</v>
      </c>
      <c r="W49" s="17">
        <v>0</v>
      </c>
      <c r="X49" s="17">
        <v>0</v>
      </c>
      <c r="Y49" s="17">
        <v>0</v>
      </c>
      <c r="Z49" s="17">
        <v>0</v>
      </c>
      <c r="AA49" s="17">
        <v>12468.75</v>
      </c>
      <c r="AB49" s="17">
        <v>8312.5</v>
      </c>
      <c r="AC49" s="17">
        <v>8312.5</v>
      </c>
      <c r="AD49" s="15">
        <v>29093.75</v>
      </c>
      <c r="AE49" s="17">
        <v>0</v>
      </c>
      <c r="AF49" s="17">
        <v>0</v>
      </c>
      <c r="AG49" s="17">
        <v>0</v>
      </c>
      <c r="AH49" s="17">
        <v>0</v>
      </c>
      <c r="AI49" s="17">
        <v>0</v>
      </c>
      <c r="AJ49" s="17">
        <v>0</v>
      </c>
      <c r="AK49" s="17">
        <v>0</v>
      </c>
      <c r="AL49" s="17">
        <v>0</v>
      </c>
      <c r="AM49" s="17">
        <v>1920</v>
      </c>
      <c r="AN49" s="17">
        <v>5184</v>
      </c>
      <c r="AO49" s="17">
        <v>4096</v>
      </c>
      <c r="AP49" s="17">
        <v>5632</v>
      </c>
      <c r="AQ49" s="15">
        <v>16832</v>
      </c>
      <c r="AR49" s="16">
        <f>IFERROR((Table3[[#This Row],[FY26]]-Table3[[#This Row],[FY26 ]])/Table3[[#This Row],[FY26]],"")</f>
        <v>0.4214564983888292</v>
      </c>
      <c r="AS49" s="17">
        <v>4156.25</v>
      </c>
      <c r="AT49" s="17">
        <v>0</v>
      </c>
      <c r="AU49" s="17">
        <v>0</v>
      </c>
      <c r="AV49" s="17">
        <v>0</v>
      </c>
      <c r="AW49" s="17">
        <v>0</v>
      </c>
      <c r="AX49" s="17">
        <v>0</v>
      </c>
      <c r="AY49" s="17">
        <v>0</v>
      </c>
      <c r="AZ49" s="17">
        <v>0</v>
      </c>
      <c r="BA49" s="17">
        <v>0</v>
      </c>
      <c r="BB49" s="17">
        <v>0</v>
      </c>
      <c r="BC49" s="17">
        <v>0</v>
      </c>
      <c r="BD49" s="17">
        <v>0</v>
      </c>
      <c r="BE49" s="15">
        <v>4156.25</v>
      </c>
      <c r="BF49" s="17">
        <v>4608</v>
      </c>
      <c r="BG49" s="17">
        <v>0</v>
      </c>
      <c r="BH49" s="17">
        <v>0</v>
      </c>
      <c r="BI49" s="17">
        <v>0</v>
      </c>
      <c r="BJ49" s="17">
        <v>0</v>
      </c>
      <c r="BK49" s="17">
        <v>0</v>
      </c>
      <c r="BL49" s="17">
        <v>0</v>
      </c>
      <c r="BM49" s="17">
        <v>0</v>
      </c>
      <c r="BN49" s="17">
        <v>0</v>
      </c>
      <c r="BO49" s="17">
        <v>0</v>
      </c>
      <c r="BP49" s="17">
        <v>0</v>
      </c>
      <c r="BQ49" s="14">
        <v>0</v>
      </c>
      <c r="BR49" s="15">
        <v>4608</v>
      </c>
      <c r="BS49" s="18">
        <f>IFERROR((Table3[[#This Row],[FY27]]-Table3[[#This Row],[FY27 ]])/Table3[[#This Row],[FY27]],"")</f>
        <v>-0.10869172932330827</v>
      </c>
      <c r="BY49"/>
    </row>
    <row r="50" spans="2:77">
      <c r="B50" s="8" t="b">
        <v>0</v>
      </c>
      <c r="C50" s="33" t="s">
        <v>110</v>
      </c>
      <c r="D50" s="14"/>
      <c r="E50" s="21"/>
      <c r="F50" s="23"/>
      <c r="G50" s="14">
        <v>5053104</v>
      </c>
      <c r="H50" s="14" t="s">
        <v>138</v>
      </c>
      <c r="I50" s="14" t="str">
        <f>_xlfn.XLOOKUP(Table3[[#This Row],[Project ID]],[1]Sheet2!H:H,[1]Sheet2!C:C)</f>
        <v>Lazard - Security Awareness Campaign &amp; Website Redesign</v>
      </c>
      <c r="J50" s="14" t="s">
        <v>139</v>
      </c>
      <c r="K50" s="14" t="str">
        <f>_xlfn.XLOOKUP(Table3[[#This Row],[Project ID]],[1]Sheet2!H:H,[1]Sheet2!AK:AK)</f>
        <v>Danielle Theroux</v>
      </c>
      <c r="L50" s="14" t="s">
        <v>98</v>
      </c>
      <c r="M50" s="14" t="s">
        <v>85</v>
      </c>
      <c r="N50" s="14" t="s">
        <v>86</v>
      </c>
      <c r="O50" s="15">
        <v>810000</v>
      </c>
      <c r="P50" s="16">
        <v>0.49901234567901231</v>
      </c>
      <c r="Q50" s="16">
        <v>0.50135691391015125</v>
      </c>
      <c r="R50" s="17">
        <v>17392.939999999999</v>
      </c>
      <c r="S50" s="17">
        <v>22628.54</v>
      </c>
      <c r="T50" s="17">
        <v>32980.020000000004</v>
      </c>
      <c r="U50" s="17">
        <v>22847.809999999998</v>
      </c>
      <c r="V50" s="17">
        <v>23105</v>
      </c>
      <c r="W50" s="17">
        <v>22844.2</v>
      </c>
      <c r="X50" s="17">
        <v>23365.800000000003</v>
      </c>
      <c r="Y50" s="17">
        <v>22681.37</v>
      </c>
      <c r="Z50" s="17">
        <v>30138.629999999997</v>
      </c>
      <c r="AA50" s="17">
        <v>44160.130000000005</v>
      </c>
      <c r="AB50" s="17">
        <v>41700.720000000001</v>
      </c>
      <c r="AC50" s="17">
        <v>42176.303473972279</v>
      </c>
      <c r="AD50" s="15">
        <v>346021.46347397228</v>
      </c>
      <c r="AE50" s="17">
        <v>12726.193771018421</v>
      </c>
      <c r="AF50" s="17">
        <v>11453.574393916579</v>
      </c>
      <c r="AG50" s="17">
        <v>12726.193771018421</v>
      </c>
      <c r="AH50" s="17">
        <v>11453.574393916579</v>
      </c>
      <c r="AI50" s="17">
        <v>8908.3356397128937</v>
      </c>
      <c r="AJ50" s="17">
        <v>13362.503459569341</v>
      </c>
      <c r="AK50" s="17">
        <v>14635.122836671184</v>
      </c>
      <c r="AL50" s="17">
        <v>10180.955016814736</v>
      </c>
      <c r="AM50" s="17">
        <v>13998.813148120262</v>
      </c>
      <c r="AN50" s="17">
        <v>21787.118277869798</v>
      </c>
      <c r="AO50" s="17">
        <v>20665.946879548763</v>
      </c>
      <c r="AP50" s="17">
        <v>20817.394858329571</v>
      </c>
      <c r="AQ50" s="15">
        <v>172715.72644650657</v>
      </c>
      <c r="AR50" s="16">
        <f>IFERROR((Table3[[#This Row],[FY26]]-Table3[[#This Row],[FY26 ]])/Table3[[#This Row],[FY26]],"")</f>
        <v>0.50085256355925956</v>
      </c>
      <c r="AS50" s="17">
        <v>24346.318818140368</v>
      </c>
      <c r="AT50" s="17">
        <v>24346.318818140309</v>
      </c>
      <c r="AU50" s="17">
        <v>24346.318818140309</v>
      </c>
      <c r="AV50" s="17">
        <v>23064.933617185568</v>
      </c>
      <c r="AW50" s="17">
        <v>24346.318818140426</v>
      </c>
      <c r="AX50" s="17">
        <v>24346.318818140193</v>
      </c>
      <c r="AY50" s="17">
        <v>24346.318818140426</v>
      </c>
      <c r="AZ50" s="17">
        <v>0</v>
      </c>
      <c r="BA50" s="17">
        <v>0</v>
      </c>
      <c r="BB50" s="17">
        <v>0</v>
      </c>
      <c r="BC50" s="17">
        <v>0</v>
      </c>
      <c r="BD50" s="17">
        <v>0</v>
      </c>
      <c r="BE50" s="15">
        <v>169142.8465260276</v>
      </c>
      <c r="BF50" s="17">
        <v>12089.884082467499</v>
      </c>
      <c r="BG50" s="17">
        <v>12089.884082467499</v>
      </c>
      <c r="BH50" s="17">
        <v>12089.884082467499</v>
      </c>
      <c r="BI50" s="17">
        <v>11453.574393916579</v>
      </c>
      <c r="BJ50" s="17">
        <v>12089.884082467499</v>
      </c>
      <c r="BK50" s="17">
        <v>12089.884082467499</v>
      </c>
      <c r="BL50" s="17">
        <v>12089.884082467499</v>
      </c>
      <c r="BM50" s="17">
        <v>0</v>
      </c>
      <c r="BN50" s="17">
        <v>0</v>
      </c>
      <c r="BO50" s="17">
        <v>0</v>
      </c>
      <c r="BP50" s="17">
        <v>0</v>
      </c>
      <c r="BQ50" s="14">
        <v>0</v>
      </c>
      <c r="BR50" s="15">
        <v>83992.878888721578</v>
      </c>
      <c r="BS50" s="18">
        <f>IFERROR((Table3[[#This Row],[FY27]]-Table3[[#This Row],[FY27 ]])/Table3[[#This Row],[FY27]],"")</f>
        <v>0.5034204483735184</v>
      </c>
      <c r="BY50"/>
    </row>
    <row r="51" spans="2:77">
      <c r="B51" s="8" t="b">
        <v>0</v>
      </c>
      <c r="C51" s="21"/>
      <c r="D51" s="23"/>
      <c r="E51" s="21"/>
      <c r="F51" s="23"/>
      <c r="G51" s="14">
        <v>5057015</v>
      </c>
      <c r="H51" s="14" t="s">
        <v>140</v>
      </c>
      <c r="I51" s="14" t="str">
        <f>_xlfn.XLOOKUP(Table3[[#This Row],[Project ID]],[1]Sheet2!H:H,[1]Sheet2!C:C)</f>
        <v>MS_TPPM_iShield 2.0 Implementation</v>
      </c>
      <c r="J51" s="14" t="s">
        <v>141</v>
      </c>
      <c r="K51" s="14" t="str">
        <f>_xlfn.XLOOKUP(Table3[[#This Row],[Project ID]],[1]Sheet2!H:H,[1]Sheet2!AK:AK)</f>
        <v>Prateek Duhan</v>
      </c>
      <c r="L51" s="14" t="s">
        <v>98</v>
      </c>
      <c r="M51" s="14" t="s">
        <v>104</v>
      </c>
      <c r="N51" s="14" t="s">
        <v>86</v>
      </c>
      <c r="O51" s="15">
        <v>2618707</v>
      </c>
      <c r="P51" s="16">
        <v>0.49</v>
      </c>
      <c r="Q51" s="16">
        <v>0.44592930491377142</v>
      </c>
      <c r="R51" s="17">
        <v>0</v>
      </c>
      <c r="S51" s="17">
        <v>0</v>
      </c>
      <c r="T51" s="17">
        <v>0</v>
      </c>
      <c r="U51" s="17">
        <v>0</v>
      </c>
      <c r="V51" s="17">
        <v>0</v>
      </c>
      <c r="W51" s="17">
        <v>0</v>
      </c>
      <c r="X51" s="17">
        <v>0</v>
      </c>
      <c r="Y51" s="17">
        <v>0</v>
      </c>
      <c r="Z51" s="17">
        <v>0</v>
      </c>
      <c r="AA51" s="17">
        <v>222416.92000000004</v>
      </c>
      <c r="AB51" s="17">
        <v>236890.46</v>
      </c>
      <c r="AC51" s="17">
        <v>225775.3767156309</v>
      </c>
      <c r="AD51" s="15">
        <v>685082.75671563088</v>
      </c>
      <c r="AE51" s="17">
        <v>0</v>
      </c>
      <c r="AF51" s="17">
        <v>0</v>
      </c>
      <c r="AG51" s="17">
        <v>0</v>
      </c>
      <c r="AH51" s="17">
        <v>0</v>
      </c>
      <c r="AI51" s="17">
        <v>0</v>
      </c>
      <c r="AJ51" s="17">
        <v>0</v>
      </c>
      <c r="AK51" s="17">
        <v>0</v>
      </c>
      <c r="AL51" s="17">
        <v>0</v>
      </c>
      <c r="AM51" s="17">
        <v>0</v>
      </c>
      <c r="AN51" s="17">
        <v>119126.61514144191</v>
      </c>
      <c r="AO51" s="17">
        <v>131557.77785782341</v>
      </c>
      <c r="AP51" s="17">
        <v>128899.88620575405</v>
      </c>
      <c r="AQ51" s="15">
        <v>379584.27920501941</v>
      </c>
      <c r="AR51" s="16">
        <f>IFERROR((Table3[[#This Row],[FY26]]-Table3[[#This Row],[FY26 ]])/Table3[[#This Row],[FY26]],"")</f>
        <v>0.44592930491377114</v>
      </c>
      <c r="AS51" s="17">
        <v>232641.58770514594</v>
      </c>
      <c r="AT51" s="17">
        <v>201868.54174085581</v>
      </c>
      <c r="AU51" s="17">
        <v>222001.09675169876</v>
      </c>
      <c r="AV51" s="17">
        <v>222858.73560087732</v>
      </c>
      <c r="AW51" s="17">
        <v>214082.79983192109</v>
      </c>
      <c r="AX51" s="17">
        <v>214082.79983192106</v>
      </c>
      <c r="AY51" s="17">
        <v>214082.79983192103</v>
      </c>
      <c r="AZ51" s="17">
        <v>208167.65826556567</v>
      </c>
      <c r="BA51" s="17">
        <v>203838.22372446279</v>
      </c>
      <c r="BB51" s="17">
        <v>0</v>
      </c>
      <c r="BC51" s="17">
        <v>0</v>
      </c>
      <c r="BD51" s="17">
        <v>0</v>
      </c>
      <c r="BE51" s="15">
        <v>1933624.2432843694</v>
      </c>
      <c r="BF51" s="17">
        <v>128899.88620575405</v>
      </c>
      <c r="BG51" s="17">
        <v>111849.44323839934</v>
      </c>
      <c r="BH51" s="17">
        <v>123004.3019871189</v>
      </c>
      <c r="BI51" s="17">
        <v>123479.4945404162</v>
      </c>
      <c r="BJ51" s="17">
        <v>118617.00570887851</v>
      </c>
      <c r="BK51" s="17">
        <v>118617.00570887851</v>
      </c>
      <c r="BL51" s="17">
        <v>118617.00570887851</v>
      </c>
      <c r="BM51" s="17">
        <v>115339.5991096745</v>
      </c>
      <c r="BN51" s="17">
        <v>112940.78630415531</v>
      </c>
      <c r="BO51" s="17">
        <v>0</v>
      </c>
      <c r="BP51" s="17">
        <v>0</v>
      </c>
      <c r="BQ51" s="14">
        <v>0</v>
      </c>
      <c r="BR51" s="15">
        <v>1071364.5285121538</v>
      </c>
      <c r="BS51" s="18">
        <f>IFERROR((Table3[[#This Row],[FY27]]-Table3[[#This Row],[FY27 ]])/Table3[[#This Row],[FY27]],"")</f>
        <v>0.44592930491377114</v>
      </c>
      <c r="BY51"/>
    </row>
    <row r="52" spans="2:77" ht="32.1">
      <c r="B52" s="8" t="b">
        <v>0</v>
      </c>
      <c r="C52" s="21" t="s">
        <v>112</v>
      </c>
      <c r="D52" s="23" t="s">
        <v>142</v>
      </c>
      <c r="E52" s="21"/>
      <c r="F52" s="23"/>
      <c r="G52" s="14">
        <v>5055570</v>
      </c>
      <c r="H52" s="14" t="s">
        <v>140</v>
      </c>
      <c r="I52" s="14" t="str">
        <f>_xlfn.XLOOKUP(Table3[[#This Row],[Project ID]],[1]Sheet2!H:H,[1]Sheet2!C:C)</f>
        <v>MSIM - Project Horizon - RFP FF</v>
      </c>
      <c r="J52" s="14" t="s">
        <v>141</v>
      </c>
      <c r="K52" s="14" t="str">
        <f>_xlfn.XLOOKUP(Table3[[#This Row],[Project ID]],[1]Sheet2!H:H,[1]Sheet2!AK:AK)</f>
        <v>Dan Schutzman</v>
      </c>
      <c r="L52" s="14" t="s">
        <v>122</v>
      </c>
      <c r="M52" s="14" t="s">
        <v>90</v>
      </c>
      <c r="N52" s="14" t="s">
        <v>86</v>
      </c>
      <c r="O52" s="15">
        <v>2535091</v>
      </c>
      <c r="P52" s="16">
        <v>0.14000000000000001</v>
      </c>
      <c r="Q52" s="16">
        <v>2.321611968727447E-2</v>
      </c>
      <c r="R52" s="17">
        <v>0</v>
      </c>
      <c r="S52" s="17">
        <v>0</v>
      </c>
      <c r="T52" s="17">
        <v>228470.43999999994</v>
      </c>
      <c r="U52" s="17">
        <v>86158.31</v>
      </c>
      <c r="V52" s="17">
        <v>96416.87999999999</v>
      </c>
      <c r="W52" s="17">
        <v>130261.63</v>
      </c>
      <c r="X52" s="17">
        <v>157043.44999999995</v>
      </c>
      <c r="Y52" s="17">
        <v>122762.42000000001</v>
      </c>
      <c r="Z52" s="17">
        <v>124002.27</v>
      </c>
      <c r="AA52" s="17">
        <v>128345.67</v>
      </c>
      <c r="AB52" s="17">
        <v>143655.28000000003</v>
      </c>
      <c r="AC52" s="17">
        <v>163635.92917941441</v>
      </c>
      <c r="AD52" s="15">
        <v>1380752.2791794145</v>
      </c>
      <c r="AE52" s="17">
        <v>0</v>
      </c>
      <c r="AF52" s="17">
        <v>0</v>
      </c>
      <c r="AG52" s="17">
        <v>143658.13179015325</v>
      </c>
      <c r="AH52" s="17">
        <v>119464.99377897808</v>
      </c>
      <c r="AI52" s="17">
        <v>132770.90350340412</v>
      </c>
      <c r="AJ52" s="17">
        <v>136541.05572995273</v>
      </c>
      <c r="AK52" s="17">
        <v>155188.72935063441</v>
      </c>
      <c r="AL52" s="17">
        <v>115032.1078923641</v>
      </c>
      <c r="AM52" s="17">
        <v>122587.20808156075</v>
      </c>
      <c r="AN52" s="17">
        <v>124384.61315520613</v>
      </c>
      <c r="AO52" s="17">
        <v>130235.51510904526</v>
      </c>
      <c r="AP52" s="17">
        <v>168833.31061620885</v>
      </c>
      <c r="AQ52" s="15">
        <v>1348696.5690075078</v>
      </c>
      <c r="AR52" s="16">
        <f>IFERROR((Table3[[#This Row],[FY26]]-Table3[[#This Row],[FY26 ]])/Table3[[#This Row],[FY26]],"")</f>
        <v>2.321611968727479E-2</v>
      </c>
      <c r="AS52" s="17">
        <v>152259.62841240759</v>
      </c>
      <c r="AT52" s="17">
        <v>117404.4776235233</v>
      </c>
      <c r="AU52" s="17">
        <v>117404.4776235233</v>
      </c>
      <c r="AV52" s="17">
        <v>138317.56809685394</v>
      </c>
      <c r="AW52" s="17">
        <v>117404.47762352327</v>
      </c>
      <c r="AX52" s="17">
        <v>117404.47762352334</v>
      </c>
      <c r="AY52" s="17">
        <v>131346.53793907701</v>
      </c>
      <c r="AZ52" s="17">
        <v>145288.59825463072</v>
      </c>
      <c r="BA52" s="17">
        <v>117404.47762352327</v>
      </c>
      <c r="BB52" s="17">
        <v>0</v>
      </c>
      <c r="BC52" s="17">
        <v>0</v>
      </c>
      <c r="BD52" s="17">
        <v>0</v>
      </c>
      <c r="BE52" s="15">
        <v>1154234.7208205857</v>
      </c>
      <c r="BF52" s="17">
        <v>148724.75065564518</v>
      </c>
      <c r="BG52" s="17">
        <v>114678.80121919363</v>
      </c>
      <c r="BH52" s="17">
        <v>114678.80121919363</v>
      </c>
      <c r="BI52" s="17">
        <v>135106.37088106456</v>
      </c>
      <c r="BJ52" s="17">
        <v>114678.80121919363</v>
      </c>
      <c r="BK52" s="17">
        <v>114678.80121919363</v>
      </c>
      <c r="BL52" s="17">
        <v>128297.18099377425</v>
      </c>
      <c r="BM52" s="17">
        <v>141915.56076835489</v>
      </c>
      <c r="BN52" s="17">
        <v>114678.80121919363</v>
      </c>
      <c r="BO52" s="17">
        <v>0</v>
      </c>
      <c r="BP52" s="17">
        <v>0</v>
      </c>
      <c r="BQ52" s="14">
        <v>0</v>
      </c>
      <c r="BR52" s="15">
        <v>1127437.8693948071</v>
      </c>
      <c r="BS52" s="18">
        <f>IFERROR((Table3[[#This Row],[FY27]]-Table3[[#This Row],[FY27 ]])/Table3[[#This Row],[FY27]],"")</f>
        <v>2.3216119687274502E-2</v>
      </c>
      <c r="BY52"/>
    </row>
    <row r="53" spans="2:77" ht="32.1">
      <c r="B53" s="8" t="b">
        <v>0</v>
      </c>
      <c r="C53" s="21" t="s">
        <v>112</v>
      </c>
      <c r="D53" s="23" t="s">
        <v>143</v>
      </c>
      <c r="E53" s="21"/>
      <c r="F53" s="23"/>
      <c r="G53" s="14">
        <v>5056255</v>
      </c>
      <c r="H53" s="14" t="s">
        <v>144</v>
      </c>
      <c r="I53" s="14" t="str">
        <f>_xlfn.XLOOKUP(Table3[[#This Row],[Project ID]],[1]Sheet2!H:H,[1]Sheet2!C:C)</f>
        <v>VPM Remediation Program</v>
      </c>
      <c r="J53" s="14" t="s">
        <v>145</v>
      </c>
      <c r="K53" s="14" t="str">
        <f>_xlfn.XLOOKUP(Table3[[#This Row],[Project ID]],[1]Sheet2!H:H,[1]Sheet2!AK:AK)</f>
        <v>Boris Mallet</v>
      </c>
      <c r="L53" s="14" t="s">
        <v>98</v>
      </c>
      <c r="M53" s="14" t="s">
        <v>101</v>
      </c>
      <c r="N53" s="14" t="s">
        <v>86</v>
      </c>
      <c r="O53" s="15">
        <v>2039500</v>
      </c>
      <c r="P53" s="16">
        <v>0.65</v>
      </c>
      <c r="Q53" s="16">
        <v>0.52677098934800981</v>
      </c>
      <c r="R53" s="17">
        <v>0</v>
      </c>
      <c r="S53" s="17">
        <v>0</v>
      </c>
      <c r="T53" s="17">
        <v>0</v>
      </c>
      <c r="U53" s="17">
        <v>0</v>
      </c>
      <c r="V53" s="17">
        <v>0</v>
      </c>
      <c r="W53" s="17">
        <v>189839.72</v>
      </c>
      <c r="X53" s="17">
        <v>171588.56</v>
      </c>
      <c r="Y53" s="17">
        <v>143015.87</v>
      </c>
      <c r="Z53" s="17">
        <v>432563.5</v>
      </c>
      <c r="AA53" s="17">
        <v>124025.60000000001</v>
      </c>
      <c r="AB53" s="17">
        <v>108619.27</v>
      </c>
      <c r="AC53" s="17">
        <v>152689.62476528637</v>
      </c>
      <c r="AD53" s="15">
        <v>1322342.1447652865</v>
      </c>
      <c r="AE53" s="17">
        <v>0</v>
      </c>
      <c r="AF53" s="17">
        <v>0</v>
      </c>
      <c r="AG53" s="17">
        <v>0</v>
      </c>
      <c r="AH53" s="17">
        <v>0</v>
      </c>
      <c r="AI53" s="17">
        <v>0</v>
      </c>
      <c r="AJ53" s="17">
        <v>52201.898675420831</v>
      </c>
      <c r="AK53" s="17">
        <v>140562.10378403531</v>
      </c>
      <c r="AL53" s="17">
        <v>115102.41989636747</v>
      </c>
      <c r="AM53" s="17">
        <v>128690.19502826873</v>
      </c>
      <c r="AN53" s="17">
        <v>61125.863250008428</v>
      </c>
      <c r="AO53" s="17">
        <v>60420.944928990961</v>
      </c>
      <c r="AP53" s="17">
        <v>67667.239347615367</v>
      </c>
      <c r="AQ53" s="15">
        <v>625770.66491070716</v>
      </c>
      <c r="AR53" s="16">
        <f>IFERROR((Table3[[#This Row],[FY26]]-Table3[[#This Row],[FY26 ]])/Table3[[#This Row],[FY26]],"")</f>
        <v>0.52677098934800992</v>
      </c>
      <c r="AS53" s="17">
        <v>126930.59384685203</v>
      </c>
      <c r="AT53" s="17">
        <v>120584.06415450945</v>
      </c>
      <c r="AU53" s="17">
        <v>120584.06415450945</v>
      </c>
      <c r="AV53" s="17">
        <v>101544.47507748162</v>
      </c>
      <c r="AW53" s="17">
        <v>120584.06415450943</v>
      </c>
      <c r="AX53" s="17">
        <v>120584.06415450937</v>
      </c>
      <c r="AY53" s="17">
        <v>6346.5296923425922</v>
      </c>
      <c r="AZ53" s="17">
        <v>0</v>
      </c>
      <c r="BA53" s="17">
        <v>0</v>
      </c>
      <c r="BB53" s="17">
        <v>0</v>
      </c>
      <c r="BC53" s="17">
        <v>0</v>
      </c>
      <c r="BD53" s="17">
        <v>0</v>
      </c>
      <c r="BE53" s="15">
        <v>717157.85523471399</v>
      </c>
      <c r="BF53" s="17">
        <v>60067.239347615367</v>
      </c>
      <c r="BG53" s="17">
        <v>57063.877380234604</v>
      </c>
      <c r="BH53" s="17">
        <v>57063.877380234604</v>
      </c>
      <c r="BI53" s="17">
        <v>48053.791478092287</v>
      </c>
      <c r="BJ53" s="17">
        <v>57063.877380234604</v>
      </c>
      <c r="BK53" s="17">
        <v>57063.877380234604</v>
      </c>
      <c r="BL53" s="17">
        <v>3003.361967380768</v>
      </c>
      <c r="BM53" s="17">
        <v>0</v>
      </c>
      <c r="BN53" s="17">
        <v>0</v>
      </c>
      <c r="BO53" s="17">
        <v>0</v>
      </c>
      <c r="BP53" s="17">
        <v>0</v>
      </c>
      <c r="BQ53" s="14">
        <v>0</v>
      </c>
      <c r="BR53" s="15">
        <v>339379.90231402678</v>
      </c>
      <c r="BS53" s="18">
        <f>IFERROR((Table3[[#This Row],[FY27]]-Table3[[#This Row],[FY27 ]])/Table3[[#This Row],[FY27]],"")</f>
        <v>0.52677098934801003</v>
      </c>
      <c r="BY53"/>
    </row>
    <row r="54" spans="2:77" ht="32.1">
      <c r="B54" s="8" t="b">
        <v>1</v>
      </c>
      <c r="C54" s="21" t="s">
        <v>112</v>
      </c>
      <c r="D54" s="23" t="s">
        <v>146</v>
      </c>
      <c r="E54" s="21"/>
      <c r="F54" s="23"/>
      <c r="G54" s="14">
        <v>5057345</v>
      </c>
      <c r="H54" s="14" t="s">
        <v>144</v>
      </c>
      <c r="I54" s="14" t="str">
        <f>_xlfn.XLOOKUP(Table3[[#This Row],[Project ID]],[1]Sheet2!H:H,[1]Sheet2!C:C)</f>
        <v>VPM support - Ian</v>
      </c>
      <c r="J54" s="14" t="s">
        <v>145</v>
      </c>
      <c r="K54" s="14" t="str">
        <f>_xlfn.XLOOKUP(Table3[[#This Row],[Project ID]],[1]Sheet2!H:H,[1]Sheet2!AK:AK)</f>
        <v>Boris Mallet</v>
      </c>
      <c r="L54" s="14" t="s">
        <v>98</v>
      </c>
      <c r="M54" s="14" t="s">
        <v>101</v>
      </c>
      <c r="N54" s="14" t="s">
        <v>86</v>
      </c>
      <c r="O54" s="15">
        <v>173250</v>
      </c>
      <c r="P54" s="16">
        <v>0.56000000000000005</v>
      </c>
      <c r="Q54" s="16">
        <v>0.6290488972949897</v>
      </c>
      <c r="R54" s="17">
        <v>0</v>
      </c>
      <c r="S54" s="17">
        <v>0</v>
      </c>
      <c r="T54" s="17">
        <v>0</v>
      </c>
      <c r="U54" s="17">
        <v>0</v>
      </c>
      <c r="V54" s="17">
        <v>0</v>
      </c>
      <c r="W54" s="17">
        <v>0</v>
      </c>
      <c r="X54" s="17">
        <v>0</v>
      </c>
      <c r="Y54" s="17">
        <v>0</v>
      </c>
      <c r="Z54" s="17">
        <v>0</v>
      </c>
      <c r="AA54" s="17">
        <v>28875</v>
      </c>
      <c r="AB54" s="17">
        <v>16103.37</v>
      </c>
      <c r="AC54" s="17">
        <v>30496.877524752468</v>
      </c>
      <c r="AD54" s="15">
        <v>75475.247524752471</v>
      </c>
      <c r="AE54" s="17">
        <v>0</v>
      </c>
      <c r="AF54" s="17">
        <v>0</v>
      </c>
      <c r="AG54" s="17">
        <v>0</v>
      </c>
      <c r="AH54" s="17">
        <v>0</v>
      </c>
      <c r="AI54" s="17">
        <v>0</v>
      </c>
      <c r="AJ54" s="17">
        <v>0</v>
      </c>
      <c r="AK54" s="17">
        <v>0</v>
      </c>
      <c r="AL54" s="17">
        <v>0</v>
      </c>
      <c r="AM54" s="17">
        <v>0</v>
      </c>
      <c r="AN54" s="17">
        <v>5726.7871969582893</v>
      </c>
      <c r="AO54" s="17">
        <v>9544.6453282638158</v>
      </c>
      <c r="AP54" s="17">
        <v>12726.193771018421</v>
      </c>
      <c r="AQ54" s="15">
        <v>27997.626296240527</v>
      </c>
      <c r="AR54" s="16">
        <f>IFERROR((Table3[[#This Row],[FY26]]-Table3[[#This Row],[FY26 ]])/Table3[[#This Row],[FY26]],"")</f>
        <v>0.6290488972949897</v>
      </c>
      <c r="AS54" s="17">
        <v>34306.930693069313</v>
      </c>
      <c r="AT54" s="17">
        <v>32591.584158415848</v>
      </c>
      <c r="AU54" s="17">
        <v>30876.237623762368</v>
      </c>
      <c r="AV54" s="17">
        <v>0</v>
      </c>
      <c r="AW54" s="17">
        <v>0</v>
      </c>
      <c r="AX54" s="17">
        <v>0</v>
      </c>
      <c r="AY54" s="17">
        <v>0</v>
      </c>
      <c r="AZ54" s="17">
        <v>0</v>
      </c>
      <c r="BA54" s="17">
        <v>0</v>
      </c>
      <c r="BB54" s="17">
        <v>0</v>
      </c>
      <c r="BC54" s="17">
        <v>0</v>
      </c>
      <c r="BD54" s="17">
        <v>0</v>
      </c>
      <c r="BE54" s="15">
        <v>97774.752475247529</v>
      </c>
      <c r="BF54" s="17">
        <v>12726.193771018421</v>
      </c>
      <c r="BG54" s="17">
        <v>12089.884082467499</v>
      </c>
      <c r="BH54" s="17">
        <v>11453.574393916579</v>
      </c>
      <c r="BI54" s="17">
        <v>0</v>
      </c>
      <c r="BJ54" s="17">
        <v>0</v>
      </c>
      <c r="BK54" s="17">
        <v>0</v>
      </c>
      <c r="BL54" s="17">
        <v>0</v>
      </c>
      <c r="BM54" s="17">
        <v>0</v>
      </c>
      <c r="BN54" s="17">
        <v>0</v>
      </c>
      <c r="BO54" s="17">
        <v>0</v>
      </c>
      <c r="BP54" s="17">
        <v>0</v>
      </c>
      <c r="BQ54" s="14">
        <v>0</v>
      </c>
      <c r="BR54" s="15">
        <v>36269.652247402497</v>
      </c>
      <c r="BS54" s="18">
        <f>IFERROR((Table3[[#This Row],[FY27]]-Table3[[#This Row],[FY27 ]])/Table3[[#This Row],[FY27]],"")</f>
        <v>0.62904889729498981</v>
      </c>
      <c r="BY54"/>
    </row>
    <row r="55" spans="2:77" ht="32.1">
      <c r="B55" s="8" t="b">
        <v>1</v>
      </c>
      <c r="C55" s="21" t="s">
        <v>112</v>
      </c>
      <c r="D55" s="23" t="s">
        <v>147</v>
      </c>
      <c r="E55" s="21"/>
      <c r="F55" s="23"/>
      <c r="G55" s="14">
        <v>5055973</v>
      </c>
      <c r="H55" s="14" t="s">
        <v>144</v>
      </c>
      <c r="I55" s="14" t="str">
        <f>_xlfn.XLOOKUP(Table3[[#This Row],[Project ID]],[1]Sheet2!H:H,[1]Sheet2!C:C)</f>
        <v>ITAM and VPM Integration</v>
      </c>
      <c r="J55" s="14" t="s">
        <v>145</v>
      </c>
      <c r="K55" s="14" t="str">
        <f>_xlfn.XLOOKUP(Table3[[#This Row],[Project ID]],[1]Sheet2!H:H,[1]Sheet2!AK:AK)</f>
        <v>Boris Mallet</v>
      </c>
      <c r="L55" s="14" t="s">
        <v>98</v>
      </c>
      <c r="M55" s="14" t="s">
        <v>101</v>
      </c>
      <c r="N55" s="14" t="s">
        <v>86</v>
      </c>
      <c r="O55" s="15">
        <v>231000</v>
      </c>
      <c r="P55" s="16">
        <v>0.54</v>
      </c>
      <c r="Q55" s="16">
        <v>0.55921662748171364</v>
      </c>
      <c r="R55" s="17">
        <v>0</v>
      </c>
      <c r="S55" s="17">
        <v>0</v>
      </c>
      <c r="T55" s="17">
        <v>0</v>
      </c>
      <c r="U55" s="17">
        <v>0</v>
      </c>
      <c r="V55" s="17">
        <v>18900</v>
      </c>
      <c r="W55" s="17">
        <v>22000.59</v>
      </c>
      <c r="X55" s="17">
        <v>22034.46</v>
      </c>
      <c r="Y55" s="17">
        <v>22195.72</v>
      </c>
      <c r="Z55" s="17">
        <v>21969.23</v>
      </c>
      <c r="AA55" s="17">
        <v>15000</v>
      </c>
      <c r="AB55" s="17">
        <v>19800</v>
      </c>
      <c r="AC55" s="17">
        <v>23099.999999999971</v>
      </c>
      <c r="AD55" s="15">
        <v>164999.99999999997</v>
      </c>
      <c r="AE55" s="17">
        <v>0</v>
      </c>
      <c r="AF55" s="17">
        <v>0</v>
      </c>
      <c r="AG55" s="17">
        <v>0</v>
      </c>
      <c r="AH55" s="17">
        <v>0</v>
      </c>
      <c r="AI55" s="17">
        <v>8485.0799209770121</v>
      </c>
      <c r="AJ55" s="17">
        <v>9212.3724856321842</v>
      </c>
      <c r="AK55" s="17">
        <v>10182.095905172415</v>
      </c>
      <c r="AL55" s="17">
        <v>7272.9256465517246</v>
      </c>
      <c r="AM55" s="17">
        <v>8969.9416307471274</v>
      </c>
      <c r="AN55" s="17">
        <v>9697.2341954022995</v>
      </c>
      <c r="AO55" s="17">
        <v>8727.5107758620707</v>
      </c>
      <c r="AP55" s="17">
        <v>10182.095905172415</v>
      </c>
      <c r="AQ55" s="15">
        <v>72729.256465517246</v>
      </c>
      <c r="AR55" s="16">
        <f>IFERROR((Table3[[#This Row],[FY26]]-Table3[[#This Row],[FY26 ]])/Table3[[#This Row],[FY26]],"")</f>
        <v>0.55921662748171364</v>
      </c>
      <c r="AS55" s="17">
        <v>23100.000000000029</v>
      </c>
      <c r="AT55" s="17">
        <v>20899.999999999971</v>
      </c>
      <c r="AU55" s="17">
        <v>22000</v>
      </c>
      <c r="AV55" s="17">
        <v>0</v>
      </c>
      <c r="AW55" s="17">
        <v>0</v>
      </c>
      <c r="AX55" s="17">
        <v>0</v>
      </c>
      <c r="AY55" s="17">
        <v>0</v>
      </c>
      <c r="AZ55" s="17">
        <v>0</v>
      </c>
      <c r="BA55" s="17">
        <v>0</v>
      </c>
      <c r="BB55" s="17">
        <v>0</v>
      </c>
      <c r="BC55" s="17">
        <v>0</v>
      </c>
      <c r="BD55" s="17">
        <v>0</v>
      </c>
      <c r="BE55" s="15">
        <v>66000</v>
      </c>
      <c r="BF55" s="17">
        <v>10182.095905172415</v>
      </c>
      <c r="BG55" s="17">
        <v>9212.3724856321842</v>
      </c>
      <c r="BH55" s="17">
        <v>9697.2341954022995</v>
      </c>
      <c r="BI55" s="17">
        <v>0</v>
      </c>
      <c r="BJ55" s="17">
        <v>0</v>
      </c>
      <c r="BK55" s="17">
        <v>0</v>
      </c>
      <c r="BL55" s="17">
        <v>0</v>
      </c>
      <c r="BM55" s="17">
        <v>0</v>
      </c>
      <c r="BN55" s="17">
        <v>0</v>
      </c>
      <c r="BO55" s="17">
        <v>0</v>
      </c>
      <c r="BP55" s="17">
        <v>0</v>
      </c>
      <c r="BQ55" s="14">
        <v>0</v>
      </c>
      <c r="BR55" s="15">
        <v>29091.702586206899</v>
      </c>
      <c r="BS55" s="18">
        <f>IFERROR((Table3[[#This Row],[FY27]]-Table3[[#This Row],[FY27 ]])/Table3[[#This Row],[FY27]],"")</f>
        <v>0.55921662748171364</v>
      </c>
      <c r="BY55"/>
    </row>
    <row r="56" spans="2:77">
      <c r="B56" s="8" t="b">
        <v>1</v>
      </c>
      <c r="C56" s="21"/>
      <c r="D56" s="23"/>
      <c r="E56" s="21"/>
      <c r="F56" s="23"/>
      <c r="G56" s="14">
        <v>5057626</v>
      </c>
      <c r="H56" s="14" t="s">
        <v>148</v>
      </c>
      <c r="I56" s="14" t="str">
        <f>_xlfn.XLOOKUP(Table3[[#This Row],[Project ID]],[1]Sheet2!H:H,[1]Sheet2!C:C)</f>
        <v>Optum Insight SGS - AI Translation Implementation</v>
      </c>
      <c r="J56" s="14" t="s">
        <v>149</v>
      </c>
      <c r="K56" s="14" t="str">
        <f>_xlfn.XLOOKUP(Table3[[#This Row],[Project ID]],[1]Sheet2!H:H,[1]Sheet2!AK:AK)</f>
        <v>Jason Noran</v>
      </c>
      <c r="L56" s="14" t="s">
        <v>84</v>
      </c>
      <c r="M56" s="14" t="s">
        <v>131</v>
      </c>
      <c r="N56" s="14" t="s">
        <v>86</v>
      </c>
      <c r="O56" s="15">
        <v>2149200</v>
      </c>
      <c r="P56" s="16">
        <v>0.56999999999999995</v>
      </c>
      <c r="Q56" s="16">
        <v>0.61099359441375289</v>
      </c>
      <c r="R56" s="17">
        <v>0</v>
      </c>
      <c r="S56" s="17">
        <v>0</v>
      </c>
      <c r="T56" s="17">
        <v>0</v>
      </c>
      <c r="U56" s="17">
        <v>0</v>
      </c>
      <c r="V56" s="17">
        <v>0</v>
      </c>
      <c r="W56" s="17">
        <v>0</v>
      </c>
      <c r="X56" s="17">
        <v>0</v>
      </c>
      <c r="Y56" s="17">
        <v>0</v>
      </c>
      <c r="Z56" s="17">
        <v>0</v>
      </c>
      <c r="AA56" s="17">
        <v>0</v>
      </c>
      <c r="AB56" s="17">
        <v>574537.3600000001</v>
      </c>
      <c r="AC56" s="17">
        <v>276192.65627749299</v>
      </c>
      <c r="AD56" s="15">
        <v>850730.01627749309</v>
      </c>
      <c r="AE56" s="17">
        <v>0</v>
      </c>
      <c r="AF56" s="17">
        <v>0</v>
      </c>
      <c r="AG56" s="17">
        <v>0</v>
      </c>
      <c r="AH56" s="17">
        <v>0</v>
      </c>
      <c r="AI56" s="17">
        <v>0</v>
      </c>
      <c r="AJ56" s="17">
        <v>0</v>
      </c>
      <c r="AK56" s="17">
        <v>0</v>
      </c>
      <c r="AL56" s="17">
        <v>0</v>
      </c>
      <c r="AM56" s="17">
        <v>0</v>
      </c>
      <c r="AN56" s="17">
        <v>102400.91898204711</v>
      </c>
      <c r="AO56" s="17">
        <v>105487.7630180633</v>
      </c>
      <c r="AP56" s="17">
        <v>123050.74375632663</v>
      </c>
      <c r="AQ56" s="15">
        <v>330939.42575643701</v>
      </c>
      <c r="AR56" s="16">
        <f>IFERROR((Table3[[#This Row],[FY26]]-Table3[[#This Row],[FY26 ]])/Table3[[#This Row],[FY26]],"")</f>
        <v>0.61099359441375301</v>
      </c>
      <c r="AS56" s="17">
        <v>304204.15478203073</v>
      </c>
      <c r="AT56" s="17">
        <v>290396.21594014391</v>
      </c>
      <c r="AU56" s="17">
        <v>280599.34371930809</v>
      </c>
      <c r="AV56" s="17">
        <v>280599.34371930815</v>
      </c>
      <c r="AW56" s="17">
        <v>92105.78834605703</v>
      </c>
      <c r="AX56" s="17">
        <v>50565.13721565911</v>
      </c>
      <c r="AY56" s="17">
        <v>0</v>
      </c>
      <c r="AZ56" s="17">
        <v>0</v>
      </c>
      <c r="BA56" s="17">
        <v>0</v>
      </c>
      <c r="BB56" s="17">
        <v>0</v>
      </c>
      <c r="BC56" s="17">
        <v>0</v>
      </c>
      <c r="BD56" s="17">
        <v>0</v>
      </c>
      <c r="BE56" s="15">
        <v>1298469.9837225068</v>
      </c>
      <c r="BF56" s="17">
        <v>118337.36481616014</v>
      </c>
      <c r="BG56" s="17">
        <v>112965.98815872299</v>
      </c>
      <c r="BH56" s="17">
        <v>109154.94211010796</v>
      </c>
      <c r="BI56" s="17">
        <v>109154.94211010796</v>
      </c>
      <c r="BJ56" s="17">
        <v>35829.741658187297</v>
      </c>
      <c r="BK56" s="17">
        <v>19670.162276238931</v>
      </c>
      <c r="BL56" s="17">
        <v>0</v>
      </c>
      <c r="BM56" s="17">
        <v>0</v>
      </c>
      <c r="BN56" s="17">
        <v>0</v>
      </c>
      <c r="BO56" s="17">
        <v>0</v>
      </c>
      <c r="BP56" s="17">
        <v>0</v>
      </c>
      <c r="BQ56" s="14">
        <v>0</v>
      </c>
      <c r="BR56" s="15">
        <v>505113.14112952526</v>
      </c>
      <c r="BS56" s="18">
        <f>IFERROR((Table3[[#This Row],[FY27]]-Table3[[#This Row],[FY27 ]])/Table3[[#This Row],[FY27]],"")</f>
        <v>0.61099359441375278</v>
      </c>
      <c r="BY56"/>
    </row>
    <row r="57" spans="2:77" ht="48">
      <c r="B57" s="8" t="b">
        <v>1</v>
      </c>
      <c r="C57" s="21" t="s">
        <v>110</v>
      </c>
      <c r="D57" s="23" t="s">
        <v>150</v>
      </c>
      <c r="E57" s="21" t="s">
        <v>112</v>
      </c>
      <c r="F57" s="23" t="s">
        <v>151</v>
      </c>
      <c r="G57" s="14">
        <v>5057606</v>
      </c>
      <c r="H57" s="14" t="s">
        <v>152</v>
      </c>
      <c r="I57" s="14" t="str">
        <f>_xlfn.XLOOKUP(Table3[[#This Row],[Project ID]],[1]Sheet2!H:H,[1]Sheet2!C:C)</f>
        <v>PacLife PRT Data Ingestion Optimization</v>
      </c>
      <c r="J57" s="14" t="s">
        <v>115</v>
      </c>
      <c r="K57" s="14" t="str">
        <f>_xlfn.XLOOKUP(Table3[[#This Row],[Project ID]],[1]Sheet2!H:H,[1]Sheet2!AK:AK)</f>
        <v>Matthew Zidow</v>
      </c>
      <c r="L57" s="14" t="s">
        <v>116</v>
      </c>
      <c r="M57" s="14" t="s">
        <v>93</v>
      </c>
      <c r="N57" s="14" t="s">
        <v>86</v>
      </c>
      <c r="O57" s="15">
        <v>395000</v>
      </c>
      <c r="P57" s="16">
        <v>0.44</v>
      </c>
      <c r="Q57" s="16">
        <v>0.36392147164770788</v>
      </c>
      <c r="R57" s="17">
        <v>0</v>
      </c>
      <c r="S57" s="17">
        <v>0</v>
      </c>
      <c r="T57" s="17">
        <v>0</v>
      </c>
      <c r="U57" s="17">
        <v>0</v>
      </c>
      <c r="V57" s="17">
        <v>0</v>
      </c>
      <c r="W57" s="17">
        <v>0</v>
      </c>
      <c r="X57" s="17">
        <v>0</v>
      </c>
      <c r="Y57" s="17">
        <v>0</v>
      </c>
      <c r="Z57" s="17">
        <v>0</v>
      </c>
      <c r="AA57" s="17">
        <v>0</v>
      </c>
      <c r="AB57" s="17">
        <v>37158</v>
      </c>
      <c r="AC57" s="17">
        <v>82881.180643850283</v>
      </c>
      <c r="AD57" s="15">
        <v>120039.18064385028</v>
      </c>
      <c r="AE57" s="17">
        <v>0</v>
      </c>
      <c r="AF57" s="17">
        <v>0</v>
      </c>
      <c r="AG57" s="17">
        <v>0</v>
      </c>
      <c r="AH57" s="17">
        <v>0</v>
      </c>
      <c r="AI57" s="17">
        <v>0</v>
      </c>
      <c r="AJ57" s="17">
        <v>0</v>
      </c>
      <c r="AK57" s="17">
        <v>0</v>
      </c>
      <c r="AL57" s="17">
        <v>0</v>
      </c>
      <c r="AM57" s="17">
        <v>0</v>
      </c>
      <c r="AN57" s="17">
        <v>0</v>
      </c>
      <c r="AO57" s="17">
        <v>23071.510102892036</v>
      </c>
      <c r="AP57" s="17">
        <v>53282.835265663212</v>
      </c>
      <c r="AQ57" s="15">
        <v>76354.345368555252</v>
      </c>
      <c r="AR57" s="16">
        <f>IFERROR((Table3[[#This Row],[FY26]]-Table3[[#This Row],[FY26 ]])/Table3[[#This Row],[FY26]],"")</f>
        <v>0.36392147164770777</v>
      </c>
      <c r="AS57" s="17">
        <v>82299.12815789778</v>
      </c>
      <c r="AT57" s="17">
        <v>86001.301622944768</v>
      </c>
      <c r="AU57" s="17">
        <v>97174.225700858107</v>
      </c>
      <c r="AV57" s="17">
        <v>9486.163874449112</v>
      </c>
      <c r="AW57" s="17">
        <v>0</v>
      </c>
      <c r="AX57" s="17">
        <v>0</v>
      </c>
      <c r="AY57" s="17">
        <v>0</v>
      </c>
      <c r="AZ57" s="17">
        <v>0</v>
      </c>
      <c r="BA57" s="17">
        <v>0</v>
      </c>
      <c r="BB57" s="17">
        <v>0</v>
      </c>
      <c r="BC57" s="17">
        <v>0</v>
      </c>
      <c r="BD57" s="17">
        <v>0</v>
      </c>
      <c r="BE57" s="15">
        <v>274960.81935614976</v>
      </c>
      <c r="BF57" s="17">
        <v>52348.708323352308</v>
      </c>
      <c r="BG57" s="17">
        <v>54703.581372704291</v>
      </c>
      <c r="BH57" s="17">
        <v>61810.438477575299</v>
      </c>
      <c r="BI57" s="17">
        <v>6033.9451569682615</v>
      </c>
      <c r="BJ57" s="17">
        <v>0</v>
      </c>
      <c r="BK57" s="17">
        <v>0</v>
      </c>
      <c r="BL57" s="17">
        <v>0</v>
      </c>
      <c r="BM57" s="17">
        <v>0</v>
      </c>
      <c r="BN57" s="17">
        <v>0</v>
      </c>
      <c r="BO57" s="17">
        <v>0</v>
      </c>
      <c r="BP57" s="17">
        <v>0</v>
      </c>
      <c r="BQ57" s="14">
        <v>0</v>
      </c>
      <c r="BR57" s="15">
        <v>174896.67333060014</v>
      </c>
      <c r="BS57" s="18">
        <f>IFERROR((Table3[[#This Row],[FY27]]-Table3[[#This Row],[FY27 ]])/Table3[[#This Row],[FY27]],"")</f>
        <v>0.36392147164770799</v>
      </c>
      <c r="BY57"/>
    </row>
    <row r="58" spans="2:77" ht="48">
      <c r="B58" s="8" t="b">
        <v>1</v>
      </c>
      <c r="C58" s="21" t="s">
        <v>112</v>
      </c>
      <c r="D58" s="23" t="s">
        <v>153</v>
      </c>
      <c r="E58" s="21" t="s">
        <v>112</v>
      </c>
      <c r="F58" s="20" t="s">
        <v>154</v>
      </c>
      <c r="G58" s="14"/>
      <c r="H58" s="14" t="s">
        <v>155</v>
      </c>
      <c r="I58" s="14" t="s">
        <v>156</v>
      </c>
      <c r="J58" s="14" t="s">
        <v>157</v>
      </c>
      <c r="K58" s="14" t="s">
        <v>158</v>
      </c>
      <c r="L58" s="14" t="s">
        <v>116</v>
      </c>
      <c r="M58" s="14" t="s">
        <v>93</v>
      </c>
      <c r="N58" s="14" t="s">
        <v>86</v>
      </c>
      <c r="O58" s="15">
        <v>377000</v>
      </c>
      <c r="P58" s="16">
        <v>0.49</v>
      </c>
      <c r="Q58" s="16">
        <v>0.5</v>
      </c>
      <c r="R58" s="30"/>
      <c r="S58" s="30"/>
      <c r="T58" s="30"/>
      <c r="U58" s="30"/>
      <c r="V58" s="30"/>
      <c r="W58" s="30"/>
      <c r="X58" s="30"/>
      <c r="Y58" s="30"/>
      <c r="Z58" s="30"/>
      <c r="AA58" s="30"/>
      <c r="AB58" s="30"/>
      <c r="AC58" s="30"/>
      <c r="AD58" s="15">
        <v>121996</v>
      </c>
      <c r="AE58" s="30"/>
      <c r="AF58" s="30"/>
      <c r="AG58" s="30"/>
      <c r="AH58" s="30"/>
      <c r="AI58" s="30"/>
      <c r="AJ58" s="30"/>
      <c r="AK58" s="30"/>
      <c r="AL58" s="30"/>
      <c r="AM58" s="30"/>
      <c r="AN58" s="30"/>
      <c r="AO58" s="30"/>
      <c r="AP58" s="30"/>
      <c r="AQ58" s="30"/>
      <c r="AR58" s="16">
        <v>0.67</v>
      </c>
      <c r="AS58" s="30"/>
      <c r="AT58" s="30"/>
      <c r="AU58" s="30"/>
      <c r="AV58" s="30"/>
      <c r="AW58" s="30"/>
      <c r="AX58" s="30"/>
      <c r="AY58" s="30"/>
      <c r="AZ58" s="30"/>
      <c r="BA58" s="30"/>
      <c r="BB58" s="30"/>
      <c r="BC58" s="30"/>
      <c r="BD58" s="30"/>
      <c r="BE58" s="15">
        <v>255004</v>
      </c>
      <c r="BF58" s="30"/>
      <c r="BG58" s="30"/>
      <c r="BH58" s="30"/>
      <c r="BI58" s="30"/>
      <c r="BJ58" s="30"/>
      <c r="BK58" s="30"/>
      <c r="BL58" s="30"/>
      <c r="BM58" s="30"/>
      <c r="BN58" s="30"/>
      <c r="BO58" s="30"/>
      <c r="BP58" s="30"/>
      <c r="BQ58" s="14"/>
      <c r="BR58" s="15"/>
      <c r="BS58" s="18">
        <v>0.32</v>
      </c>
      <c r="BY58"/>
    </row>
    <row r="59" spans="2:77" ht="48">
      <c r="B59" s="8" t="b">
        <v>1</v>
      </c>
      <c r="C59" s="21" t="s">
        <v>112</v>
      </c>
      <c r="D59" s="23" t="s">
        <v>159</v>
      </c>
      <c r="E59" s="21" t="s">
        <v>112</v>
      </c>
      <c r="F59" s="23" t="s">
        <v>160</v>
      </c>
      <c r="G59" s="14"/>
      <c r="H59" s="14" t="s">
        <v>155</v>
      </c>
      <c r="I59" s="14" t="s">
        <v>161</v>
      </c>
      <c r="J59" s="14" t="s">
        <v>157</v>
      </c>
      <c r="K59" s="14" t="s">
        <v>162</v>
      </c>
      <c r="L59" s="14" t="s">
        <v>116</v>
      </c>
      <c r="M59" s="14" t="s">
        <v>90</v>
      </c>
      <c r="N59" s="14" t="s">
        <v>86</v>
      </c>
      <c r="O59" s="15">
        <v>50000</v>
      </c>
      <c r="P59" s="16">
        <v>0.46</v>
      </c>
      <c r="Q59" s="16">
        <v>0.48</v>
      </c>
      <c r="R59" s="30"/>
      <c r="S59" s="30"/>
      <c r="T59" s="30"/>
      <c r="U59" s="30"/>
      <c r="V59" s="30"/>
      <c r="W59" s="30"/>
      <c r="X59" s="30"/>
      <c r="Y59" s="30"/>
      <c r="Z59" s="30"/>
      <c r="AA59" s="30"/>
      <c r="AB59" s="30"/>
      <c r="AC59" s="30"/>
      <c r="AD59" s="15">
        <v>9677</v>
      </c>
      <c r="AE59" s="30"/>
      <c r="AF59" s="30"/>
      <c r="AG59" s="30"/>
      <c r="AH59" s="30"/>
      <c r="AI59" s="30"/>
      <c r="AJ59" s="30"/>
      <c r="AK59" s="30"/>
      <c r="AL59" s="30"/>
      <c r="AM59" s="30"/>
      <c r="AN59" s="30"/>
      <c r="AO59" s="30"/>
      <c r="AP59" s="30"/>
      <c r="AQ59" s="30"/>
      <c r="AR59" s="16">
        <v>0.8</v>
      </c>
      <c r="AS59" s="30"/>
      <c r="AT59" s="30"/>
      <c r="AU59" s="30"/>
      <c r="AV59" s="30"/>
      <c r="AW59" s="30"/>
      <c r="AX59" s="30"/>
      <c r="AY59" s="30"/>
      <c r="AZ59" s="30"/>
      <c r="BA59" s="30"/>
      <c r="BB59" s="30"/>
      <c r="BC59" s="30"/>
      <c r="BD59" s="30"/>
      <c r="BE59" s="15">
        <v>40323</v>
      </c>
      <c r="BF59" s="30"/>
      <c r="BG59" s="30"/>
      <c r="BH59" s="30"/>
      <c r="BI59" s="30"/>
      <c r="BJ59" s="30"/>
      <c r="BK59" s="30"/>
      <c r="BL59" s="30"/>
      <c r="BM59" s="30"/>
      <c r="BN59" s="30"/>
      <c r="BO59" s="30"/>
      <c r="BP59" s="30"/>
      <c r="BQ59" s="14"/>
      <c r="BR59" s="15"/>
      <c r="BS59" s="18">
        <v>0.19</v>
      </c>
      <c r="BY59"/>
    </row>
    <row r="60" spans="2:77">
      <c r="B60" s="8" t="b">
        <v>1</v>
      </c>
      <c r="C60" s="21"/>
      <c r="D60" s="23"/>
      <c r="E60" s="21"/>
      <c r="F60" s="23"/>
      <c r="G60" s="14">
        <v>5056491</v>
      </c>
      <c r="H60" s="14" t="s">
        <v>163</v>
      </c>
      <c r="I60" s="14" t="str">
        <f>_xlfn.XLOOKUP(Table3[[#This Row],[Project ID]],[1]Sheet2!H:H,[1]Sheet2!C:C)</f>
        <v>RBC Cap Mkts IT</v>
      </c>
      <c r="J60" s="14" t="s">
        <v>164</v>
      </c>
      <c r="K60" s="14" t="str">
        <f>_xlfn.XLOOKUP(Table3[[#This Row],[Project ID]],[1]Sheet2!H:H,[1]Sheet2!AK:AK)</f>
        <v>Kirby Pulver</v>
      </c>
      <c r="L60" s="14" t="s">
        <v>98</v>
      </c>
      <c r="M60" s="14" t="s">
        <v>104</v>
      </c>
      <c r="N60" s="14" t="s">
        <v>105</v>
      </c>
      <c r="O60" s="15">
        <v>216144</v>
      </c>
      <c r="P60" s="16">
        <v>0.56000000000000005</v>
      </c>
      <c r="Q60" s="16">
        <v>0.52781896303187936</v>
      </c>
      <c r="R60" s="17">
        <v>0</v>
      </c>
      <c r="S60" s="17">
        <v>0</v>
      </c>
      <c r="T60" s="17">
        <v>0</v>
      </c>
      <c r="U60" s="17">
        <v>0</v>
      </c>
      <c r="V60" s="17">
        <v>0</v>
      </c>
      <c r="W60" s="17">
        <v>0</v>
      </c>
      <c r="X60" s="17">
        <v>0</v>
      </c>
      <c r="Y60" s="17">
        <v>18012</v>
      </c>
      <c r="Z60" s="17">
        <v>18012</v>
      </c>
      <c r="AA60" s="17">
        <v>18012</v>
      </c>
      <c r="AB60" s="17">
        <v>18012</v>
      </c>
      <c r="AC60" s="17">
        <v>18012</v>
      </c>
      <c r="AD60" s="15">
        <v>90060</v>
      </c>
      <c r="AE60" s="17">
        <v>0</v>
      </c>
      <c r="AF60" s="17">
        <v>0</v>
      </c>
      <c r="AG60" s="17">
        <v>0</v>
      </c>
      <c r="AH60" s="17">
        <v>0</v>
      </c>
      <c r="AI60" s="17">
        <v>0</v>
      </c>
      <c r="AJ60" s="17">
        <v>0</v>
      </c>
      <c r="AK60" s="17">
        <v>0</v>
      </c>
      <c r="AL60" s="17">
        <v>8024.4682315679256</v>
      </c>
      <c r="AM60" s="17">
        <v>8597.6445338227786</v>
      </c>
      <c r="AN60" s="17">
        <v>8024.4682315679265</v>
      </c>
      <c r="AO60" s="17">
        <v>8311.056382695353</v>
      </c>
      <c r="AP60" s="17">
        <v>8167.7623071316393</v>
      </c>
      <c r="AQ60" s="15">
        <v>41125.399686785626</v>
      </c>
      <c r="AR60" s="16">
        <f>IFERROR((Table3[[#This Row],[FY26]]-Table3[[#This Row],[FY26 ]])/Table3[[#This Row],[FY26]],"")</f>
        <v>0.54335554422845189</v>
      </c>
      <c r="AS60" s="17">
        <v>18011.999999999989</v>
      </c>
      <c r="AT60" s="17">
        <v>18011.999999999956</v>
      </c>
      <c r="AU60" s="17">
        <v>18012.000000000044</v>
      </c>
      <c r="AV60" s="17">
        <v>18011.999999999964</v>
      </c>
      <c r="AW60" s="17">
        <v>18012.000000000029</v>
      </c>
      <c r="AX60" s="17">
        <v>18012.000000000029</v>
      </c>
      <c r="AY60" s="17">
        <v>18011.999999999942</v>
      </c>
      <c r="AZ60" s="17">
        <v>0</v>
      </c>
      <c r="BA60" s="17">
        <v>0</v>
      </c>
      <c r="BB60" s="17">
        <v>0</v>
      </c>
      <c r="BC60" s="17">
        <v>0</v>
      </c>
      <c r="BD60" s="17">
        <v>0</v>
      </c>
      <c r="BE60" s="15">
        <v>126083.99999999994</v>
      </c>
      <c r="BF60" s="17">
        <v>8167.7623071316393</v>
      </c>
      <c r="BG60" s="17">
        <v>8167.7623071316393</v>
      </c>
      <c r="BH60" s="17">
        <v>9457.4089872050554</v>
      </c>
      <c r="BI60" s="17">
        <v>9887.2912138961947</v>
      </c>
      <c r="BJ60" s="17">
        <v>9027.5267605139161</v>
      </c>
      <c r="BK60" s="17">
        <v>9027.5267605139161</v>
      </c>
      <c r="BL60" s="17">
        <v>8597.6445338227786</v>
      </c>
      <c r="BM60" s="17">
        <v>0</v>
      </c>
      <c r="BN60" s="17">
        <v>0</v>
      </c>
      <c r="BO60" s="17">
        <v>0</v>
      </c>
      <c r="BP60" s="17">
        <v>0</v>
      </c>
      <c r="BQ60" s="14">
        <v>0</v>
      </c>
      <c r="BR60" s="15">
        <v>62332.922870215145</v>
      </c>
      <c r="BS60" s="18">
        <f>IFERROR((Table3[[#This Row],[FY27]]-Table3[[#This Row],[FY27 ]])/Table3[[#This Row],[FY27]],"")</f>
        <v>0.50562384703677565</v>
      </c>
      <c r="BY60"/>
    </row>
    <row r="61" spans="2:77" ht="111.95">
      <c r="B61" s="8" t="b">
        <v>1</v>
      </c>
      <c r="C61" s="21" t="s">
        <v>110</v>
      </c>
      <c r="D61" s="23" t="s">
        <v>165</v>
      </c>
      <c r="E61" s="21" t="s">
        <v>112</v>
      </c>
      <c r="F61" s="20" t="s">
        <v>166</v>
      </c>
      <c r="G61" s="14">
        <v>5056956</v>
      </c>
      <c r="H61" s="14" t="s">
        <v>167</v>
      </c>
      <c r="I61" s="14" t="str">
        <f>_xlfn.XLOOKUP(Table3[[#This Row],[Project ID]],[1]Sheet2!H:H,[1]Sheet2!C:C)</f>
        <v>SEIU1199 Training System Integration RFP</v>
      </c>
      <c r="J61" s="14" t="s">
        <v>168</v>
      </c>
      <c r="K61" s="14" t="str">
        <f>_xlfn.XLOOKUP(Table3[[#This Row],[Project ID]],[1]Sheet2!H:H,[1]Sheet2!AK:AK)</f>
        <v>Arjun Nohria</v>
      </c>
      <c r="L61" s="14" t="s">
        <v>116</v>
      </c>
      <c r="M61" s="14" t="s">
        <v>93</v>
      </c>
      <c r="N61" s="14" t="s">
        <v>86</v>
      </c>
      <c r="O61" s="15">
        <v>895000</v>
      </c>
      <c r="P61" s="16">
        <v>0.44</v>
      </c>
      <c r="Q61" s="16">
        <v>0.4955678212290503</v>
      </c>
      <c r="R61" s="17">
        <v>0</v>
      </c>
      <c r="S61" s="17">
        <v>0</v>
      </c>
      <c r="T61" s="17">
        <v>0</v>
      </c>
      <c r="U61" s="17">
        <v>0</v>
      </c>
      <c r="V61" s="17">
        <v>0</v>
      </c>
      <c r="W61" s="17">
        <v>0</v>
      </c>
      <c r="X61" s="17">
        <v>0</v>
      </c>
      <c r="Y61" s="17">
        <v>0</v>
      </c>
      <c r="Z61" s="17">
        <v>24419.32</v>
      </c>
      <c r="AA61" s="17">
        <v>144000.95000000001</v>
      </c>
      <c r="AB61" s="17">
        <v>139523.15</v>
      </c>
      <c r="AC61" s="17">
        <v>162612.60316715209</v>
      </c>
      <c r="AD61" s="15">
        <v>470556.02316715213</v>
      </c>
      <c r="AE61" s="17">
        <v>0</v>
      </c>
      <c r="AF61" s="17">
        <v>0</v>
      </c>
      <c r="AG61" s="17">
        <v>0</v>
      </c>
      <c r="AH61" s="17">
        <v>0</v>
      </c>
      <c r="AI61" s="17">
        <v>0</v>
      </c>
      <c r="AJ61" s="17">
        <v>0</v>
      </c>
      <c r="AK61" s="17">
        <v>0</v>
      </c>
      <c r="AL61" s="17">
        <v>0</v>
      </c>
      <c r="AM61" s="17">
        <v>11000</v>
      </c>
      <c r="AN61" s="17">
        <v>74645</v>
      </c>
      <c r="AO61" s="17">
        <v>74402</v>
      </c>
      <c r="AP61" s="17">
        <v>77316.600000000006</v>
      </c>
      <c r="AQ61" s="15">
        <v>237363.6</v>
      </c>
      <c r="AR61" s="16">
        <f>IFERROR((Table3[[#This Row],[FY26]]-Table3[[#This Row],[FY26 ]])/Table3[[#This Row],[FY26]],"")</f>
        <v>0.49556782122905035</v>
      </c>
      <c r="AS61" s="17">
        <v>155641.53776091622</v>
      </c>
      <c r="AT61" s="17">
        <v>140889.1085678947</v>
      </c>
      <c r="AU61" s="17">
        <v>127913.33050403708</v>
      </c>
      <c r="AV61" s="17">
        <v>0</v>
      </c>
      <c r="AW61" s="17">
        <v>0</v>
      </c>
      <c r="AX61" s="17">
        <v>0</v>
      </c>
      <c r="AY61" s="17">
        <v>0</v>
      </c>
      <c r="AZ61" s="17">
        <v>0</v>
      </c>
      <c r="BA61" s="17">
        <v>0</v>
      </c>
      <c r="BB61" s="17">
        <v>0</v>
      </c>
      <c r="BC61" s="17">
        <v>0</v>
      </c>
      <c r="BD61" s="17">
        <v>0</v>
      </c>
      <c r="BE61" s="15">
        <v>424443.97683284804</v>
      </c>
      <c r="BF61" s="17">
        <v>78510.600000000006</v>
      </c>
      <c r="BG61" s="17">
        <v>71069</v>
      </c>
      <c r="BH61" s="17">
        <v>64523.6</v>
      </c>
      <c r="BI61" s="17">
        <v>0</v>
      </c>
      <c r="BJ61" s="17">
        <v>0</v>
      </c>
      <c r="BK61" s="17">
        <v>0</v>
      </c>
      <c r="BL61" s="17">
        <v>0</v>
      </c>
      <c r="BM61" s="17">
        <v>0</v>
      </c>
      <c r="BN61" s="17">
        <v>0</v>
      </c>
      <c r="BO61" s="17">
        <v>0</v>
      </c>
      <c r="BP61" s="17">
        <v>0</v>
      </c>
      <c r="BQ61" s="14">
        <v>0</v>
      </c>
      <c r="BR61" s="15">
        <v>214103.2</v>
      </c>
      <c r="BS61" s="18">
        <f>IFERROR((Table3[[#This Row],[FY27]]-Table3[[#This Row],[FY27 ]])/Table3[[#This Row],[FY27]],"")</f>
        <v>0.49556782122905035</v>
      </c>
      <c r="BY61"/>
    </row>
    <row r="62" spans="2:77" ht="48">
      <c r="B62" s="8" t="b">
        <v>1</v>
      </c>
      <c r="C62" s="21" t="s">
        <v>110</v>
      </c>
      <c r="D62" s="23" t="s">
        <v>169</v>
      </c>
      <c r="E62" s="21" t="s">
        <v>112</v>
      </c>
      <c r="F62" s="23" t="s">
        <v>170</v>
      </c>
      <c r="G62" s="14">
        <v>5053607</v>
      </c>
      <c r="H62" s="14" t="s">
        <v>171</v>
      </c>
      <c r="I62" s="14" t="str">
        <f>_xlfn.XLOOKUP(Table3[[#This Row],[Project ID]],[1]Sheet2!H:H,[1]Sheet2!C:C)</f>
        <v>Truist SOW #25_CIB Regulatory Reporting</v>
      </c>
      <c r="J62" s="14" t="s">
        <v>107</v>
      </c>
      <c r="K62" s="14" t="str">
        <f>_xlfn.XLOOKUP(Table3[[#This Row],[Project ID]],[1]Sheet2!H:H,[1]Sheet2!AK:AK)</f>
        <v>Jori Heikkinen</v>
      </c>
      <c r="L62" s="14" t="s">
        <v>98</v>
      </c>
      <c r="M62" s="14" t="s">
        <v>129</v>
      </c>
      <c r="N62" s="14" t="s">
        <v>86</v>
      </c>
      <c r="O62" s="15">
        <v>1780978</v>
      </c>
      <c r="P62" s="16">
        <v>0.45671467025420864</v>
      </c>
      <c r="Q62" s="16">
        <v>0.42535951530280308</v>
      </c>
      <c r="R62" s="17">
        <v>56539.490000000005</v>
      </c>
      <c r="S62" s="17">
        <v>58580.97</v>
      </c>
      <c r="T62" s="17">
        <v>59261.310000000005</v>
      </c>
      <c r="U62" s="17">
        <v>130464.39000000001</v>
      </c>
      <c r="V62" s="17">
        <v>93722.02</v>
      </c>
      <c r="W62" s="17">
        <v>95081.970000000016</v>
      </c>
      <c r="X62" s="17">
        <v>109017.30000000002</v>
      </c>
      <c r="Y62" s="17">
        <v>67498.509999999995</v>
      </c>
      <c r="Z62" s="17">
        <v>90579.09</v>
      </c>
      <c r="AA62" s="17">
        <v>78663.000000000015</v>
      </c>
      <c r="AB62" s="17">
        <v>172391.6</v>
      </c>
      <c r="AC62" s="17">
        <v>88394.54870220345</v>
      </c>
      <c r="AD62" s="15">
        <v>1100194.1987022036</v>
      </c>
      <c r="AE62" s="17">
        <v>56771.834390846619</v>
      </c>
      <c r="AF62" s="17">
        <v>53167.971734249877</v>
      </c>
      <c r="AG62" s="17">
        <v>44276.629202470111</v>
      </c>
      <c r="AH62" s="17">
        <v>47146.9897042136</v>
      </c>
      <c r="AI62" s="17">
        <v>62448.755194193531</v>
      </c>
      <c r="AJ62" s="17">
        <v>62091.12036433164</v>
      </c>
      <c r="AK62" s="17">
        <v>55466.198900029623</v>
      </c>
      <c r="AL62" s="17">
        <v>37995.993114776342</v>
      </c>
      <c r="AM62" s="17">
        <v>51505.225177079737</v>
      </c>
      <c r="AN62" s="17">
        <v>52043.746358376826</v>
      </c>
      <c r="AO62" s="17">
        <v>51485.716475759735</v>
      </c>
      <c r="AP62" s="17">
        <v>52535.666379230526</v>
      </c>
      <c r="AQ62" s="15">
        <v>626935.84699555812</v>
      </c>
      <c r="AR62" s="16">
        <f>IFERROR((Table3[[#This Row],[FY26]]-Table3[[#This Row],[FY26 ]])/Table3[[#This Row],[FY26]],"")</f>
        <v>0.43015892309276321</v>
      </c>
      <c r="AS62" s="17">
        <v>87139.860247344914</v>
      </c>
      <c r="AT62" s="17">
        <v>82782.867234977719</v>
      </c>
      <c r="AU62" s="17">
        <v>82782.867234977602</v>
      </c>
      <c r="AV62" s="17">
        <v>67723.049359344761</v>
      </c>
      <c r="AW62" s="17">
        <v>53415.697221151437</v>
      </c>
      <c r="AX62" s="17">
        <v>0</v>
      </c>
      <c r="AY62" s="17">
        <v>0</v>
      </c>
      <c r="AZ62" s="17">
        <v>0</v>
      </c>
      <c r="BA62" s="17">
        <v>0</v>
      </c>
      <c r="BB62" s="17">
        <v>0</v>
      </c>
      <c r="BC62" s="17">
        <v>0</v>
      </c>
      <c r="BD62" s="17">
        <v>0</v>
      </c>
      <c r="BE62" s="15">
        <v>373844.34129779646</v>
      </c>
      <c r="BF62" s="17">
        <v>52535.666379230526</v>
      </c>
      <c r="BG62" s="17">
        <v>49908.883060269014</v>
      </c>
      <c r="BH62" s="17">
        <v>49908.883060269014</v>
      </c>
      <c r="BI62" s="17">
        <v>40829.483972406328</v>
      </c>
      <c r="BJ62" s="17">
        <v>32203.738227935748</v>
      </c>
      <c r="BK62" s="17">
        <v>0</v>
      </c>
      <c r="BL62" s="17">
        <v>0</v>
      </c>
      <c r="BM62" s="17">
        <v>0</v>
      </c>
      <c r="BN62" s="17">
        <v>0</v>
      </c>
      <c r="BO62" s="17">
        <v>0</v>
      </c>
      <c r="BP62" s="17">
        <v>0</v>
      </c>
      <c r="BQ62" s="14">
        <v>0</v>
      </c>
      <c r="BR62" s="15">
        <v>225386.65470011064</v>
      </c>
      <c r="BS62" s="18">
        <f>IFERROR((Table3[[#This Row],[FY27]]-Table3[[#This Row],[FY27 ]])/Table3[[#This Row],[FY27]],"")</f>
        <v>0.39711096356926689</v>
      </c>
      <c r="BY62"/>
    </row>
    <row r="63" spans="2:77" ht="48">
      <c r="B63" s="8" t="b">
        <v>1</v>
      </c>
      <c r="C63" s="21" t="s">
        <v>112</v>
      </c>
      <c r="D63" s="23" t="s">
        <v>172</v>
      </c>
      <c r="E63" s="21" t="s">
        <v>112</v>
      </c>
      <c r="F63" s="23" t="s">
        <v>173</v>
      </c>
      <c r="G63" s="14">
        <v>5056226</v>
      </c>
      <c r="H63" s="14" t="s">
        <v>174</v>
      </c>
      <c r="I63" s="14" t="str">
        <f>_xlfn.XLOOKUP(Table3[[#This Row],[Project ID]],[1]Sheet2!H:H,[1]Sheet2!C:C)</f>
        <v>Trustage UCPM Technical Implementation</v>
      </c>
      <c r="J63" s="14" t="s">
        <v>115</v>
      </c>
      <c r="K63" s="14" t="str">
        <f>_xlfn.XLOOKUP(Table3[[#This Row],[Project ID]],[1]Sheet2!H:H,[1]Sheet2!AK:AK)</f>
        <v>James Fischer</v>
      </c>
      <c r="L63" s="14" t="s">
        <v>116</v>
      </c>
      <c r="M63" s="14" t="s">
        <v>93</v>
      </c>
      <c r="N63" s="14" t="s">
        <v>86</v>
      </c>
      <c r="O63" s="15">
        <v>2795000</v>
      </c>
      <c r="P63" s="16">
        <v>0.43</v>
      </c>
      <c r="Q63" s="16">
        <v>0.39079510754567531</v>
      </c>
      <c r="R63" s="17">
        <v>0</v>
      </c>
      <c r="S63" s="17">
        <v>0</v>
      </c>
      <c r="T63" s="17">
        <v>0</v>
      </c>
      <c r="U63" s="17">
        <v>0</v>
      </c>
      <c r="V63" s="17">
        <v>0</v>
      </c>
      <c r="W63" s="17">
        <v>272879.01</v>
      </c>
      <c r="X63" s="17">
        <v>324285.18</v>
      </c>
      <c r="Y63" s="17">
        <v>272618.75999999995</v>
      </c>
      <c r="Z63" s="17">
        <v>292535.24</v>
      </c>
      <c r="AA63" s="17">
        <v>334349.23</v>
      </c>
      <c r="AB63" s="17">
        <v>332967.54000000004</v>
      </c>
      <c r="AC63" s="17">
        <v>358408.84754900477</v>
      </c>
      <c r="AD63" s="15">
        <v>2188043.8075490049</v>
      </c>
      <c r="AE63" s="17">
        <v>0</v>
      </c>
      <c r="AF63" s="17">
        <v>0</v>
      </c>
      <c r="AG63" s="17">
        <v>0</v>
      </c>
      <c r="AH63" s="17">
        <v>0</v>
      </c>
      <c r="AI63" s="17">
        <v>0</v>
      </c>
      <c r="AJ63" s="17">
        <v>139488.93147034865</v>
      </c>
      <c r="AK63" s="17">
        <v>215022.89444495214</v>
      </c>
      <c r="AL63" s="17">
        <v>155249.2245455865</v>
      </c>
      <c r="AM63" s="17">
        <v>184813.02887947924</v>
      </c>
      <c r="AN63" s="17">
        <v>206487.72160140137</v>
      </c>
      <c r="AO63" s="17">
        <v>211901.2570567714</v>
      </c>
      <c r="AP63" s="17">
        <v>220003.93446470328</v>
      </c>
      <c r="AQ63" s="15">
        <v>1332966.9924632425</v>
      </c>
      <c r="AR63" s="16">
        <f>IFERROR((Table3[[#This Row],[FY26]]-Table3[[#This Row],[FY26 ]])/Table3[[#This Row],[FY26]],"")</f>
        <v>0.39079510754567537</v>
      </c>
      <c r="AS63" s="17">
        <v>345465.52685838571</v>
      </c>
      <c r="AT63" s="17">
        <v>261490.66559260897</v>
      </c>
      <c r="AU63" s="17">
        <v>0</v>
      </c>
      <c r="AV63" s="17">
        <v>0</v>
      </c>
      <c r="AW63" s="17">
        <v>0</v>
      </c>
      <c r="AX63" s="17">
        <v>0</v>
      </c>
      <c r="AY63" s="17">
        <v>0</v>
      </c>
      <c r="AZ63" s="17">
        <v>0</v>
      </c>
      <c r="BA63" s="17">
        <v>0</v>
      </c>
      <c r="BB63" s="17">
        <v>0</v>
      </c>
      <c r="BC63" s="17">
        <v>0</v>
      </c>
      <c r="BD63" s="17">
        <v>0</v>
      </c>
      <c r="BE63" s="15">
        <v>515594</v>
      </c>
      <c r="BF63" s="17">
        <v>210459.28913643947</v>
      </c>
      <c r="BG63" s="17">
        <v>159301.39281015506</v>
      </c>
      <c r="BH63" s="17">
        <v>0</v>
      </c>
      <c r="BI63" s="17">
        <v>0</v>
      </c>
      <c r="BJ63" s="17">
        <v>0</v>
      </c>
      <c r="BK63" s="17">
        <v>0</v>
      </c>
      <c r="BL63" s="17">
        <v>0</v>
      </c>
      <c r="BM63" s="17">
        <v>0</v>
      </c>
      <c r="BN63" s="17">
        <v>0</v>
      </c>
      <c r="BO63" s="17">
        <v>0</v>
      </c>
      <c r="BP63" s="17">
        <v>0</v>
      </c>
      <c r="BQ63" s="14">
        <v>0</v>
      </c>
      <c r="BR63" s="15">
        <v>369760.6819465945</v>
      </c>
      <c r="BS63" s="18">
        <f>IFERROR((Table3[[#This Row],[FY27]]-Table3[[#This Row],[FY27 ]])/Table3[[#This Row],[FY27]],"")</f>
        <v>0.28284525819424877</v>
      </c>
      <c r="BY63"/>
    </row>
    <row r="64" spans="2:77" ht="61.5" customHeight="1">
      <c r="B64" s="8" t="b">
        <v>1</v>
      </c>
      <c r="C64" s="21" t="s">
        <v>112</v>
      </c>
      <c r="D64" s="34" t="s">
        <v>175</v>
      </c>
      <c r="E64" s="21" t="s">
        <v>112</v>
      </c>
      <c r="F64" s="23" t="s">
        <v>176</v>
      </c>
      <c r="G64" s="14">
        <v>5055833</v>
      </c>
      <c r="H64" s="14" t="s">
        <v>177</v>
      </c>
      <c r="I64" s="14" t="str">
        <f>_xlfn.XLOOKUP(Table3[[#This Row],[Project ID]],[1]Sheet2!H:H,[1]Sheet2!C:C)</f>
        <v>WF- SAR</v>
      </c>
      <c r="J64" s="14" t="s">
        <v>178</v>
      </c>
      <c r="K64" s="14" t="str">
        <f>_xlfn.XLOOKUP(Table3[[#This Row],[Project ID]],[1]Sheet2!H:H,[1]Sheet2!AK:AK)</f>
        <v>Glen Gannon</v>
      </c>
      <c r="L64" s="14" t="s">
        <v>84</v>
      </c>
      <c r="M64" s="14" t="s">
        <v>129</v>
      </c>
      <c r="N64" s="14" t="s">
        <v>86</v>
      </c>
      <c r="O64" s="15">
        <v>120000</v>
      </c>
      <c r="P64" s="16">
        <v>0.55000000000000004</v>
      </c>
      <c r="Q64" s="16">
        <v>0.62787074057009407</v>
      </c>
      <c r="R64" s="17">
        <v>0</v>
      </c>
      <c r="S64" s="17">
        <v>0</v>
      </c>
      <c r="T64" s="17">
        <v>0</v>
      </c>
      <c r="U64" s="17">
        <v>0</v>
      </c>
      <c r="V64" s="17">
        <v>0</v>
      </c>
      <c r="W64" s="17">
        <v>30030</v>
      </c>
      <c r="X64" s="17">
        <v>0</v>
      </c>
      <c r="Y64" s="17">
        <v>508.98</v>
      </c>
      <c r="Z64" s="17">
        <v>44835.020000000004</v>
      </c>
      <c r="AA64" s="17">
        <v>9481.24</v>
      </c>
      <c r="AB64" s="17">
        <v>25182.170000000002</v>
      </c>
      <c r="AC64" s="17">
        <v>2221.6612096198132</v>
      </c>
      <c r="AD64" s="15">
        <v>112259.07120961981</v>
      </c>
      <c r="AE64" s="17">
        <v>0</v>
      </c>
      <c r="AF64" s="17">
        <v>0</v>
      </c>
      <c r="AG64" s="17">
        <v>0</v>
      </c>
      <c r="AH64" s="17">
        <v>0</v>
      </c>
      <c r="AI64" s="17">
        <v>0</v>
      </c>
      <c r="AJ64" s="17">
        <v>3706.0499999999997</v>
      </c>
      <c r="AK64" s="17">
        <v>13588.849999999999</v>
      </c>
      <c r="AL64" s="17">
        <v>9059.2333333333336</v>
      </c>
      <c r="AM64" s="17">
        <v>13799.658141762451</v>
      </c>
      <c r="AN64" s="17">
        <v>463.16958812260543</v>
      </c>
      <c r="AO64" s="17">
        <v>182.83010057471267</v>
      </c>
      <c r="AP64" s="17">
        <v>975.09386973180085</v>
      </c>
      <c r="AQ64" s="15">
        <v>41774.885033524901</v>
      </c>
      <c r="AR64" s="16">
        <f>IFERROR((Table3[[#This Row],[FY26]]-Table3[[#This Row],[FY26 ]])/Table3[[#This Row],[FY26]],"")</f>
        <v>0.62787074057009407</v>
      </c>
      <c r="AS64" s="17">
        <v>0</v>
      </c>
      <c r="AT64" s="17">
        <v>5240.6191935867846</v>
      </c>
      <c r="AU64" s="17">
        <v>2620.3095967933914</v>
      </c>
      <c r="AV64" s="17">
        <v>0</v>
      </c>
      <c r="AW64" s="17">
        <v>0</v>
      </c>
      <c r="AX64" s="17">
        <v>0</v>
      </c>
      <c r="AY64" s="17">
        <v>0</v>
      </c>
      <c r="AZ64" s="17">
        <v>0</v>
      </c>
      <c r="BA64" s="17">
        <v>0</v>
      </c>
      <c r="BB64" s="17">
        <v>0</v>
      </c>
      <c r="BC64" s="17">
        <v>0</v>
      </c>
      <c r="BD64" s="17">
        <v>0</v>
      </c>
      <c r="BE64" s="15">
        <v>7860.928790380176</v>
      </c>
      <c r="BF64" s="17">
        <v>0</v>
      </c>
      <c r="BG64" s="17">
        <v>1950.1877394636017</v>
      </c>
      <c r="BH64" s="17">
        <v>975.09386973180085</v>
      </c>
      <c r="BI64" s="17">
        <v>0</v>
      </c>
      <c r="BJ64" s="17">
        <v>0</v>
      </c>
      <c r="BK64" s="17">
        <v>0</v>
      </c>
      <c r="BL64" s="17">
        <v>0</v>
      </c>
      <c r="BM64" s="17">
        <v>0</v>
      </c>
      <c r="BN64" s="17">
        <v>0</v>
      </c>
      <c r="BO64" s="17">
        <v>0</v>
      </c>
      <c r="BP64" s="17">
        <v>0</v>
      </c>
      <c r="BQ64" s="14">
        <v>0</v>
      </c>
      <c r="BR64" s="15">
        <v>2925.2816091954028</v>
      </c>
      <c r="BS64" s="18">
        <f>IFERROR((Table3[[#This Row],[FY27]]-Table3[[#This Row],[FY27 ]])/Table3[[#This Row],[FY27]],"")</f>
        <v>0.62787074057009384</v>
      </c>
      <c r="BY64"/>
    </row>
  </sheetData>
  <phoneticPr fontId="7" type="noConversion"/>
  <conditionalFormatting sqref="R2:AR2">
    <cfRule type="expression" dxfId="87" priority="3">
      <formula>IF(R2=(EOMONTH(TODAY(),-1)+1),TRUE,FALSE)</formula>
    </cfRule>
  </conditionalFormatting>
  <conditionalFormatting sqref="AE2:AR2">
    <cfRule type="expression" dxfId="86" priority="2">
      <formula>IF(AE2=(EOMONTH(TODAY(),-1)+1),TRUE,FALSE)</formula>
    </cfRule>
  </conditionalFormatting>
  <conditionalFormatting sqref="AS2:BE2 BS2">
    <cfRule type="expression" dxfId="85" priority="4">
      <formula>IF(AS2=(EOMONTH(TODAY(),-1)+1),TRUE,FALSE)</formula>
    </cfRule>
  </conditionalFormatting>
  <conditionalFormatting sqref="BF2:BR2">
    <cfRule type="expression" dxfId="84" priority="1">
      <formula>IF(BF2=(EOMONTH(TODAY(),-1)+1),TRUE,FALSE)</formula>
    </cfRule>
  </conditionalFormatting>
  <dataValidations count="2">
    <dataValidation type="list" allowBlank="1" showInputMessage="1" showErrorMessage="1" sqref="C40:C64 C3:C38 E3:E64" xr:uid="{53DC3E2C-8D14-2341-9927-57B4A66BF086}">
      <formula1>"Yes, No"</formula1>
    </dataValidation>
    <dataValidation type="custom" allowBlank="1" showInputMessage="1" showErrorMessage="1" sqref="C39" xr:uid="{CEE73481-1E0F-F842-BBEF-28BD26EACF65}">
      <formula1>"Yes, No"</formula1>
    </dataValidation>
  </dataValidation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2:Q44"/>
  <sheetViews>
    <sheetView showGridLines="0" zoomScale="60" zoomScaleNormal="60" workbookViewId="0">
      <selection activeCell="B11" sqref="B11"/>
    </sheetView>
  </sheetViews>
  <sheetFormatPr defaultColWidth="11" defaultRowHeight="15"/>
  <cols>
    <col min="1" max="1" width="9" style="20" customWidth="1"/>
    <col min="2" max="2" width="24" style="20" customWidth="1"/>
    <col min="3" max="3" width="46.5" style="20" customWidth="1"/>
    <col min="4" max="4" width="45.125" style="20" customWidth="1"/>
    <col min="5" max="5" width="15.875" style="20" customWidth="1"/>
    <col min="6" max="6" width="41.625" style="20" customWidth="1"/>
    <col min="7" max="7" width="50.625" style="20" customWidth="1"/>
    <col min="8" max="8" width="23.375" style="20" customWidth="1"/>
    <col min="9" max="9" width="26" style="20" customWidth="1"/>
    <col min="10" max="10" width="49.375" style="20" customWidth="1"/>
    <col min="11" max="11" width="49.5" style="20" customWidth="1"/>
    <col min="12" max="16383" width="11" style="20"/>
    <col min="16384" max="16384" width="11" style="20" bestFit="1"/>
  </cols>
  <sheetData>
    <row r="2" spans="1:17" ht="15.95">
      <c r="B2" s="20" t="s">
        <v>179</v>
      </c>
      <c r="C2" s="20" t="s">
        <v>180</v>
      </c>
      <c r="D2" s="20" t="s">
        <v>181</v>
      </c>
      <c r="E2" s="20" t="s">
        <v>182</v>
      </c>
      <c r="F2" s="20" t="s">
        <v>183</v>
      </c>
      <c r="G2" s="20" t="s">
        <v>184</v>
      </c>
      <c r="H2" s="20" t="s">
        <v>185</v>
      </c>
      <c r="I2" s="20" t="s">
        <v>186</v>
      </c>
      <c r="J2" s="20" t="s">
        <v>187</v>
      </c>
      <c r="K2" s="20" t="s">
        <v>188</v>
      </c>
    </row>
    <row r="3" spans="1:17" s="32" customFormat="1" ht="63.95" hidden="1">
      <c r="A3" s="31" t="s">
        <v>189</v>
      </c>
      <c r="B3" s="19" t="s">
        <v>190</v>
      </c>
      <c r="C3" s="19" t="s">
        <v>191</v>
      </c>
      <c r="D3" s="19" t="s">
        <v>192</v>
      </c>
      <c r="E3" s="19" t="s">
        <v>193</v>
      </c>
      <c r="F3" s="19" t="s">
        <v>194</v>
      </c>
      <c r="G3" s="19" t="s">
        <v>195</v>
      </c>
      <c r="H3" s="19" t="s">
        <v>112</v>
      </c>
      <c r="I3" s="19" t="s">
        <v>112</v>
      </c>
      <c r="J3" s="19" t="s">
        <v>196</v>
      </c>
      <c r="K3" s="19" t="s">
        <v>197</v>
      </c>
      <c r="L3" s="20"/>
      <c r="M3" s="20"/>
      <c r="N3" s="20"/>
      <c r="O3" s="20"/>
      <c r="P3" s="20"/>
      <c r="Q3" s="20"/>
    </row>
    <row r="4" spans="1:17" ht="80.099999999999994" hidden="1">
      <c r="A4" s="31" t="s">
        <v>189</v>
      </c>
      <c r="B4" s="19" t="s">
        <v>190</v>
      </c>
      <c r="C4" s="19" t="s">
        <v>198</v>
      </c>
      <c r="D4" s="19" t="s">
        <v>199</v>
      </c>
      <c r="E4" s="19" t="s">
        <v>200</v>
      </c>
      <c r="F4" s="19" t="s">
        <v>201</v>
      </c>
      <c r="G4" s="19" t="s">
        <v>202</v>
      </c>
      <c r="H4" s="19" t="s">
        <v>112</v>
      </c>
      <c r="I4" s="19" t="s">
        <v>112</v>
      </c>
      <c r="J4" s="19" t="s">
        <v>203</v>
      </c>
      <c r="K4" s="19" t="s">
        <v>204</v>
      </c>
    </row>
    <row r="5" spans="1:17" ht="96" hidden="1">
      <c r="A5" s="20" t="s">
        <v>116</v>
      </c>
      <c r="B5" s="20" t="s">
        <v>205</v>
      </c>
      <c r="C5" s="20" t="s">
        <v>206</v>
      </c>
      <c r="D5" s="20" t="s">
        <v>199</v>
      </c>
      <c r="E5" s="20" t="s">
        <v>207</v>
      </c>
      <c r="G5" s="20" t="s">
        <v>208</v>
      </c>
      <c r="H5" s="20" t="s">
        <v>209</v>
      </c>
      <c r="I5" s="20" t="s">
        <v>209</v>
      </c>
      <c r="J5" s="20" t="s">
        <v>210</v>
      </c>
    </row>
    <row r="6" spans="1:17" ht="255.95" hidden="1">
      <c r="A6" s="20" t="s">
        <v>116</v>
      </c>
      <c r="B6" s="20" t="s">
        <v>205</v>
      </c>
      <c r="C6" s="20" t="s">
        <v>211</v>
      </c>
      <c r="D6" s="20" t="s">
        <v>212</v>
      </c>
      <c r="E6" s="20" t="s">
        <v>213</v>
      </c>
      <c r="F6" s="20" t="s">
        <v>214</v>
      </c>
      <c r="G6" s="20" t="s">
        <v>215</v>
      </c>
      <c r="H6" s="20" t="s">
        <v>209</v>
      </c>
      <c r="I6" s="20" t="s">
        <v>209</v>
      </c>
      <c r="J6" s="20" t="s">
        <v>216</v>
      </c>
      <c r="K6" s="20" t="s">
        <v>217</v>
      </c>
    </row>
    <row r="7" spans="1:17" ht="128.1" hidden="1">
      <c r="A7" s="20" t="s">
        <v>116</v>
      </c>
      <c r="B7" s="20" t="s">
        <v>218</v>
      </c>
      <c r="C7" s="20" t="s">
        <v>219</v>
      </c>
      <c r="D7" s="20" t="s">
        <v>220</v>
      </c>
      <c r="E7" s="20" t="s">
        <v>207</v>
      </c>
      <c r="F7" s="20" t="s">
        <v>221</v>
      </c>
      <c r="G7" s="20" t="s">
        <v>222</v>
      </c>
      <c r="H7" s="20" t="s">
        <v>112</v>
      </c>
      <c r="I7" s="20" t="s">
        <v>112</v>
      </c>
      <c r="J7" s="20" t="s">
        <v>223</v>
      </c>
    </row>
    <row r="8" spans="1:17" ht="128.1">
      <c r="B8" t="s">
        <v>224</v>
      </c>
      <c r="C8" t="s">
        <v>225</v>
      </c>
      <c r="D8" t="s">
        <v>226</v>
      </c>
      <c r="E8" t="s">
        <v>227</v>
      </c>
      <c r="F8" t="s">
        <v>228</v>
      </c>
      <c r="G8" s="20" t="s">
        <v>229</v>
      </c>
      <c r="H8" t="s">
        <v>112</v>
      </c>
      <c r="I8" t="s">
        <v>112</v>
      </c>
      <c r="J8" s="20" t="s">
        <v>230</v>
      </c>
    </row>
    <row r="9" spans="1:17" ht="144">
      <c r="B9" t="s">
        <v>224</v>
      </c>
      <c r="C9" s="20" t="s">
        <v>231</v>
      </c>
      <c r="D9" t="s">
        <v>232</v>
      </c>
      <c r="E9" t="s">
        <v>227</v>
      </c>
      <c r="F9" s="35" t="s">
        <v>233</v>
      </c>
      <c r="G9" s="20" t="s">
        <v>234</v>
      </c>
      <c r="H9" t="s">
        <v>112</v>
      </c>
      <c r="I9" t="s">
        <v>112</v>
      </c>
      <c r="J9" s="20" t="s">
        <v>235</v>
      </c>
      <c r="K9" s="20" t="s">
        <v>236</v>
      </c>
    </row>
    <row r="10" spans="1:17" ht="176.1">
      <c r="B10" s="20" t="s">
        <v>224</v>
      </c>
      <c r="C10" s="20" t="s">
        <v>237</v>
      </c>
      <c r="D10" s="20" t="s">
        <v>238</v>
      </c>
      <c r="E10" s="20" t="s">
        <v>227</v>
      </c>
      <c r="F10" s="35" t="s">
        <v>239</v>
      </c>
      <c r="G10" s="20" t="s">
        <v>240</v>
      </c>
      <c r="H10" s="20" t="s">
        <v>112</v>
      </c>
      <c r="I10" s="20" t="s">
        <v>112</v>
      </c>
      <c r="J10" s="20" t="s">
        <v>241</v>
      </c>
      <c r="K10" s="20" t="s">
        <v>242</v>
      </c>
    </row>
    <row r="11" spans="1:17" ht="96">
      <c r="B11" t="s">
        <v>224</v>
      </c>
      <c r="C11" t="s">
        <v>243</v>
      </c>
      <c r="D11" s="20" t="s">
        <v>226</v>
      </c>
      <c r="E11" t="s">
        <v>227</v>
      </c>
      <c r="F11" t="s">
        <v>244</v>
      </c>
      <c r="G11" s="20" t="s">
        <v>245</v>
      </c>
      <c r="H11" t="s">
        <v>112</v>
      </c>
      <c r="I11" t="s">
        <v>112</v>
      </c>
      <c r="J11" s="20" t="s">
        <v>246</v>
      </c>
      <c r="K11" s="20" t="s">
        <v>247</v>
      </c>
    </row>
    <row r="12" spans="1:17" ht="213" hidden="1" customHeight="1">
      <c r="B12" s="20" t="s">
        <v>248</v>
      </c>
      <c r="C12" s="20" t="s">
        <v>249</v>
      </c>
      <c r="D12" s="20" t="s">
        <v>250</v>
      </c>
      <c r="E12" s="20" t="s">
        <v>251</v>
      </c>
      <c r="F12" s="20" t="s">
        <v>252</v>
      </c>
      <c r="G12" s="20" t="s">
        <v>253</v>
      </c>
      <c r="H12" s="20" t="s">
        <v>112</v>
      </c>
      <c r="I12" s="20" t="s">
        <v>112</v>
      </c>
      <c r="J12" s="20" t="s">
        <v>254</v>
      </c>
      <c r="K12" s="20" t="s">
        <v>255</v>
      </c>
    </row>
    <row r="13" spans="1:17" ht="15.95" hidden="1">
      <c r="B13" s="20" t="s">
        <v>248</v>
      </c>
      <c r="C13" s="20" t="s">
        <v>256</v>
      </c>
      <c r="D13" s="20" t="s">
        <v>257</v>
      </c>
    </row>
    <row r="14" spans="1:17" ht="15.95" hidden="1">
      <c r="B14" s="20" t="s">
        <v>248</v>
      </c>
      <c r="C14" s="20" t="s">
        <v>258</v>
      </c>
      <c r="D14" s="20" t="s">
        <v>259</v>
      </c>
    </row>
    <row r="15" spans="1:17" ht="111.95" hidden="1">
      <c r="B15" s="20" t="s">
        <v>89</v>
      </c>
      <c r="C15" s="20" t="s">
        <v>260</v>
      </c>
      <c r="D15" s="20" t="s">
        <v>261</v>
      </c>
      <c r="E15" s="20" t="s">
        <v>262</v>
      </c>
      <c r="F15" s="20" t="s">
        <v>263</v>
      </c>
      <c r="G15" s="20" t="s">
        <v>264</v>
      </c>
      <c r="H15" s="20" t="s">
        <v>112</v>
      </c>
      <c r="I15" s="20" t="s">
        <v>112</v>
      </c>
      <c r="J15" s="20" t="s">
        <v>265</v>
      </c>
      <c r="K15" s="20" t="s">
        <v>266</v>
      </c>
    </row>
    <row r="16" spans="1:17" ht="96" hidden="1">
      <c r="B16" s="20" t="s">
        <v>89</v>
      </c>
      <c r="C16" s="20" t="s">
        <v>267</v>
      </c>
      <c r="D16" s="20" t="s">
        <v>268</v>
      </c>
      <c r="E16" s="20" t="s">
        <v>269</v>
      </c>
      <c r="F16" s="20" t="s">
        <v>270</v>
      </c>
      <c r="G16" s="20" t="s">
        <v>271</v>
      </c>
      <c r="H16" s="20" t="s">
        <v>112</v>
      </c>
      <c r="I16" s="20" t="s">
        <v>112</v>
      </c>
      <c r="J16" s="20" t="s">
        <v>272</v>
      </c>
    </row>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sheetData>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Workbook B - AI Infusion Intake</dc:title>
  <dc:subject/>
  <dc:creator>Codex</dc:creator>
  <cp:keywords/>
  <dc:description/>
  <cp:lastModifiedBy/>
  <cp:revision/>
  <dcterms:created xsi:type="dcterms:W3CDTF">2026-03-16T22:27:21Z</dcterms:created>
  <dcterms:modified xsi:type="dcterms:W3CDTF">2026-04-21T18:41:02Z</dcterms:modified>
  <cp:category/>
  <cp:contentStatus/>
</cp:coreProperties>
</file>